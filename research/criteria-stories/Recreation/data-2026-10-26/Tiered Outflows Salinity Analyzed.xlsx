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F:\PhD Works\2026 Salinity MRPI Scenarios\RMA &amp; Tiered Outflows V2\R worked RMA Data\Activity Blind Data Recreation\"/>
    </mc:Choice>
  </mc:AlternateContent>
  <xr:revisionPtr revIDLastSave="0" documentId="13_ncr:1_{3D21F183-3303-433D-9A68-B1F0FF340E5A}" xr6:coauthVersionLast="47" xr6:coauthVersionMax="47" xr10:uidLastSave="{00000000-0000-0000-0000-000000000000}"/>
  <bookViews>
    <workbookView xWindow="38280" yWindow="-120" windowWidth="38640" windowHeight="21120" xr2:uid="{00000000-000D-0000-FFFF-FFFF00000000}"/>
  </bookViews>
  <sheets>
    <sheet name="OVERALL" sheetId="4" r:id="rId1"/>
    <sheet name="Run 15" sheetId="1" r:id="rId2"/>
    <sheet name="Run 16" sheetId="2" r:id="rId3"/>
    <sheet name="Run 17" sheetId="3"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58" i="4" l="1"/>
  <c r="O58" i="4"/>
  <c r="P58" i="4"/>
  <c r="Q58" i="4"/>
  <c r="R58" i="4"/>
  <c r="I58" i="4"/>
  <c r="J58" i="4"/>
  <c r="K58" i="4"/>
  <c r="L58" i="4"/>
  <c r="M58" i="4"/>
  <c r="D58" i="4"/>
  <c r="E58" i="4"/>
  <c r="F58" i="4"/>
  <c r="G58" i="4"/>
  <c r="H58" i="4"/>
  <c r="N57" i="4"/>
  <c r="S16" i="4" s="1"/>
  <c r="O57" i="4"/>
  <c r="S17" i="4" s="1"/>
  <c r="P57" i="4"/>
  <c r="S18" i="4" s="1"/>
  <c r="Q57" i="4"/>
  <c r="S19" i="4" s="1"/>
  <c r="R57" i="4"/>
  <c r="S20" i="4" s="1"/>
  <c r="I57" i="4"/>
  <c r="J57" i="4"/>
  <c r="K57" i="4"/>
  <c r="L57" i="4"/>
  <c r="M57" i="4"/>
  <c r="D57" i="4"/>
  <c r="E57" i="4"/>
  <c r="F57" i="4"/>
  <c r="G57" i="4"/>
  <c r="H57" i="4"/>
  <c r="N56" i="4"/>
  <c r="O56" i="4"/>
  <c r="P56" i="4"/>
  <c r="Q56" i="4"/>
  <c r="R56" i="4"/>
  <c r="I56" i="4"/>
  <c r="J56" i="4"/>
  <c r="K56" i="4"/>
  <c r="L56" i="4"/>
  <c r="M56" i="4"/>
  <c r="D56" i="4"/>
  <c r="E56" i="4"/>
  <c r="F56" i="4"/>
  <c r="G56" i="4"/>
  <c r="H56" i="4"/>
  <c r="N55" i="4"/>
  <c r="O55" i="4"/>
  <c r="P55" i="4"/>
  <c r="Q55" i="4"/>
  <c r="R55" i="4"/>
  <c r="I55" i="4"/>
  <c r="J55" i="4"/>
  <c r="K55" i="4"/>
  <c r="L55" i="4"/>
  <c r="M55" i="4"/>
  <c r="D55" i="4"/>
  <c r="E55" i="4"/>
  <c r="F55" i="4"/>
  <c r="G55" i="4"/>
  <c r="H55" i="4"/>
  <c r="N50" i="4"/>
  <c r="O50" i="4"/>
  <c r="P50" i="4"/>
  <c r="Q50" i="4"/>
  <c r="R25" i="4" s="1"/>
  <c r="R50" i="4"/>
  <c r="R26" i="4" s="1"/>
  <c r="I50" i="4"/>
  <c r="L22" i="4" s="1"/>
  <c r="J50" i="4"/>
  <c r="L23" i="4" s="1"/>
  <c r="K50" i="4"/>
  <c r="L24" i="4" s="1"/>
  <c r="L50" i="4"/>
  <c r="L25" i="4" s="1"/>
  <c r="M50" i="4"/>
  <c r="L26" i="4" s="1"/>
  <c r="D50" i="4"/>
  <c r="F22" i="4" s="1"/>
  <c r="E50" i="4"/>
  <c r="F23" i="4" s="1"/>
  <c r="F50" i="4"/>
  <c r="G50" i="4"/>
  <c r="H50" i="4"/>
  <c r="N49" i="4"/>
  <c r="R16" i="4" s="1"/>
  <c r="O49" i="4"/>
  <c r="R17" i="4" s="1"/>
  <c r="P49" i="4"/>
  <c r="R18" i="4" s="1"/>
  <c r="Q49" i="4"/>
  <c r="R19" i="4" s="1"/>
  <c r="R49" i="4"/>
  <c r="R20" i="4" s="1"/>
  <c r="I49" i="4"/>
  <c r="J49" i="4"/>
  <c r="K49" i="4"/>
  <c r="L49" i="4"/>
  <c r="M49" i="4"/>
  <c r="L20" i="4" s="1"/>
  <c r="D49" i="4"/>
  <c r="F16" i="4" s="1"/>
  <c r="E49" i="4"/>
  <c r="F17" i="4" s="1"/>
  <c r="F49" i="4"/>
  <c r="F18" i="4" s="1"/>
  <c r="G49" i="4"/>
  <c r="F19" i="4" s="1"/>
  <c r="H49" i="4"/>
  <c r="F20" i="4" s="1"/>
  <c r="N48" i="4"/>
  <c r="R10" i="4" s="1"/>
  <c r="O48" i="4"/>
  <c r="R11" i="4" s="1"/>
  <c r="P48" i="4"/>
  <c r="R12" i="4" s="1"/>
  <c r="Q48" i="4"/>
  <c r="R13" i="4" s="1"/>
  <c r="R48" i="4"/>
  <c r="R14" i="4" s="1"/>
  <c r="I48" i="4"/>
  <c r="L10" i="4" s="1"/>
  <c r="J48" i="4"/>
  <c r="K48" i="4"/>
  <c r="L48" i="4"/>
  <c r="M48" i="4"/>
  <c r="D48" i="4"/>
  <c r="E48" i="4"/>
  <c r="F48" i="4"/>
  <c r="G48" i="4"/>
  <c r="H48" i="4"/>
  <c r="N47" i="4"/>
  <c r="O47" i="4"/>
  <c r="P47" i="4"/>
  <c r="Q47" i="4"/>
  <c r="R7" i="4" s="1"/>
  <c r="R47" i="4"/>
  <c r="R8" i="4" s="1"/>
  <c r="I47" i="4"/>
  <c r="L4" i="4" s="1"/>
  <c r="J47" i="4"/>
  <c r="L5" i="4" s="1"/>
  <c r="K47" i="4"/>
  <c r="L6" i="4" s="1"/>
  <c r="L47" i="4"/>
  <c r="L7" i="4" s="1"/>
  <c r="M47" i="4"/>
  <c r="L8" i="4" s="1"/>
  <c r="D47" i="4"/>
  <c r="F4" i="4" s="1"/>
  <c r="E47" i="4"/>
  <c r="F5" i="4" s="1"/>
  <c r="F47" i="4"/>
  <c r="F6" i="4" s="1"/>
  <c r="G47" i="4"/>
  <c r="F7" i="4" s="1"/>
  <c r="H47" i="4"/>
  <c r="F8" i="4" s="1"/>
  <c r="N41" i="4"/>
  <c r="Q16" i="4" s="1"/>
  <c r="O41" i="4"/>
  <c r="Q17" i="4" s="1"/>
  <c r="P41" i="4"/>
  <c r="Q18" i="4" s="1"/>
  <c r="Q41" i="4"/>
  <c r="Q19" i="4" s="1"/>
  <c r="R41" i="4"/>
  <c r="Q20" i="4" s="1"/>
  <c r="N42" i="4"/>
  <c r="Q22" i="4" s="1"/>
  <c r="O42" i="4"/>
  <c r="Q23" i="4" s="1"/>
  <c r="P42" i="4"/>
  <c r="Q24" i="4" s="1"/>
  <c r="Q42" i="4"/>
  <c r="Q25" i="4" s="1"/>
  <c r="R42" i="4"/>
  <c r="Q26" i="4" s="1"/>
  <c r="I42" i="4"/>
  <c r="K22" i="4" s="1"/>
  <c r="J42" i="4"/>
  <c r="K23" i="4" s="1"/>
  <c r="K42" i="4"/>
  <c r="K24" i="4" s="1"/>
  <c r="L42" i="4"/>
  <c r="K25" i="4" s="1"/>
  <c r="M42" i="4"/>
  <c r="K26" i="4" s="1"/>
  <c r="D42" i="4"/>
  <c r="E22" i="4" s="1"/>
  <c r="E42" i="4"/>
  <c r="E23" i="4" s="1"/>
  <c r="F42" i="4"/>
  <c r="E24" i="4" s="1"/>
  <c r="G42" i="4"/>
  <c r="E25" i="4" s="1"/>
  <c r="H42" i="4"/>
  <c r="E26" i="4" s="1"/>
  <c r="I41" i="4"/>
  <c r="K16" i="4" s="1"/>
  <c r="J41" i="4"/>
  <c r="K17" i="4" s="1"/>
  <c r="K41" i="4"/>
  <c r="K18" i="4" s="1"/>
  <c r="L41" i="4"/>
  <c r="K19" i="4" s="1"/>
  <c r="M41" i="4"/>
  <c r="K20" i="4" s="1"/>
  <c r="D41" i="4"/>
  <c r="E16" i="4" s="1"/>
  <c r="E41" i="4"/>
  <c r="E17" i="4" s="1"/>
  <c r="F41" i="4"/>
  <c r="E18" i="4" s="1"/>
  <c r="G41" i="4"/>
  <c r="E19" i="4" s="1"/>
  <c r="H41" i="4"/>
  <c r="E20" i="4" s="1"/>
  <c r="N40" i="4"/>
  <c r="Q10" i="4" s="1"/>
  <c r="O40" i="4"/>
  <c r="Q11" i="4" s="1"/>
  <c r="P40" i="4"/>
  <c r="Q12" i="4" s="1"/>
  <c r="Q40" i="4"/>
  <c r="Q13" i="4" s="1"/>
  <c r="R40" i="4"/>
  <c r="Q14" i="4" s="1"/>
  <c r="I40" i="4"/>
  <c r="K10" i="4" s="1"/>
  <c r="J40" i="4"/>
  <c r="K11" i="4" s="1"/>
  <c r="K40" i="4"/>
  <c r="K12" i="4" s="1"/>
  <c r="L40" i="4"/>
  <c r="K13" i="4" s="1"/>
  <c r="M40" i="4"/>
  <c r="K14" i="4" s="1"/>
  <c r="D40" i="4"/>
  <c r="E10" i="4" s="1"/>
  <c r="E40" i="4"/>
  <c r="E11" i="4" s="1"/>
  <c r="F40" i="4"/>
  <c r="E12" i="4" s="1"/>
  <c r="G40" i="4"/>
  <c r="E13" i="4" s="1"/>
  <c r="H40" i="4"/>
  <c r="E14" i="4" s="1"/>
  <c r="N39" i="4"/>
  <c r="Q4" i="4" s="1"/>
  <c r="O39" i="4"/>
  <c r="Q5" i="4" s="1"/>
  <c r="P39" i="4"/>
  <c r="Q6" i="4" s="1"/>
  <c r="Q39" i="4"/>
  <c r="Q7" i="4" s="1"/>
  <c r="R39" i="4"/>
  <c r="Q8" i="4" s="1"/>
  <c r="I39" i="4"/>
  <c r="K4" i="4" s="1"/>
  <c r="J39" i="4"/>
  <c r="K5" i="4" s="1"/>
  <c r="K39" i="4"/>
  <c r="K6" i="4" s="1"/>
  <c r="L39" i="4"/>
  <c r="K7" i="4" s="1"/>
  <c r="M39" i="4"/>
  <c r="K8" i="4" s="1"/>
  <c r="D39" i="4"/>
  <c r="E4" i="4" s="1"/>
  <c r="E39" i="4"/>
  <c r="E5" i="4" s="1"/>
  <c r="F39" i="4"/>
  <c r="E6" i="4" s="1"/>
  <c r="G39" i="4"/>
  <c r="E7" i="4" s="1"/>
  <c r="H39" i="4"/>
  <c r="E8" i="4" s="1"/>
  <c r="Q577" i="3"/>
  <c r="Q576" i="3"/>
  <c r="J576" i="3"/>
  <c r="AO575" i="3"/>
  <c r="AO576" i="3" s="1"/>
  <c r="AN575" i="3"/>
  <c r="AN576" i="3" s="1"/>
  <c r="AM575" i="3"/>
  <c r="AM576" i="3" s="1"/>
  <c r="AL575" i="3"/>
  <c r="AL576" i="3" s="1"/>
  <c r="AK575" i="3"/>
  <c r="AK576" i="3" s="1"/>
  <c r="U575" i="3"/>
  <c r="U576" i="3" s="1"/>
  <c r="J575" i="3"/>
  <c r="BE574" i="3"/>
  <c r="BD574" i="3"/>
  <c r="BC574" i="3"/>
  <c r="BB574" i="3"/>
  <c r="BA574" i="3"/>
  <c r="AW574" i="3"/>
  <c r="AV574" i="3"/>
  <c r="AU574" i="3"/>
  <c r="AT574" i="3"/>
  <c r="AS574" i="3"/>
  <c r="AO574" i="3"/>
  <c r="AN574" i="3"/>
  <c r="AM574" i="3"/>
  <c r="AL574" i="3"/>
  <c r="AK574" i="3"/>
  <c r="AG574" i="3"/>
  <c r="AC574" i="3"/>
  <c r="U574" i="3"/>
  <c r="AG567" i="3"/>
  <c r="AF567" i="3"/>
  <c r="AE567" i="3"/>
  <c r="AD567" i="3"/>
  <c r="AC567" i="3"/>
  <c r="AB567" i="3"/>
  <c r="AA567" i="3"/>
  <c r="Z567" i="3"/>
  <c r="Y567" i="3"/>
  <c r="X567" i="3"/>
  <c r="W567" i="3"/>
  <c r="V567" i="3"/>
  <c r="U567" i="3"/>
  <c r="T567" i="3"/>
  <c r="S567" i="3"/>
  <c r="R567" i="3"/>
  <c r="Q567" i="3"/>
  <c r="P567" i="3"/>
  <c r="O567" i="3"/>
  <c r="N567" i="3"/>
  <c r="M567" i="3"/>
  <c r="L567" i="3"/>
  <c r="K567" i="3"/>
  <c r="J567" i="3"/>
  <c r="I567" i="3"/>
  <c r="H567" i="3"/>
  <c r="G567" i="3"/>
  <c r="F567" i="3"/>
  <c r="E567" i="3"/>
  <c r="D567" i="3"/>
  <c r="C567" i="3"/>
  <c r="B567" i="3"/>
  <c r="AG566" i="3"/>
  <c r="AG569" i="3" s="1"/>
  <c r="AF566" i="3"/>
  <c r="AF569" i="3" s="1"/>
  <c r="AE566" i="3"/>
  <c r="AE569" i="3" s="1"/>
  <c r="AD566" i="3"/>
  <c r="AD569" i="3" s="1"/>
  <c r="AC566" i="3"/>
  <c r="AC569" i="3" s="1"/>
  <c r="AB566" i="3"/>
  <c r="AB569" i="3" s="1"/>
  <c r="AA566" i="3"/>
  <c r="AA569" i="3" s="1"/>
  <c r="Z566" i="3"/>
  <c r="Z569" i="3" s="1"/>
  <c r="Y566" i="3"/>
  <c r="Y569" i="3" s="1"/>
  <c r="BE577" i="3" s="1"/>
  <c r="X566" i="3"/>
  <c r="X569" i="3" s="1"/>
  <c r="W566" i="3"/>
  <c r="W569" i="3" s="1"/>
  <c r="V566" i="3"/>
  <c r="V569" i="3" s="1"/>
  <c r="U566" i="3"/>
  <c r="U569" i="3" s="1"/>
  <c r="T566" i="3"/>
  <c r="T569" i="3" s="1"/>
  <c r="S566" i="3"/>
  <c r="S569" i="3" s="1"/>
  <c r="R566" i="3"/>
  <c r="R569" i="3" s="1"/>
  <c r="Q566" i="3"/>
  <c r="Q569" i="3" s="1"/>
  <c r="P566" i="3"/>
  <c r="P569" i="3" s="1"/>
  <c r="O566" i="3"/>
  <c r="O569" i="3" s="1"/>
  <c r="N566" i="3"/>
  <c r="N569" i="3" s="1"/>
  <c r="M566" i="3"/>
  <c r="M569" i="3" s="1"/>
  <c r="L566" i="3"/>
  <c r="L569" i="3" s="1"/>
  <c r="K566" i="3"/>
  <c r="K569" i="3" s="1"/>
  <c r="J566" i="3"/>
  <c r="J569" i="3" s="1"/>
  <c r="BC577" i="3" s="1"/>
  <c r="I566" i="3"/>
  <c r="I569" i="3" s="1"/>
  <c r="H566" i="3"/>
  <c r="H569" i="3" s="1"/>
  <c r="G566" i="3"/>
  <c r="G569" i="3" s="1"/>
  <c r="F566" i="3"/>
  <c r="F569" i="3" s="1"/>
  <c r="E566" i="3"/>
  <c r="E569" i="3" s="1"/>
  <c r="D566" i="3"/>
  <c r="D569" i="3" s="1"/>
  <c r="C566" i="3"/>
  <c r="C569" i="3" s="1"/>
  <c r="B566" i="3"/>
  <c r="B569" i="3" s="1"/>
  <c r="AG565" i="3"/>
  <c r="AF565" i="3"/>
  <c r="AE565" i="3"/>
  <c r="AD565" i="3"/>
  <c r="AC565" i="3"/>
  <c r="AB565" i="3"/>
  <c r="AA565" i="3"/>
  <c r="Z565" i="3"/>
  <c r="Y565" i="3"/>
  <c r="X565" i="3"/>
  <c r="W565" i="3"/>
  <c r="V565" i="3"/>
  <c r="V568" i="3" s="1"/>
  <c r="U565" i="3"/>
  <c r="T565" i="3"/>
  <c r="T568" i="3" s="1"/>
  <c r="S565" i="3"/>
  <c r="S568" i="3" s="1"/>
  <c r="R565" i="3"/>
  <c r="R568" i="3" s="1"/>
  <c r="Q565" i="3"/>
  <c r="Q568" i="3" s="1"/>
  <c r="P565" i="3"/>
  <c r="O565" i="3"/>
  <c r="N565" i="3"/>
  <c r="M565" i="3"/>
  <c r="L565" i="3"/>
  <c r="K565" i="3"/>
  <c r="J565" i="3"/>
  <c r="I565" i="3"/>
  <c r="H565" i="3"/>
  <c r="G565" i="3"/>
  <c r="F565" i="3"/>
  <c r="E565" i="3"/>
  <c r="D565" i="3"/>
  <c r="C565" i="3"/>
  <c r="B565" i="3"/>
  <c r="AG564" i="3"/>
  <c r="AG568" i="3" s="1"/>
  <c r="AF564" i="3"/>
  <c r="AF568" i="3" s="1"/>
  <c r="AE564" i="3"/>
  <c r="AE568" i="3" s="1"/>
  <c r="AD564" i="3"/>
  <c r="AD568" i="3" s="1"/>
  <c r="AC564" i="3"/>
  <c r="AC568" i="3" s="1"/>
  <c r="AB564" i="3"/>
  <c r="AB568" i="3" s="1"/>
  <c r="AA564" i="3"/>
  <c r="AA568" i="3" s="1"/>
  <c r="Z564" i="3"/>
  <c r="Z568" i="3" s="1"/>
  <c r="Y564" i="3"/>
  <c r="Y568" i="3" s="1"/>
  <c r="AW577" i="3" s="1"/>
  <c r="X564" i="3"/>
  <c r="X568" i="3" s="1"/>
  <c r="W564" i="3"/>
  <c r="W568" i="3" s="1"/>
  <c r="V564" i="3"/>
  <c r="U564" i="3"/>
  <c r="U568" i="3" s="1"/>
  <c r="T564" i="3"/>
  <c r="S564" i="3"/>
  <c r="R564" i="3"/>
  <c r="Q564" i="3"/>
  <c r="P564" i="3"/>
  <c r="P568" i="3" s="1"/>
  <c r="O564" i="3"/>
  <c r="O568" i="3" s="1"/>
  <c r="N564" i="3"/>
  <c r="N568" i="3" s="1"/>
  <c r="M564" i="3"/>
  <c r="M568" i="3" s="1"/>
  <c r="L564" i="3"/>
  <c r="L568" i="3" s="1"/>
  <c r="K564" i="3"/>
  <c r="K568" i="3" s="1"/>
  <c r="J564" i="3"/>
  <c r="J568" i="3" s="1"/>
  <c r="I564" i="3"/>
  <c r="I568" i="3" s="1"/>
  <c r="H564" i="3"/>
  <c r="H568" i="3" s="1"/>
  <c r="G564" i="3"/>
  <c r="G568" i="3" s="1"/>
  <c r="F564" i="3"/>
  <c r="F568" i="3" s="1"/>
  <c r="E564" i="3"/>
  <c r="E568" i="3" s="1"/>
  <c r="D564" i="3"/>
  <c r="D568" i="3" s="1"/>
  <c r="C564" i="3"/>
  <c r="C568" i="3" s="1"/>
  <c r="B564" i="3"/>
  <c r="B568" i="3" s="1"/>
  <c r="AG563" i="3"/>
  <c r="AF563" i="3"/>
  <c r="AE563" i="3"/>
  <c r="AD563" i="3"/>
  <c r="AC563" i="3"/>
  <c r="AB563" i="3"/>
  <c r="AA563" i="3"/>
  <c r="Z563" i="3"/>
  <c r="Y563" i="3"/>
  <c r="AO577" i="3" s="1"/>
  <c r="AO578" i="3" s="1"/>
  <c r="X563" i="3"/>
  <c r="W563" i="3"/>
  <c r="V563" i="3"/>
  <c r="U563" i="3"/>
  <c r="T563" i="3"/>
  <c r="S563" i="3"/>
  <c r="AN577" i="3" s="1"/>
  <c r="R563" i="3"/>
  <c r="Q563" i="3"/>
  <c r="P563" i="3"/>
  <c r="O563" i="3"/>
  <c r="N563" i="3"/>
  <c r="M563" i="3"/>
  <c r="L563" i="3"/>
  <c r="K563" i="3"/>
  <c r="J563" i="3"/>
  <c r="AM577" i="3" s="1"/>
  <c r="AM578" i="3" s="1"/>
  <c r="I563" i="3"/>
  <c r="H563" i="3"/>
  <c r="G563" i="3"/>
  <c r="F563" i="3"/>
  <c r="E563" i="3"/>
  <c r="D563" i="3"/>
  <c r="C563" i="3"/>
  <c r="B563" i="3"/>
  <c r="AL577" i="3" s="1"/>
  <c r="AL578" i="3" s="1"/>
  <c r="Q560" i="3"/>
  <c r="Q559" i="3"/>
  <c r="J559" i="3"/>
  <c r="AW558" i="3"/>
  <c r="AW559" i="3" s="1"/>
  <c r="AV558" i="3"/>
  <c r="AV559" i="3" s="1"/>
  <c r="AO558" i="3"/>
  <c r="AO559" i="3" s="1"/>
  <c r="AN558" i="3"/>
  <c r="AN559" i="3" s="1"/>
  <c r="AM558" i="3"/>
  <c r="AM559" i="3" s="1"/>
  <c r="AL558" i="3"/>
  <c r="AL559" i="3" s="1"/>
  <c r="AK558" i="3"/>
  <c r="AK559" i="3" s="1"/>
  <c r="U558" i="3"/>
  <c r="U559" i="3" s="1"/>
  <c r="J558" i="3"/>
  <c r="BE557" i="3"/>
  <c r="BD557" i="3"/>
  <c r="BC557" i="3"/>
  <c r="BB557" i="3"/>
  <c r="BA557" i="3"/>
  <c r="AW557" i="3"/>
  <c r="AV557" i="3"/>
  <c r="AU557" i="3"/>
  <c r="AT557" i="3"/>
  <c r="AS557" i="3"/>
  <c r="AO557" i="3"/>
  <c r="AN557" i="3"/>
  <c r="AM557" i="3"/>
  <c r="AL557" i="3"/>
  <c r="AK557" i="3"/>
  <c r="AG557" i="3"/>
  <c r="AC557" i="3"/>
  <c r="U557" i="3"/>
  <c r="Q552" i="3"/>
  <c r="P552" i="3"/>
  <c r="AG550" i="3"/>
  <c r="AF550" i="3"/>
  <c r="AE550" i="3"/>
  <c r="AD550" i="3"/>
  <c r="AC550" i="3"/>
  <c r="AB550" i="3"/>
  <c r="AA550" i="3"/>
  <c r="Z550" i="3"/>
  <c r="Y550" i="3"/>
  <c r="X550" i="3"/>
  <c r="W550" i="3"/>
  <c r="V550" i="3"/>
  <c r="U550" i="3"/>
  <c r="T550" i="3"/>
  <c r="S550" i="3"/>
  <c r="R550" i="3"/>
  <c r="Q550" i="3"/>
  <c r="P550" i="3"/>
  <c r="O550" i="3"/>
  <c r="N550" i="3"/>
  <c r="M550" i="3"/>
  <c r="L550" i="3"/>
  <c r="K550" i="3"/>
  <c r="J550" i="3"/>
  <c r="I550" i="3"/>
  <c r="H550" i="3"/>
  <c r="G550" i="3"/>
  <c r="F550" i="3"/>
  <c r="E550" i="3"/>
  <c r="D550" i="3"/>
  <c r="C550" i="3"/>
  <c r="B550" i="3"/>
  <c r="AG549" i="3"/>
  <c r="AG552" i="3" s="1"/>
  <c r="AF549" i="3"/>
  <c r="AF552" i="3" s="1"/>
  <c r="AE549" i="3"/>
  <c r="AE552" i="3" s="1"/>
  <c r="AD549" i="3"/>
  <c r="AD552" i="3" s="1"/>
  <c r="AC549" i="3"/>
  <c r="AC552" i="3" s="1"/>
  <c r="AB549" i="3"/>
  <c r="AB552" i="3" s="1"/>
  <c r="AA549" i="3"/>
  <c r="AA552" i="3" s="1"/>
  <c r="Z549" i="3"/>
  <c r="Z552" i="3" s="1"/>
  <c r="Y549" i="3"/>
  <c r="Y552" i="3" s="1"/>
  <c r="BE560" i="3" s="1"/>
  <c r="X549" i="3"/>
  <c r="X552" i="3" s="1"/>
  <c r="W549" i="3"/>
  <c r="W552" i="3" s="1"/>
  <c r="V549" i="3"/>
  <c r="V552" i="3" s="1"/>
  <c r="U549" i="3"/>
  <c r="U552" i="3" s="1"/>
  <c r="T549" i="3"/>
  <c r="T552" i="3" s="1"/>
  <c r="S549" i="3"/>
  <c r="S552" i="3" s="1"/>
  <c r="R549" i="3"/>
  <c r="R552" i="3" s="1"/>
  <c r="Q549" i="3"/>
  <c r="P549" i="3"/>
  <c r="O549" i="3"/>
  <c r="O552" i="3" s="1"/>
  <c r="N549" i="3"/>
  <c r="N552" i="3" s="1"/>
  <c r="M549" i="3"/>
  <c r="M552" i="3" s="1"/>
  <c r="L549" i="3"/>
  <c r="L552" i="3" s="1"/>
  <c r="K549" i="3"/>
  <c r="K552" i="3" s="1"/>
  <c r="J549" i="3"/>
  <c r="J552" i="3" s="1"/>
  <c r="BC560" i="3" s="1"/>
  <c r="I549" i="3"/>
  <c r="I552" i="3" s="1"/>
  <c r="H549" i="3"/>
  <c r="H552" i="3" s="1"/>
  <c r="G549" i="3"/>
  <c r="G552" i="3" s="1"/>
  <c r="F549" i="3"/>
  <c r="F552" i="3" s="1"/>
  <c r="E549" i="3"/>
  <c r="E552" i="3" s="1"/>
  <c r="D549" i="3"/>
  <c r="D552" i="3" s="1"/>
  <c r="C549" i="3"/>
  <c r="C552" i="3" s="1"/>
  <c r="B549" i="3"/>
  <c r="B552" i="3" s="1"/>
  <c r="AG548" i="3"/>
  <c r="AF548" i="3"/>
  <c r="AE548" i="3"/>
  <c r="AE551" i="3" s="1"/>
  <c r="AD548" i="3"/>
  <c r="AD551" i="3" s="1"/>
  <c r="AC548" i="3"/>
  <c r="AC551" i="3" s="1"/>
  <c r="AB548" i="3"/>
  <c r="AB551" i="3" s="1"/>
  <c r="AA548" i="3"/>
  <c r="Z548" i="3"/>
  <c r="Y548" i="3"/>
  <c r="Y551" i="3" s="1"/>
  <c r="X548" i="3"/>
  <c r="X551" i="3" s="1"/>
  <c r="W548" i="3"/>
  <c r="V548" i="3"/>
  <c r="U548" i="3"/>
  <c r="T548" i="3"/>
  <c r="T551" i="3" s="1"/>
  <c r="S548" i="3"/>
  <c r="S551" i="3" s="1"/>
  <c r="R548" i="3"/>
  <c r="R551" i="3" s="1"/>
  <c r="Q548" i="3"/>
  <c r="Q551" i="3" s="1"/>
  <c r="P548" i="3"/>
  <c r="O548" i="3"/>
  <c r="N548" i="3"/>
  <c r="M548" i="3"/>
  <c r="L548" i="3"/>
  <c r="K548" i="3"/>
  <c r="J548" i="3"/>
  <c r="I548" i="3"/>
  <c r="H548" i="3"/>
  <c r="G548" i="3"/>
  <c r="G551" i="3" s="1"/>
  <c r="F548" i="3"/>
  <c r="E548" i="3"/>
  <c r="E551" i="3" s="1"/>
  <c r="D548" i="3"/>
  <c r="D551" i="3" s="1"/>
  <c r="C548" i="3"/>
  <c r="B548" i="3"/>
  <c r="AG547" i="3"/>
  <c r="AG551" i="3" s="1"/>
  <c r="AF547" i="3"/>
  <c r="AF551" i="3" s="1"/>
  <c r="AE547" i="3"/>
  <c r="AD547" i="3"/>
  <c r="AC547" i="3"/>
  <c r="AB547" i="3"/>
  <c r="AA547" i="3"/>
  <c r="AA551" i="3" s="1"/>
  <c r="Z547" i="3"/>
  <c r="Z551" i="3" s="1"/>
  <c r="Y547" i="3"/>
  <c r="X547" i="3"/>
  <c r="W547" i="3"/>
  <c r="W551" i="3" s="1"/>
  <c r="V547" i="3"/>
  <c r="V551" i="3" s="1"/>
  <c r="U547" i="3"/>
  <c r="U551" i="3" s="1"/>
  <c r="T547" i="3"/>
  <c r="S547" i="3"/>
  <c r="R547" i="3"/>
  <c r="Q547" i="3"/>
  <c r="P547" i="3"/>
  <c r="P551" i="3" s="1"/>
  <c r="O547" i="3"/>
  <c r="O551" i="3" s="1"/>
  <c r="N547" i="3"/>
  <c r="N551" i="3" s="1"/>
  <c r="M547" i="3"/>
  <c r="M551" i="3" s="1"/>
  <c r="L547" i="3"/>
  <c r="L551" i="3" s="1"/>
  <c r="K547" i="3"/>
  <c r="K551" i="3" s="1"/>
  <c r="J547" i="3"/>
  <c r="J551" i="3" s="1"/>
  <c r="I547" i="3"/>
  <c r="I551" i="3" s="1"/>
  <c r="H547" i="3"/>
  <c r="H551" i="3" s="1"/>
  <c r="G547" i="3"/>
  <c r="F547" i="3"/>
  <c r="F551" i="3" s="1"/>
  <c r="E547" i="3"/>
  <c r="D547" i="3"/>
  <c r="C547" i="3"/>
  <c r="C551" i="3" s="1"/>
  <c r="B547" i="3"/>
  <c r="B551" i="3" s="1"/>
  <c r="AG546" i="3"/>
  <c r="AF546" i="3"/>
  <c r="AE546" i="3"/>
  <c r="AD546" i="3"/>
  <c r="AC546" i="3"/>
  <c r="AB546" i="3"/>
  <c r="AA546" i="3"/>
  <c r="Z546" i="3"/>
  <c r="Y546" i="3"/>
  <c r="AO560" i="3" s="1"/>
  <c r="AO561" i="3" s="1"/>
  <c r="X546" i="3"/>
  <c r="W546" i="3"/>
  <c r="V546" i="3"/>
  <c r="U546" i="3"/>
  <c r="T546" i="3"/>
  <c r="S546" i="3"/>
  <c r="AN560" i="3" s="1"/>
  <c r="AN561" i="3" s="1"/>
  <c r="R546" i="3"/>
  <c r="Q546" i="3"/>
  <c r="P546" i="3"/>
  <c r="O546" i="3"/>
  <c r="N546" i="3"/>
  <c r="M546" i="3"/>
  <c r="L546" i="3"/>
  <c r="K546" i="3"/>
  <c r="J546" i="3"/>
  <c r="AM560" i="3" s="1"/>
  <c r="AM561" i="3" s="1"/>
  <c r="I546" i="3"/>
  <c r="H546" i="3"/>
  <c r="AK560" i="3" s="1"/>
  <c r="AK561" i="3" s="1"/>
  <c r="G546" i="3"/>
  <c r="U560" i="3" s="1"/>
  <c r="U561" i="3" s="1"/>
  <c r="F546" i="3"/>
  <c r="E546" i="3"/>
  <c r="D546" i="3"/>
  <c r="C546" i="3"/>
  <c r="B546" i="3"/>
  <c r="AL560" i="3" s="1"/>
  <c r="AL561" i="3" s="1"/>
  <c r="Q543" i="3"/>
  <c r="AN542" i="3"/>
  <c r="AM542" i="3"/>
  <c r="AL542" i="3"/>
  <c r="AK542" i="3"/>
  <c r="Q542" i="3"/>
  <c r="J542" i="3"/>
  <c r="AO541" i="3"/>
  <c r="AO542" i="3" s="1"/>
  <c r="AN541" i="3"/>
  <c r="AM541" i="3"/>
  <c r="AL541" i="3"/>
  <c r="AK541" i="3"/>
  <c r="U541" i="3"/>
  <c r="U542" i="3" s="1"/>
  <c r="J541" i="3"/>
  <c r="BE540" i="3"/>
  <c r="BD540" i="3"/>
  <c r="BC540" i="3"/>
  <c r="BB540" i="3"/>
  <c r="BA540" i="3"/>
  <c r="AW540" i="3"/>
  <c r="AV540" i="3"/>
  <c r="AU540" i="3"/>
  <c r="AT540" i="3"/>
  <c r="AS540" i="3"/>
  <c r="AO540" i="3"/>
  <c r="AN540" i="3"/>
  <c r="AM540" i="3"/>
  <c r="AL540" i="3"/>
  <c r="AK540" i="3"/>
  <c r="AG540" i="3"/>
  <c r="AC540" i="3"/>
  <c r="U540" i="3"/>
  <c r="AF534" i="3"/>
  <c r="AG533" i="3"/>
  <c r="AF533" i="3"/>
  <c r="AE533" i="3"/>
  <c r="AD533" i="3"/>
  <c r="AC533" i="3"/>
  <c r="AB533" i="3"/>
  <c r="AA533" i="3"/>
  <c r="Z533" i="3"/>
  <c r="Y533" i="3"/>
  <c r="X533" i="3"/>
  <c r="W533" i="3"/>
  <c r="V533" i="3"/>
  <c r="U533" i="3"/>
  <c r="T533" i="3"/>
  <c r="S533" i="3"/>
  <c r="R533" i="3"/>
  <c r="Q533" i="3"/>
  <c r="P533" i="3"/>
  <c r="O533" i="3"/>
  <c r="N533" i="3"/>
  <c r="M533" i="3"/>
  <c r="L533" i="3"/>
  <c r="K533" i="3"/>
  <c r="J533" i="3"/>
  <c r="I533" i="3"/>
  <c r="H533" i="3"/>
  <c r="G533" i="3"/>
  <c r="F533" i="3"/>
  <c r="E533" i="3"/>
  <c r="D533" i="3"/>
  <c r="C533" i="3"/>
  <c r="B533" i="3"/>
  <c r="AG532" i="3"/>
  <c r="AG535" i="3" s="1"/>
  <c r="AF532" i="3"/>
  <c r="AF535" i="3" s="1"/>
  <c r="AE532" i="3"/>
  <c r="AE535" i="3" s="1"/>
  <c r="AD532" i="3"/>
  <c r="AD535" i="3" s="1"/>
  <c r="AC532" i="3"/>
  <c r="AC535" i="3" s="1"/>
  <c r="AB532" i="3"/>
  <c r="AB535" i="3" s="1"/>
  <c r="AA532" i="3"/>
  <c r="AA535" i="3" s="1"/>
  <c r="Z532" i="3"/>
  <c r="Z535" i="3" s="1"/>
  <c r="Y532" i="3"/>
  <c r="Y535" i="3" s="1"/>
  <c r="X532" i="3"/>
  <c r="X535" i="3" s="1"/>
  <c r="W532" i="3"/>
  <c r="W535" i="3" s="1"/>
  <c r="V532" i="3"/>
  <c r="V535" i="3" s="1"/>
  <c r="U532" i="3"/>
  <c r="U535" i="3" s="1"/>
  <c r="T532" i="3"/>
  <c r="T535" i="3" s="1"/>
  <c r="S532" i="3"/>
  <c r="S535" i="3" s="1"/>
  <c r="BD543" i="3" s="1"/>
  <c r="R532" i="3"/>
  <c r="R535" i="3" s="1"/>
  <c r="Q532" i="3"/>
  <c r="Q535" i="3" s="1"/>
  <c r="P532" i="3"/>
  <c r="P535" i="3" s="1"/>
  <c r="O532" i="3"/>
  <c r="O535" i="3" s="1"/>
  <c r="N532" i="3"/>
  <c r="N535" i="3" s="1"/>
  <c r="M532" i="3"/>
  <c r="M535" i="3" s="1"/>
  <c r="L532" i="3"/>
  <c r="L535" i="3" s="1"/>
  <c r="K532" i="3"/>
  <c r="K535" i="3" s="1"/>
  <c r="J532" i="3"/>
  <c r="J535" i="3" s="1"/>
  <c r="BC543" i="3" s="1"/>
  <c r="I532" i="3"/>
  <c r="I535" i="3" s="1"/>
  <c r="H532" i="3"/>
  <c r="H535" i="3" s="1"/>
  <c r="G532" i="3"/>
  <c r="G535" i="3" s="1"/>
  <c r="F532" i="3"/>
  <c r="F535" i="3" s="1"/>
  <c r="E532" i="3"/>
  <c r="E535" i="3" s="1"/>
  <c r="D532" i="3"/>
  <c r="D535" i="3" s="1"/>
  <c r="C532" i="3"/>
  <c r="C535" i="3" s="1"/>
  <c r="B532" i="3"/>
  <c r="B535" i="3" s="1"/>
  <c r="AG531" i="3"/>
  <c r="AF531" i="3"/>
  <c r="AE531" i="3"/>
  <c r="AE534" i="3" s="1"/>
  <c r="AD531" i="3"/>
  <c r="AC531" i="3"/>
  <c r="AC534" i="3" s="1"/>
  <c r="AB531" i="3"/>
  <c r="AA531" i="3"/>
  <c r="AA534" i="3" s="1"/>
  <c r="Z531" i="3"/>
  <c r="Z534" i="3" s="1"/>
  <c r="Y531" i="3"/>
  <c r="Y534" i="3" s="1"/>
  <c r="X531" i="3"/>
  <c r="X534" i="3" s="1"/>
  <c r="W531" i="3"/>
  <c r="V531" i="3"/>
  <c r="U531" i="3"/>
  <c r="T531" i="3"/>
  <c r="S531" i="3"/>
  <c r="R531" i="3"/>
  <c r="Q531" i="3"/>
  <c r="P531" i="3"/>
  <c r="O531" i="3"/>
  <c r="N531" i="3"/>
  <c r="M531" i="3"/>
  <c r="M534" i="3" s="1"/>
  <c r="L531" i="3"/>
  <c r="L534" i="3" s="1"/>
  <c r="K531" i="3"/>
  <c r="K534" i="3" s="1"/>
  <c r="J531" i="3"/>
  <c r="I531" i="3"/>
  <c r="H531" i="3"/>
  <c r="H534" i="3" s="1"/>
  <c r="G531" i="3"/>
  <c r="G534" i="3" s="1"/>
  <c r="F531" i="3"/>
  <c r="E531" i="3"/>
  <c r="E534" i="3" s="1"/>
  <c r="D531" i="3"/>
  <c r="C531" i="3"/>
  <c r="B531" i="3"/>
  <c r="B534" i="3" s="1"/>
  <c r="AG530" i="3"/>
  <c r="AG534" i="3" s="1"/>
  <c r="AF530" i="3"/>
  <c r="AE530" i="3"/>
  <c r="AD530" i="3"/>
  <c r="AD534" i="3" s="1"/>
  <c r="AC530" i="3"/>
  <c r="AB530" i="3"/>
  <c r="AB534" i="3" s="1"/>
  <c r="AA530" i="3"/>
  <c r="Z530" i="3"/>
  <c r="Y530" i="3"/>
  <c r="X530" i="3"/>
  <c r="W530" i="3"/>
  <c r="W534" i="3" s="1"/>
  <c r="V530" i="3"/>
  <c r="V534" i="3" s="1"/>
  <c r="U530" i="3"/>
  <c r="U534" i="3" s="1"/>
  <c r="T530" i="3"/>
  <c r="T534" i="3" s="1"/>
  <c r="S530" i="3"/>
  <c r="S534" i="3" s="1"/>
  <c r="AV543" i="3" s="1"/>
  <c r="R530" i="3"/>
  <c r="R534" i="3" s="1"/>
  <c r="Q530" i="3"/>
  <c r="Q534" i="3" s="1"/>
  <c r="P530" i="3"/>
  <c r="P534" i="3" s="1"/>
  <c r="O530" i="3"/>
  <c r="O534" i="3" s="1"/>
  <c r="N530" i="3"/>
  <c r="N534" i="3" s="1"/>
  <c r="M530" i="3"/>
  <c r="L530" i="3"/>
  <c r="K530" i="3"/>
  <c r="J530" i="3"/>
  <c r="J534" i="3" s="1"/>
  <c r="I530" i="3"/>
  <c r="I534" i="3" s="1"/>
  <c r="H530" i="3"/>
  <c r="G530" i="3"/>
  <c r="F530" i="3"/>
  <c r="F534" i="3" s="1"/>
  <c r="E530" i="3"/>
  <c r="D530" i="3"/>
  <c r="D534" i="3" s="1"/>
  <c r="C530" i="3"/>
  <c r="C534" i="3" s="1"/>
  <c r="B530" i="3"/>
  <c r="AG529" i="3"/>
  <c r="AF529" i="3"/>
  <c r="AE529" i="3"/>
  <c r="AD529" i="3"/>
  <c r="AC529" i="3"/>
  <c r="AB529" i="3"/>
  <c r="AA529" i="3"/>
  <c r="Z529" i="3"/>
  <c r="Y529" i="3"/>
  <c r="AO543" i="3" s="1"/>
  <c r="X529" i="3"/>
  <c r="W529" i="3"/>
  <c r="AK543" i="3" s="1"/>
  <c r="AK544" i="3" s="1"/>
  <c r="V529" i="3"/>
  <c r="U529" i="3"/>
  <c r="T529" i="3"/>
  <c r="S529" i="3"/>
  <c r="R529" i="3"/>
  <c r="Q529" i="3"/>
  <c r="P529" i="3"/>
  <c r="O529" i="3"/>
  <c r="N529" i="3"/>
  <c r="M529" i="3"/>
  <c r="L529" i="3"/>
  <c r="K529" i="3"/>
  <c r="J529" i="3"/>
  <c r="AM543" i="3" s="1"/>
  <c r="AM544" i="3" s="1"/>
  <c r="I529" i="3"/>
  <c r="H529" i="3"/>
  <c r="G529" i="3"/>
  <c r="F529" i="3"/>
  <c r="E529" i="3"/>
  <c r="D529" i="3"/>
  <c r="C529" i="3"/>
  <c r="B529" i="3"/>
  <c r="U543" i="3" s="1"/>
  <c r="U544" i="3" s="1"/>
  <c r="Q526" i="3"/>
  <c r="AN525" i="3"/>
  <c r="AM525" i="3"/>
  <c r="Q525" i="3"/>
  <c r="BE541" i="3" s="1"/>
  <c r="BE542" i="3" s="1"/>
  <c r="J525" i="3"/>
  <c r="AW541" i="3" s="1"/>
  <c r="AW542" i="3" s="1"/>
  <c r="AO524" i="3"/>
  <c r="AO525" i="3" s="1"/>
  <c r="AN524" i="3"/>
  <c r="AM524" i="3"/>
  <c r="AL524" i="3"/>
  <c r="AL525" i="3" s="1"/>
  <c r="AK524" i="3"/>
  <c r="AK525" i="3" s="1"/>
  <c r="AG524" i="3"/>
  <c r="AC524" i="3"/>
  <c r="AC525" i="3" s="1"/>
  <c r="U524" i="3"/>
  <c r="J524" i="3"/>
  <c r="AU558" i="3" s="1"/>
  <c r="AU559" i="3" s="1"/>
  <c r="BE523" i="3"/>
  <c r="BD523" i="3"/>
  <c r="BC523" i="3"/>
  <c r="BB523" i="3"/>
  <c r="BA523" i="3"/>
  <c r="AW523" i="3"/>
  <c r="AV523" i="3"/>
  <c r="AU523" i="3"/>
  <c r="AT523" i="3"/>
  <c r="AS523" i="3"/>
  <c r="AO523" i="3"/>
  <c r="AN523" i="3"/>
  <c r="AM523" i="3"/>
  <c r="AL523" i="3"/>
  <c r="AK523" i="3"/>
  <c r="AG523" i="3"/>
  <c r="AG525" i="3" s="1"/>
  <c r="AC523" i="3"/>
  <c r="U523" i="3"/>
  <c r="U525" i="3" s="1"/>
  <c r="AG516" i="3"/>
  <c r="AF516" i="3"/>
  <c r="AE516" i="3"/>
  <c r="AD516" i="3"/>
  <c r="AC516" i="3"/>
  <c r="AB516" i="3"/>
  <c r="AA516" i="3"/>
  <c r="Z516" i="3"/>
  <c r="Y516" i="3"/>
  <c r="X516" i="3"/>
  <c r="W516" i="3"/>
  <c r="V516" i="3"/>
  <c r="U516" i="3"/>
  <c r="T516" i="3"/>
  <c r="S516" i="3"/>
  <c r="R516" i="3"/>
  <c r="Q516" i="3"/>
  <c r="P516" i="3"/>
  <c r="O516" i="3"/>
  <c r="N516" i="3"/>
  <c r="M516" i="3"/>
  <c r="L516" i="3"/>
  <c r="K516" i="3"/>
  <c r="J516" i="3"/>
  <c r="I516" i="3"/>
  <c r="H516" i="3"/>
  <c r="G516" i="3"/>
  <c r="F516" i="3"/>
  <c r="E516" i="3"/>
  <c r="D516" i="3"/>
  <c r="C516" i="3"/>
  <c r="B516" i="3"/>
  <c r="AG515" i="3"/>
  <c r="AG518" i="3" s="1"/>
  <c r="AF515" i="3"/>
  <c r="AF518" i="3" s="1"/>
  <c r="AE515" i="3"/>
  <c r="AE518" i="3" s="1"/>
  <c r="AD515" i="3"/>
  <c r="AD518" i="3" s="1"/>
  <c r="AC515" i="3"/>
  <c r="AC518" i="3" s="1"/>
  <c r="AB515" i="3"/>
  <c r="AB518" i="3" s="1"/>
  <c r="AA515" i="3"/>
  <c r="AA518" i="3" s="1"/>
  <c r="Z515" i="3"/>
  <c r="Z518" i="3" s="1"/>
  <c r="Y515" i="3"/>
  <c r="Y518" i="3" s="1"/>
  <c r="X515" i="3"/>
  <c r="X518" i="3" s="1"/>
  <c r="W515" i="3"/>
  <c r="W518" i="3" s="1"/>
  <c r="V515" i="3"/>
  <c r="V518" i="3" s="1"/>
  <c r="U515" i="3"/>
  <c r="U518" i="3" s="1"/>
  <c r="T515" i="3"/>
  <c r="T518" i="3" s="1"/>
  <c r="S515" i="3"/>
  <c r="S518" i="3" s="1"/>
  <c r="BD526" i="3" s="1"/>
  <c r="R515" i="3"/>
  <c r="R518" i="3" s="1"/>
  <c r="Q515" i="3"/>
  <c r="Q518" i="3" s="1"/>
  <c r="P515" i="3"/>
  <c r="P518" i="3" s="1"/>
  <c r="O515" i="3"/>
  <c r="O518" i="3" s="1"/>
  <c r="N515" i="3"/>
  <c r="N518" i="3" s="1"/>
  <c r="M515" i="3"/>
  <c r="M518" i="3" s="1"/>
  <c r="L515" i="3"/>
  <c r="L518" i="3" s="1"/>
  <c r="K515" i="3"/>
  <c r="K518" i="3" s="1"/>
  <c r="J515" i="3"/>
  <c r="J518" i="3" s="1"/>
  <c r="I515" i="3"/>
  <c r="I518" i="3" s="1"/>
  <c r="H515" i="3"/>
  <c r="H518" i="3" s="1"/>
  <c r="G515" i="3"/>
  <c r="G518" i="3" s="1"/>
  <c r="F515" i="3"/>
  <c r="F518" i="3" s="1"/>
  <c r="E515" i="3"/>
  <c r="E518" i="3" s="1"/>
  <c r="D515" i="3"/>
  <c r="D518" i="3" s="1"/>
  <c r="C515" i="3"/>
  <c r="C518" i="3" s="1"/>
  <c r="B515" i="3"/>
  <c r="B518" i="3" s="1"/>
  <c r="AG514" i="3"/>
  <c r="AG517" i="3" s="1"/>
  <c r="AF514" i="3"/>
  <c r="AF517" i="3" s="1"/>
  <c r="AE514" i="3"/>
  <c r="AE517" i="3" s="1"/>
  <c r="AD514" i="3"/>
  <c r="AC514" i="3"/>
  <c r="AB514" i="3"/>
  <c r="AA514" i="3"/>
  <c r="Z514" i="3"/>
  <c r="Y514" i="3"/>
  <c r="X514" i="3"/>
  <c r="W514" i="3"/>
  <c r="V514" i="3"/>
  <c r="U514" i="3"/>
  <c r="U517" i="3" s="1"/>
  <c r="T514" i="3"/>
  <c r="T517" i="3" s="1"/>
  <c r="S514" i="3"/>
  <c r="S517" i="3" s="1"/>
  <c r="R514" i="3"/>
  <c r="R517" i="3" s="1"/>
  <c r="Q514" i="3"/>
  <c r="P514" i="3"/>
  <c r="O514" i="3"/>
  <c r="O517" i="3" s="1"/>
  <c r="N514" i="3"/>
  <c r="N517" i="3" s="1"/>
  <c r="M514" i="3"/>
  <c r="L514" i="3"/>
  <c r="K514" i="3"/>
  <c r="J514" i="3"/>
  <c r="I514" i="3"/>
  <c r="I517" i="3" s="1"/>
  <c r="H514" i="3"/>
  <c r="H517" i="3" s="1"/>
  <c r="G514" i="3"/>
  <c r="G517" i="3" s="1"/>
  <c r="F514" i="3"/>
  <c r="E514" i="3"/>
  <c r="D514" i="3"/>
  <c r="C514" i="3"/>
  <c r="B514" i="3"/>
  <c r="AG513" i="3"/>
  <c r="AF513" i="3"/>
  <c r="AE513" i="3"/>
  <c r="AD513" i="3"/>
  <c r="AD517" i="3" s="1"/>
  <c r="AC513" i="3"/>
  <c r="AC517" i="3" s="1"/>
  <c r="AB513" i="3"/>
  <c r="AB517" i="3" s="1"/>
  <c r="AA513" i="3"/>
  <c r="AA517" i="3" s="1"/>
  <c r="Z513" i="3"/>
  <c r="Z517" i="3" s="1"/>
  <c r="Y513" i="3"/>
  <c r="Y517" i="3" s="1"/>
  <c r="X513" i="3"/>
  <c r="X517" i="3" s="1"/>
  <c r="W513" i="3"/>
  <c r="W517" i="3" s="1"/>
  <c r="V513" i="3"/>
  <c r="V517" i="3" s="1"/>
  <c r="U513" i="3"/>
  <c r="T513" i="3"/>
  <c r="S513" i="3"/>
  <c r="R513" i="3"/>
  <c r="Q513" i="3"/>
  <c r="Q517" i="3" s="1"/>
  <c r="P513" i="3"/>
  <c r="P517" i="3" s="1"/>
  <c r="O513" i="3"/>
  <c r="N513" i="3"/>
  <c r="M513" i="3"/>
  <c r="M517" i="3" s="1"/>
  <c r="L513" i="3"/>
  <c r="L517" i="3" s="1"/>
  <c r="K513" i="3"/>
  <c r="K517" i="3" s="1"/>
  <c r="J513" i="3"/>
  <c r="J517" i="3" s="1"/>
  <c r="I513" i="3"/>
  <c r="H513" i="3"/>
  <c r="G513" i="3"/>
  <c r="F513" i="3"/>
  <c r="F517" i="3" s="1"/>
  <c r="E513" i="3"/>
  <c r="E517" i="3" s="1"/>
  <c r="D513" i="3"/>
  <c r="D517" i="3" s="1"/>
  <c r="C513" i="3"/>
  <c r="C517" i="3" s="1"/>
  <c r="B513" i="3"/>
  <c r="B517" i="3" s="1"/>
  <c r="AG512" i="3"/>
  <c r="AF512" i="3"/>
  <c r="AE512" i="3"/>
  <c r="AD512" i="3"/>
  <c r="AC512" i="3"/>
  <c r="AB512" i="3"/>
  <c r="AA512" i="3"/>
  <c r="Z512" i="3"/>
  <c r="Y512" i="3"/>
  <c r="AO526" i="3" s="1"/>
  <c r="X512" i="3"/>
  <c r="W512" i="3"/>
  <c r="V512" i="3"/>
  <c r="U512" i="3"/>
  <c r="T512" i="3"/>
  <c r="S512" i="3"/>
  <c r="AN526" i="3" s="1"/>
  <c r="AN527" i="3" s="1"/>
  <c r="R512" i="3"/>
  <c r="Q512" i="3"/>
  <c r="P512" i="3"/>
  <c r="O512" i="3"/>
  <c r="N512" i="3"/>
  <c r="M512" i="3"/>
  <c r="L512" i="3"/>
  <c r="K512" i="3"/>
  <c r="J512" i="3"/>
  <c r="AM526" i="3" s="1"/>
  <c r="AM527" i="3" s="1"/>
  <c r="I512" i="3"/>
  <c r="H512" i="3"/>
  <c r="G512" i="3"/>
  <c r="F512" i="3"/>
  <c r="AL526" i="3" s="1"/>
  <c r="AL527" i="3" s="1"/>
  <c r="E512" i="3"/>
  <c r="D512" i="3"/>
  <c r="C512" i="3"/>
  <c r="B512" i="3"/>
  <c r="AK526" i="3" s="1"/>
  <c r="Q577" i="2"/>
  <c r="Q576" i="2"/>
  <c r="J576" i="2"/>
  <c r="AO575" i="2"/>
  <c r="AO576" i="2" s="1"/>
  <c r="AN575" i="2"/>
  <c r="AN576" i="2" s="1"/>
  <c r="AM575" i="2"/>
  <c r="AM576" i="2" s="1"/>
  <c r="AL575" i="2"/>
  <c r="AL576" i="2" s="1"/>
  <c r="AK575" i="2"/>
  <c r="AK576" i="2" s="1"/>
  <c r="U575" i="2"/>
  <c r="U576" i="2" s="1"/>
  <c r="J575" i="2"/>
  <c r="BE574" i="2"/>
  <c r="BD574" i="2"/>
  <c r="BC574" i="2"/>
  <c r="BB574" i="2"/>
  <c r="BA574" i="2"/>
  <c r="AW574" i="2"/>
  <c r="AV574" i="2"/>
  <c r="AU574" i="2"/>
  <c r="AT574" i="2"/>
  <c r="AS574" i="2"/>
  <c r="AO574" i="2"/>
  <c r="AN574" i="2"/>
  <c r="AM574" i="2"/>
  <c r="AL574" i="2"/>
  <c r="AK574" i="2"/>
  <c r="AG574" i="2"/>
  <c r="AC574" i="2"/>
  <c r="U574" i="2"/>
  <c r="AG567" i="2"/>
  <c r="AF567" i="2"/>
  <c r="AE567" i="2"/>
  <c r="AD567" i="2"/>
  <c r="AC567" i="2"/>
  <c r="AB567" i="2"/>
  <c r="AA567" i="2"/>
  <c r="Z567" i="2"/>
  <c r="Y567" i="2"/>
  <c r="X567" i="2"/>
  <c r="W567" i="2"/>
  <c r="V567" i="2"/>
  <c r="U567" i="2"/>
  <c r="T567" i="2"/>
  <c r="S567" i="2"/>
  <c r="R567" i="2"/>
  <c r="Q567" i="2"/>
  <c r="P567" i="2"/>
  <c r="O567" i="2"/>
  <c r="N567" i="2"/>
  <c r="M567" i="2"/>
  <c r="L567" i="2"/>
  <c r="K567" i="2"/>
  <c r="J567" i="2"/>
  <c r="I567" i="2"/>
  <c r="H567" i="2"/>
  <c r="G567" i="2"/>
  <c r="F567" i="2"/>
  <c r="E567" i="2"/>
  <c r="D567" i="2"/>
  <c r="C567" i="2"/>
  <c r="B567" i="2"/>
  <c r="AG566" i="2"/>
  <c r="AG569" i="2" s="1"/>
  <c r="AF566" i="2"/>
  <c r="AF569" i="2" s="1"/>
  <c r="AE566" i="2"/>
  <c r="AE569" i="2" s="1"/>
  <c r="AD566" i="2"/>
  <c r="AD569" i="2" s="1"/>
  <c r="AC566" i="2"/>
  <c r="AC569" i="2" s="1"/>
  <c r="AB566" i="2"/>
  <c r="AB569" i="2" s="1"/>
  <c r="AA566" i="2"/>
  <c r="AA569" i="2" s="1"/>
  <c r="Z566" i="2"/>
  <c r="Z569" i="2" s="1"/>
  <c r="Y566" i="2"/>
  <c r="Y569" i="2" s="1"/>
  <c r="BE577" i="2" s="1"/>
  <c r="X566" i="2"/>
  <c r="X569" i="2" s="1"/>
  <c r="W566" i="2"/>
  <c r="W569" i="2" s="1"/>
  <c r="V566" i="2"/>
  <c r="V569" i="2" s="1"/>
  <c r="U566" i="2"/>
  <c r="U569" i="2" s="1"/>
  <c r="T566" i="2"/>
  <c r="T569" i="2" s="1"/>
  <c r="S566" i="2"/>
  <c r="S569" i="2" s="1"/>
  <c r="R566" i="2"/>
  <c r="R569" i="2" s="1"/>
  <c r="Q566" i="2"/>
  <c r="Q569" i="2" s="1"/>
  <c r="P566" i="2"/>
  <c r="P569" i="2" s="1"/>
  <c r="O566" i="2"/>
  <c r="O569" i="2" s="1"/>
  <c r="N566" i="2"/>
  <c r="N569" i="2" s="1"/>
  <c r="M566" i="2"/>
  <c r="M569" i="2" s="1"/>
  <c r="L566" i="2"/>
  <c r="L569" i="2" s="1"/>
  <c r="K566" i="2"/>
  <c r="K569" i="2" s="1"/>
  <c r="J566" i="2"/>
  <c r="J569" i="2" s="1"/>
  <c r="I566" i="2"/>
  <c r="I569" i="2" s="1"/>
  <c r="H566" i="2"/>
  <c r="H569" i="2" s="1"/>
  <c r="G566" i="2"/>
  <c r="G569" i="2" s="1"/>
  <c r="F566" i="2"/>
  <c r="F569" i="2" s="1"/>
  <c r="E566" i="2"/>
  <c r="E569" i="2" s="1"/>
  <c r="D566" i="2"/>
  <c r="D569" i="2" s="1"/>
  <c r="C566" i="2"/>
  <c r="C569" i="2" s="1"/>
  <c r="B566" i="2"/>
  <c r="B569" i="2" s="1"/>
  <c r="AG565" i="2"/>
  <c r="AG568" i="2" s="1"/>
  <c r="AF565" i="2"/>
  <c r="AF568" i="2" s="1"/>
  <c r="AE565" i="2"/>
  <c r="AD565" i="2"/>
  <c r="AC565" i="2"/>
  <c r="AB565" i="2"/>
  <c r="AA565" i="2"/>
  <c r="AA568" i="2" s="1"/>
  <c r="Z565" i="2"/>
  <c r="Z568" i="2" s="1"/>
  <c r="Y565" i="2"/>
  <c r="X565" i="2"/>
  <c r="W565" i="2"/>
  <c r="W568" i="2" s="1"/>
  <c r="V565" i="2"/>
  <c r="V568" i="2" s="1"/>
  <c r="U565" i="2"/>
  <c r="U568" i="2" s="1"/>
  <c r="T565" i="2"/>
  <c r="T568" i="2" s="1"/>
  <c r="S565" i="2"/>
  <c r="R565" i="2"/>
  <c r="Q565" i="2"/>
  <c r="P565" i="2"/>
  <c r="O565" i="2"/>
  <c r="N565" i="2"/>
  <c r="M565" i="2"/>
  <c r="M568" i="2" s="1"/>
  <c r="L565" i="2"/>
  <c r="L568" i="2" s="1"/>
  <c r="K565" i="2"/>
  <c r="K568" i="2" s="1"/>
  <c r="J565" i="2"/>
  <c r="I565" i="2"/>
  <c r="I568" i="2" s="1"/>
  <c r="H565" i="2"/>
  <c r="H568" i="2" s="1"/>
  <c r="G565" i="2"/>
  <c r="F565" i="2"/>
  <c r="E565" i="2"/>
  <c r="D565" i="2"/>
  <c r="C565" i="2"/>
  <c r="C568" i="2" s="1"/>
  <c r="B565" i="2"/>
  <c r="B568" i="2" s="1"/>
  <c r="AG564" i="2"/>
  <c r="AF564" i="2"/>
  <c r="AE564" i="2"/>
  <c r="AE568" i="2" s="1"/>
  <c r="AD564" i="2"/>
  <c r="AD568" i="2" s="1"/>
  <c r="AC564" i="2"/>
  <c r="AC568" i="2" s="1"/>
  <c r="AB564" i="2"/>
  <c r="AB568" i="2" s="1"/>
  <c r="AA564" i="2"/>
  <c r="Z564" i="2"/>
  <c r="Y564" i="2"/>
  <c r="Y568" i="2" s="1"/>
  <c r="X564" i="2"/>
  <c r="X568" i="2" s="1"/>
  <c r="W564" i="2"/>
  <c r="V564" i="2"/>
  <c r="U564" i="2"/>
  <c r="T564" i="2"/>
  <c r="S564" i="2"/>
  <c r="S568" i="2" s="1"/>
  <c r="AV577" i="2" s="1"/>
  <c r="R564" i="2"/>
  <c r="R568" i="2" s="1"/>
  <c r="Q564" i="2"/>
  <c r="Q568" i="2" s="1"/>
  <c r="P564" i="2"/>
  <c r="P568" i="2" s="1"/>
  <c r="O564" i="2"/>
  <c r="O568" i="2" s="1"/>
  <c r="N564" i="2"/>
  <c r="N568" i="2" s="1"/>
  <c r="M564" i="2"/>
  <c r="L564" i="2"/>
  <c r="K564" i="2"/>
  <c r="J564" i="2"/>
  <c r="J568" i="2" s="1"/>
  <c r="I564" i="2"/>
  <c r="H564" i="2"/>
  <c r="G564" i="2"/>
  <c r="G568" i="2" s="1"/>
  <c r="F564" i="2"/>
  <c r="F568" i="2" s="1"/>
  <c r="E564" i="2"/>
  <c r="E568" i="2" s="1"/>
  <c r="D564" i="2"/>
  <c r="D568" i="2" s="1"/>
  <c r="C564" i="2"/>
  <c r="B564" i="2"/>
  <c r="AG563" i="2"/>
  <c r="AF563" i="2"/>
  <c r="AE563" i="2"/>
  <c r="AD563" i="2"/>
  <c r="AC563" i="2"/>
  <c r="AB563" i="2"/>
  <c r="AA563" i="2"/>
  <c r="Z563" i="2"/>
  <c r="Y563" i="2"/>
  <c r="AO577" i="2" s="1"/>
  <c r="AO578" i="2" s="1"/>
  <c r="X563" i="2"/>
  <c r="W563" i="2"/>
  <c r="V563" i="2"/>
  <c r="U563" i="2"/>
  <c r="T563" i="2"/>
  <c r="S563" i="2"/>
  <c r="AN577" i="2" s="1"/>
  <c r="R563" i="2"/>
  <c r="Q563" i="2"/>
  <c r="P563" i="2"/>
  <c r="O563" i="2"/>
  <c r="N563" i="2"/>
  <c r="M563" i="2"/>
  <c r="L563" i="2"/>
  <c r="K563" i="2"/>
  <c r="J563" i="2"/>
  <c r="AM577" i="2" s="1"/>
  <c r="AM578" i="2" s="1"/>
  <c r="I563" i="2"/>
  <c r="H563" i="2"/>
  <c r="G563" i="2"/>
  <c r="F563" i="2"/>
  <c r="E563" i="2"/>
  <c r="D563" i="2"/>
  <c r="C563" i="2"/>
  <c r="B563" i="2"/>
  <c r="AL577" i="2" s="1"/>
  <c r="AL578" i="2" s="1"/>
  <c r="Q560" i="2"/>
  <c r="AL559" i="2"/>
  <c r="Q559" i="2"/>
  <c r="J559" i="2"/>
  <c r="BE558" i="2"/>
  <c r="BE559" i="2" s="1"/>
  <c r="BD558" i="2"/>
  <c r="BD559" i="2" s="1"/>
  <c r="BC558" i="2"/>
  <c r="BC559" i="2" s="1"/>
  <c r="BB558" i="2"/>
  <c r="BB559" i="2" s="1"/>
  <c r="AO558" i="2"/>
  <c r="AO559" i="2" s="1"/>
  <c r="AN558" i="2"/>
  <c r="AN559" i="2" s="1"/>
  <c r="AM558" i="2"/>
  <c r="AM559" i="2" s="1"/>
  <c r="AL558" i="2"/>
  <c r="AK558" i="2"/>
  <c r="AK559" i="2" s="1"/>
  <c r="U558" i="2"/>
  <c r="U559" i="2" s="1"/>
  <c r="J558" i="2"/>
  <c r="BE557" i="2"/>
  <c r="BD557" i="2"/>
  <c r="BC557" i="2"/>
  <c r="BB557" i="2"/>
  <c r="BA557" i="2"/>
  <c r="AW557" i="2"/>
  <c r="AV557" i="2"/>
  <c r="AU557" i="2"/>
  <c r="AT557" i="2"/>
  <c r="AS557" i="2"/>
  <c r="AO557" i="2"/>
  <c r="AN557" i="2"/>
  <c r="AM557" i="2"/>
  <c r="AL557" i="2"/>
  <c r="AK557" i="2"/>
  <c r="AG557" i="2"/>
  <c r="AC557" i="2"/>
  <c r="U557" i="2"/>
  <c r="E552" i="2"/>
  <c r="E551" i="2"/>
  <c r="AG550" i="2"/>
  <c r="AF550" i="2"/>
  <c r="AE550" i="2"/>
  <c r="AD550" i="2"/>
  <c r="AC550" i="2"/>
  <c r="AB550" i="2"/>
  <c r="AA550" i="2"/>
  <c r="Z550" i="2"/>
  <c r="Y550" i="2"/>
  <c r="X550" i="2"/>
  <c r="W550" i="2"/>
  <c r="V550" i="2"/>
  <c r="U550" i="2"/>
  <c r="T550" i="2"/>
  <c r="S550" i="2"/>
  <c r="R550" i="2"/>
  <c r="Q550" i="2"/>
  <c r="P550" i="2"/>
  <c r="O550" i="2"/>
  <c r="N550" i="2"/>
  <c r="M550" i="2"/>
  <c r="L550" i="2"/>
  <c r="K550" i="2"/>
  <c r="J550" i="2"/>
  <c r="I550" i="2"/>
  <c r="H550" i="2"/>
  <c r="G550" i="2"/>
  <c r="F550" i="2"/>
  <c r="E550" i="2"/>
  <c r="D550" i="2"/>
  <c r="C550" i="2"/>
  <c r="B550" i="2"/>
  <c r="AG549" i="2"/>
  <c r="AG552" i="2" s="1"/>
  <c r="AF549" i="2"/>
  <c r="AF552" i="2" s="1"/>
  <c r="AE549" i="2"/>
  <c r="AE552" i="2" s="1"/>
  <c r="AD549" i="2"/>
  <c r="AD552" i="2" s="1"/>
  <c r="AC549" i="2"/>
  <c r="AC552" i="2" s="1"/>
  <c r="AB549" i="2"/>
  <c r="AB552" i="2" s="1"/>
  <c r="AA549" i="2"/>
  <c r="AA552" i="2" s="1"/>
  <c r="Z549" i="2"/>
  <c r="Z552" i="2" s="1"/>
  <c r="Y549" i="2"/>
  <c r="Y552" i="2" s="1"/>
  <c r="X549" i="2"/>
  <c r="X552" i="2" s="1"/>
  <c r="W549" i="2"/>
  <c r="W552" i="2" s="1"/>
  <c r="V549" i="2"/>
  <c r="V552" i="2" s="1"/>
  <c r="U549" i="2"/>
  <c r="U552" i="2" s="1"/>
  <c r="T549" i="2"/>
  <c r="T552" i="2" s="1"/>
  <c r="S549" i="2"/>
  <c r="S552" i="2" s="1"/>
  <c r="BD560" i="2" s="1"/>
  <c r="BD561" i="2" s="1"/>
  <c r="R549" i="2"/>
  <c r="R552" i="2" s="1"/>
  <c r="Q549" i="2"/>
  <c r="Q552" i="2" s="1"/>
  <c r="P549" i="2"/>
  <c r="P552" i="2" s="1"/>
  <c r="O549" i="2"/>
  <c r="O552" i="2" s="1"/>
  <c r="N549" i="2"/>
  <c r="N552" i="2" s="1"/>
  <c r="M549" i="2"/>
  <c r="M552" i="2" s="1"/>
  <c r="L549" i="2"/>
  <c r="L552" i="2" s="1"/>
  <c r="K549" i="2"/>
  <c r="K552" i="2" s="1"/>
  <c r="J549" i="2"/>
  <c r="J552" i="2" s="1"/>
  <c r="BC560" i="2" s="1"/>
  <c r="BC561" i="2" s="1"/>
  <c r="I549" i="2"/>
  <c r="I552" i="2" s="1"/>
  <c r="H549" i="2"/>
  <c r="H552" i="2" s="1"/>
  <c r="G549" i="2"/>
  <c r="G552" i="2" s="1"/>
  <c r="F549" i="2"/>
  <c r="F552" i="2" s="1"/>
  <c r="E549" i="2"/>
  <c r="D549" i="2"/>
  <c r="D552" i="2" s="1"/>
  <c r="C549" i="2"/>
  <c r="C552" i="2" s="1"/>
  <c r="B549" i="2"/>
  <c r="B552" i="2" s="1"/>
  <c r="AG548" i="2"/>
  <c r="AG551" i="2" s="1"/>
  <c r="AF548" i="2"/>
  <c r="AF551" i="2" s="1"/>
  <c r="AE548" i="2"/>
  <c r="AD548" i="2"/>
  <c r="AD551" i="2" s="1"/>
  <c r="AC548" i="2"/>
  <c r="AC551" i="2" s="1"/>
  <c r="AB548" i="2"/>
  <c r="AB551" i="2" s="1"/>
  <c r="AA548" i="2"/>
  <c r="AA551" i="2" s="1"/>
  <c r="Z548" i="2"/>
  <c r="Y548" i="2"/>
  <c r="X548" i="2"/>
  <c r="W548" i="2"/>
  <c r="V548" i="2"/>
  <c r="U548" i="2"/>
  <c r="T548" i="2"/>
  <c r="T551" i="2" s="1"/>
  <c r="S548" i="2"/>
  <c r="S551" i="2" s="1"/>
  <c r="R548" i="2"/>
  <c r="R551" i="2" s="1"/>
  <c r="Q548" i="2"/>
  <c r="Q551" i="2" s="1"/>
  <c r="P548" i="2"/>
  <c r="O548" i="2"/>
  <c r="O551" i="2" s="1"/>
  <c r="N548" i="2"/>
  <c r="M548" i="2"/>
  <c r="L548" i="2"/>
  <c r="K548" i="2"/>
  <c r="J548" i="2"/>
  <c r="J551" i="2" s="1"/>
  <c r="I548" i="2"/>
  <c r="I551" i="2" s="1"/>
  <c r="H548" i="2"/>
  <c r="H551" i="2" s="1"/>
  <c r="G548" i="2"/>
  <c r="F548" i="2"/>
  <c r="F551" i="2" s="1"/>
  <c r="E548" i="2"/>
  <c r="D548" i="2"/>
  <c r="D551" i="2" s="1"/>
  <c r="C548" i="2"/>
  <c r="C551" i="2" s="1"/>
  <c r="B548" i="2"/>
  <c r="AG547" i="2"/>
  <c r="AF547" i="2"/>
  <c r="AE547" i="2"/>
  <c r="AE551" i="2" s="1"/>
  <c r="AD547" i="2"/>
  <c r="AC547" i="2"/>
  <c r="AB547" i="2"/>
  <c r="AA547" i="2"/>
  <c r="Z547" i="2"/>
  <c r="Z551" i="2" s="1"/>
  <c r="Y547" i="2"/>
  <c r="Y551" i="2" s="1"/>
  <c r="AW560" i="2" s="1"/>
  <c r="X547" i="2"/>
  <c r="X551" i="2" s="1"/>
  <c r="W547" i="2"/>
  <c r="W551" i="2" s="1"/>
  <c r="V547" i="2"/>
  <c r="V551" i="2" s="1"/>
  <c r="U547" i="2"/>
  <c r="U551" i="2" s="1"/>
  <c r="T547" i="2"/>
  <c r="S547" i="2"/>
  <c r="R547" i="2"/>
  <c r="Q547" i="2"/>
  <c r="P547" i="2"/>
  <c r="P551" i="2" s="1"/>
  <c r="O547" i="2"/>
  <c r="N547" i="2"/>
  <c r="N551" i="2" s="1"/>
  <c r="M547" i="2"/>
  <c r="M551" i="2" s="1"/>
  <c r="L547" i="2"/>
  <c r="L551" i="2" s="1"/>
  <c r="K547" i="2"/>
  <c r="K551" i="2" s="1"/>
  <c r="J547" i="2"/>
  <c r="I547" i="2"/>
  <c r="H547" i="2"/>
  <c r="G547" i="2"/>
  <c r="G551" i="2" s="1"/>
  <c r="F547" i="2"/>
  <c r="E547" i="2"/>
  <c r="D547" i="2"/>
  <c r="C547" i="2"/>
  <c r="B547" i="2"/>
  <c r="B551" i="2" s="1"/>
  <c r="AG546" i="2"/>
  <c r="AF546" i="2"/>
  <c r="AE546" i="2"/>
  <c r="AD546" i="2"/>
  <c r="AC546" i="2"/>
  <c r="AB546" i="2"/>
  <c r="AA546" i="2"/>
  <c r="Z546" i="2"/>
  <c r="Y546" i="2"/>
  <c r="AO560" i="2" s="1"/>
  <c r="X546" i="2"/>
  <c r="W546" i="2"/>
  <c r="V546" i="2"/>
  <c r="U546" i="2"/>
  <c r="T546" i="2"/>
  <c r="S546" i="2"/>
  <c r="AN560" i="2" s="1"/>
  <c r="AN561" i="2" s="1"/>
  <c r="R546" i="2"/>
  <c r="Q546" i="2"/>
  <c r="P546" i="2"/>
  <c r="O546" i="2"/>
  <c r="N546" i="2"/>
  <c r="M546" i="2"/>
  <c r="L546" i="2"/>
  <c r="K546" i="2"/>
  <c r="J546" i="2"/>
  <c r="AM560" i="2" s="1"/>
  <c r="AM561" i="2" s="1"/>
  <c r="I546" i="2"/>
  <c r="H546" i="2"/>
  <c r="G546" i="2"/>
  <c r="F546" i="2"/>
  <c r="E546" i="2"/>
  <c r="AL560" i="2" s="1"/>
  <c r="AL561" i="2" s="1"/>
  <c r="D546" i="2"/>
  <c r="C546" i="2"/>
  <c r="B546" i="2"/>
  <c r="AK560" i="2" s="1"/>
  <c r="AN543" i="2"/>
  <c r="AM543" i="2"/>
  <c r="Q543" i="2"/>
  <c r="AL542" i="2"/>
  <c r="AK542" i="2"/>
  <c r="Q542" i="2"/>
  <c r="J542" i="2"/>
  <c r="BA541" i="2"/>
  <c r="BA542" i="2" s="1"/>
  <c r="AO541" i="2"/>
  <c r="AO542" i="2" s="1"/>
  <c r="AN541" i="2"/>
  <c r="AN542" i="2" s="1"/>
  <c r="AM541" i="2"/>
  <c r="AM542" i="2" s="1"/>
  <c r="AL541" i="2"/>
  <c r="AK541" i="2"/>
  <c r="U541" i="2"/>
  <c r="U542" i="2" s="1"/>
  <c r="J541" i="2"/>
  <c r="BE540" i="2"/>
  <c r="BD540" i="2"/>
  <c r="BC540" i="2"/>
  <c r="BB540" i="2"/>
  <c r="BA540" i="2"/>
  <c r="AW540" i="2"/>
  <c r="AV540" i="2"/>
  <c r="AU540" i="2"/>
  <c r="AT540" i="2"/>
  <c r="AS540" i="2"/>
  <c r="AO540" i="2"/>
  <c r="AN540" i="2"/>
  <c r="AM540" i="2"/>
  <c r="AL540" i="2"/>
  <c r="AK540" i="2"/>
  <c r="AG540" i="2"/>
  <c r="AC540" i="2"/>
  <c r="U540" i="2"/>
  <c r="AA535" i="2"/>
  <c r="E535" i="2"/>
  <c r="AG533" i="2"/>
  <c r="AF533" i="2"/>
  <c r="AE533" i="2"/>
  <c r="AD533" i="2"/>
  <c r="AC533" i="2"/>
  <c r="AB533" i="2"/>
  <c r="AA533" i="2"/>
  <c r="Z533" i="2"/>
  <c r="Y533" i="2"/>
  <c r="X533" i="2"/>
  <c r="W533" i="2"/>
  <c r="V533" i="2"/>
  <c r="U533" i="2"/>
  <c r="T533" i="2"/>
  <c r="S533" i="2"/>
  <c r="R533" i="2"/>
  <c r="Q533" i="2"/>
  <c r="P533" i="2"/>
  <c r="O533" i="2"/>
  <c r="N533" i="2"/>
  <c r="M533" i="2"/>
  <c r="L533" i="2"/>
  <c r="K533" i="2"/>
  <c r="J533" i="2"/>
  <c r="I533" i="2"/>
  <c r="H533" i="2"/>
  <c r="G533" i="2"/>
  <c r="F533" i="2"/>
  <c r="E533" i="2"/>
  <c r="D533" i="2"/>
  <c r="C533" i="2"/>
  <c r="B533" i="2"/>
  <c r="AG532" i="2"/>
  <c r="AG535" i="2" s="1"/>
  <c r="AF532" i="2"/>
  <c r="AF535" i="2" s="1"/>
  <c r="AE532" i="2"/>
  <c r="AE535" i="2" s="1"/>
  <c r="AD532" i="2"/>
  <c r="AD535" i="2" s="1"/>
  <c r="AC532" i="2"/>
  <c r="AC535" i="2" s="1"/>
  <c r="AB532" i="2"/>
  <c r="AB535" i="2" s="1"/>
  <c r="AA532" i="2"/>
  <c r="Z532" i="2"/>
  <c r="Z535" i="2" s="1"/>
  <c r="Y532" i="2"/>
  <c r="Y535" i="2" s="1"/>
  <c r="X532" i="2"/>
  <c r="X535" i="2" s="1"/>
  <c r="W532" i="2"/>
  <c r="W535" i="2" s="1"/>
  <c r="V532" i="2"/>
  <c r="V535" i="2" s="1"/>
  <c r="U532" i="2"/>
  <c r="U535" i="2" s="1"/>
  <c r="T532" i="2"/>
  <c r="T535" i="2" s="1"/>
  <c r="S532" i="2"/>
  <c r="S535" i="2" s="1"/>
  <c r="R532" i="2"/>
  <c r="R535" i="2" s="1"/>
  <c r="Q532" i="2"/>
  <c r="Q535" i="2" s="1"/>
  <c r="P532" i="2"/>
  <c r="P535" i="2" s="1"/>
  <c r="O532" i="2"/>
  <c r="O535" i="2" s="1"/>
  <c r="N532" i="2"/>
  <c r="N535" i="2" s="1"/>
  <c r="M532" i="2"/>
  <c r="M535" i="2" s="1"/>
  <c r="L532" i="2"/>
  <c r="L535" i="2" s="1"/>
  <c r="K532" i="2"/>
  <c r="K535" i="2" s="1"/>
  <c r="J532" i="2"/>
  <c r="J535" i="2" s="1"/>
  <c r="BC543" i="2" s="1"/>
  <c r="I532" i="2"/>
  <c r="I535" i="2" s="1"/>
  <c r="H532" i="2"/>
  <c r="H535" i="2" s="1"/>
  <c r="G532" i="2"/>
  <c r="G535" i="2" s="1"/>
  <c r="F532" i="2"/>
  <c r="F535" i="2" s="1"/>
  <c r="E532" i="2"/>
  <c r="D532" i="2"/>
  <c r="D535" i="2" s="1"/>
  <c r="C532" i="2"/>
  <c r="C535" i="2" s="1"/>
  <c r="B532" i="2"/>
  <c r="B535" i="2" s="1"/>
  <c r="AG531" i="2"/>
  <c r="AF531" i="2"/>
  <c r="AE531" i="2"/>
  <c r="AD531" i="2"/>
  <c r="AC531" i="2"/>
  <c r="AB531" i="2"/>
  <c r="AA531" i="2"/>
  <c r="Z531" i="2"/>
  <c r="Z534" i="2" s="1"/>
  <c r="Y531" i="2"/>
  <c r="Y534" i="2" s="1"/>
  <c r="X531" i="2"/>
  <c r="X534" i="2" s="1"/>
  <c r="W531" i="2"/>
  <c r="V531" i="2"/>
  <c r="V534" i="2" s="1"/>
  <c r="U531" i="2"/>
  <c r="T531" i="2"/>
  <c r="S531" i="2"/>
  <c r="R531" i="2"/>
  <c r="Q531" i="2"/>
  <c r="Q534" i="2" s="1"/>
  <c r="P531" i="2"/>
  <c r="P534" i="2" s="1"/>
  <c r="O531" i="2"/>
  <c r="O534" i="2" s="1"/>
  <c r="N531" i="2"/>
  <c r="M531" i="2"/>
  <c r="M534" i="2" s="1"/>
  <c r="L531" i="2"/>
  <c r="L534" i="2" s="1"/>
  <c r="K531" i="2"/>
  <c r="K534" i="2" s="1"/>
  <c r="J531" i="2"/>
  <c r="J534" i="2" s="1"/>
  <c r="I531" i="2"/>
  <c r="H531" i="2"/>
  <c r="G531" i="2"/>
  <c r="F531" i="2"/>
  <c r="E531" i="2"/>
  <c r="D531" i="2"/>
  <c r="C531" i="2"/>
  <c r="B531" i="2"/>
  <c r="B534" i="2" s="1"/>
  <c r="AG530" i="2"/>
  <c r="AG534" i="2" s="1"/>
  <c r="AF530" i="2"/>
  <c r="AF534" i="2" s="1"/>
  <c r="AE530" i="2"/>
  <c r="AE534" i="2" s="1"/>
  <c r="AD530" i="2"/>
  <c r="AD534" i="2" s="1"/>
  <c r="AC530" i="2"/>
  <c r="AC534" i="2" s="1"/>
  <c r="AB530" i="2"/>
  <c r="AB534" i="2" s="1"/>
  <c r="AA530" i="2"/>
  <c r="AA534" i="2" s="1"/>
  <c r="Z530" i="2"/>
  <c r="Y530" i="2"/>
  <c r="X530" i="2"/>
  <c r="W530" i="2"/>
  <c r="W534" i="2" s="1"/>
  <c r="V530" i="2"/>
  <c r="U530" i="2"/>
  <c r="U534" i="2" s="1"/>
  <c r="T530" i="2"/>
  <c r="T534" i="2" s="1"/>
  <c r="S530" i="2"/>
  <c r="S534" i="2" s="1"/>
  <c r="R530" i="2"/>
  <c r="R534" i="2" s="1"/>
  <c r="Q530" i="2"/>
  <c r="P530" i="2"/>
  <c r="O530" i="2"/>
  <c r="N530" i="2"/>
  <c r="N534" i="2" s="1"/>
  <c r="M530" i="2"/>
  <c r="L530" i="2"/>
  <c r="K530" i="2"/>
  <c r="J530" i="2"/>
  <c r="I530" i="2"/>
  <c r="I534" i="2" s="1"/>
  <c r="H530" i="2"/>
  <c r="H534" i="2" s="1"/>
  <c r="G530" i="2"/>
  <c r="G534" i="2" s="1"/>
  <c r="F530" i="2"/>
  <c r="F534" i="2" s="1"/>
  <c r="E530" i="2"/>
  <c r="E534" i="2" s="1"/>
  <c r="D530" i="2"/>
  <c r="D534" i="2" s="1"/>
  <c r="C530" i="2"/>
  <c r="C534" i="2" s="1"/>
  <c r="B530" i="2"/>
  <c r="AG529" i="2"/>
  <c r="AF529" i="2"/>
  <c r="AE529" i="2"/>
  <c r="AD529" i="2"/>
  <c r="AC529" i="2"/>
  <c r="AB529" i="2"/>
  <c r="AA529" i="2"/>
  <c r="Z529" i="2"/>
  <c r="AO543" i="2" s="1"/>
  <c r="Y529" i="2"/>
  <c r="X529" i="2"/>
  <c r="W529" i="2"/>
  <c r="V529" i="2"/>
  <c r="U529" i="2"/>
  <c r="T529" i="2"/>
  <c r="S529" i="2"/>
  <c r="R529" i="2"/>
  <c r="Q529" i="2"/>
  <c r="P529" i="2"/>
  <c r="O529" i="2"/>
  <c r="N529" i="2"/>
  <c r="M529" i="2"/>
  <c r="L529" i="2"/>
  <c r="K529" i="2"/>
  <c r="J529" i="2"/>
  <c r="I529" i="2"/>
  <c r="H529" i="2"/>
  <c r="G529" i="2"/>
  <c r="F529" i="2"/>
  <c r="E529" i="2"/>
  <c r="D529" i="2"/>
  <c r="C529" i="2"/>
  <c r="B529" i="2"/>
  <c r="U543" i="2" s="1"/>
  <c r="Q526" i="2"/>
  <c r="Q525" i="2"/>
  <c r="BE541" i="2" s="1"/>
  <c r="BE542" i="2" s="1"/>
  <c r="J525" i="2"/>
  <c r="AV541" i="2" s="1"/>
  <c r="AV542" i="2" s="1"/>
  <c r="BB524" i="2"/>
  <c r="BB525" i="2" s="1"/>
  <c r="BA524" i="2"/>
  <c r="BA525" i="2" s="1"/>
  <c r="AO524" i="2"/>
  <c r="AO525" i="2" s="1"/>
  <c r="AN524" i="2"/>
  <c r="AN525" i="2" s="1"/>
  <c r="AM524" i="2"/>
  <c r="AM525" i="2" s="1"/>
  <c r="AL524" i="2"/>
  <c r="AL525" i="2" s="1"/>
  <c r="AK524" i="2"/>
  <c r="AK525" i="2" s="1"/>
  <c r="U524" i="2"/>
  <c r="J524" i="2"/>
  <c r="AU558" i="2" s="1"/>
  <c r="AU559" i="2" s="1"/>
  <c r="BE523" i="2"/>
  <c r="BD523" i="2"/>
  <c r="BC523" i="2"/>
  <c r="BB523" i="2"/>
  <c r="BA523" i="2"/>
  <c r="AW523" i="2"/>
  <c r="AV523" i="2"/>
  <c r="AU523" i="2"/>
  <c r="AT523" i="2"/>
  <c r="AS523" i="2"/>
  <c r="AO523" i="2"/>
  <c r="AN523" i="2"/>
  <c r="AM523" i="2"/>
  <c r="AL523" i="2"/>
  <c r="AK523" i="2"/>
  <c r="AG523" i="2"/>
  <c r="AC523" i="2"/>
  <c r="U523" i="2"/>
  <c r="U525" i="2" s="1"/>
  <c r="AG516" i="2"/>
  <c r="AF516" i="2"/>
  <c r="AE516" i="2"/>
  <c r="AD516" i="2"/>
  <c r="AC516" i="2"/>
  <c r="AB516" i="2"/>
  <c r="AA516" i="2"/>
  <c r="Z516" i="2"/>
  <c r="Y516" i="2"/>
  <c r="X516" i="2"/>
  <c r="W516" i="2"/>
  <c r="V516" i="2"/>
  <c r="U516" i="2"/>
  <c r="T516" i="2"/>
  <c r="S516" i="2"/>
  <c r="R516" i="2"/>
  <c r="Q516" i="2"/>
  <c r="P516" i="2"/>
  <c r="O516" i="2"/>
  <c r="N516" i="2"/>
  <c r="M516" i="2"/>
  <c r="L516" i="2"/>
  <c r="K516" i="2"/>
  <c r="J516" i="2"/>
  <c r="I516" i="2"/>
  <c r="H516" i="2"/>
  <c r="G516" i="2"/>
  <c r="F516" i="2"/>
  <c r="E516" i="2"/>
  <c r="D516" i="2"/>
  <c r="C516" i="2"/>
  <c r="B516" i="2"/>
  <c r="AG515" i="2"/>
  <c r="AG518" i="2" s="1"/>
  <c r="AF515" i="2"/>
  <c r="AF518" i="2" s="1"/>
  <c r="AE515" i="2"/>
  <c r="AE518" i="2" s="1"/>
  <c r="AD515" i="2"/>
  <c r="AD518" i="2" s="1"/>
  <c r="AC515" i="2"/>
  <c r="AC518" i="2" s="1"/>
  <c r="AB515" i="2"/>
  <c r="AB518" i="2" s="1"/>
  <c r="AA515" i="2"/>
  <c r="AA518" i="2" s="1"/>
  <c r="Z515" i="2"/>
  <c r="Z518" i="2" s="1"/>
  <c r="Y515" i="2"/>
  <c r="Y518" i="2" s="1"/>
  <c r="X515" i="2"/>
  <c r="X518" i="2" s="1"/>
  <c r="W515" i="2"/>
  <c r="W518" i="2" s="1"/>
  <c r="V515" i="2"/>
  <c r="V518" i="2" s="1"/>
  <c r="U515" i="2"/>
  <c r="U518" i="2" s="1"/>
  <c r="T515" i="2"/>
  <c r="T518" i="2" s="1"/>
  <c r="S515" i="2"/>
  <c r="S518" i="2" s="1"/>
  <c r="R515" i="2"/>
  <c r="R518" i="2" s="1"/>
  <c r="Q515" i="2"/>
  <c r="Q518" i="2" s="1"/>
  <c r="P515" i="2"/>
  <c r="P518" i="2" s="1"/>
  <c r="O515" i="2"/>
  <c r="O518" i="2" s="1"/>
  <c r="N515" i="2"/>
  <c r="N518" i="2" s="1"/>
  <c r="M515" i="2"/>
  <c r="M518" i="2" s="1"/>
  <c r="L515" i="2"/>
  <c r="L518" i="2" s="1"/>
  <c r="K515" i="2"/>
  <c r="K518" i="2" s="1"/>
  <c r="J515" i="2"/>
  <c r="J518" i="2" s="1"/>
  <c r="BC526" i="2" s="1"/>
  <c r="I515" i="2"/>
  <c r="I518" i="2" s="1"/>
  <c r="H515" i="2"/>
  <c r="H518" i="2" s="1"/>
  <c r="G515" i="2"/>
  <c r="G518" i="2" s="1"/>
  <c r="F515" i="2"/>
  <c r="F518" i="2" s="1"/>
  <c r="E515" i="2"/>
  <c r="E518" i="2" s="1"/>
  <c r="D515" i="2"/>
  <c r="D518" i="2" s="1"/>
  <c r="C515" i="2"/>
  <c r="C518" i="2" s="1"/>
  <c r="B515" i="2"/>
  <c r="B518" i="2" s="1"/>
  <c r="AG514" i="2"/>
  <c r="AG517" i="2" s="1"/>
  <c r="AF514" i="2"/>
  <c r="AF517" i="2" s="1"/>
  <c r="AE514" i="2"/>
  <c r="AE517" i="2" s="1"/>
  <c r="AD514" i="2"/>
  <c r="AC514" i="2"/>
  <c r="AB514" i="2"/>
  <c r="AA514" i="2"/>
  <c r="Z514" i="2"/>
  <c r="Y514" i="2"/>
  <c r="X514" i="2"/>
  <c r="X517" i="2" s="1"/>
  <c r="W514" i="2"/>
  <c r="W517" i="2" s="1"/>
  <c r="V514" i="2"/>
  <c r="V517" i="2" s="1"/>
  <c r="U514" i="2"/>
  <c r="T514" i="2"/>
  <c r="T517" i="2" s="1"/>
  <c r="S514" i="2"/>
  <c r="S517" i="2" s="1"/>
  <c r="R514" i="2"/>
  <c r="R517" i="2" s="1"/>
  <c r="Q514" i="2"/>
  <c r="Q517" i="2" s="1"/>
  <c r="P514" i="2"/>
  <c r="O514" i="2"/>
  <c r="N514" i="2"/>
  <c r="M514" i="2"/>
  <c r="L514" i="2"/>
  <c r="K514" i="2"/>
  <c r="J514" i="2"/>
  <c r="I514" i="2"/>
  <c r="I517" i="2" s="1"/>
  <c r="H514" i="2"/>
  <c r="H517" i="2" s="1"/>
  <c r="G514" i="2"/>
  <c r="G517" i="2" s="1"/>
  <c r="F514" i="2"/>
  <c r="E514" i="2"/>
  <c r="D514" i="2"/>
  <c r="C514" i="2"/>
  <c r="B514" i="2"/>
  <c r="AG513" i="2"/>
  <c r="AF513" i="2"/>
  <c r="AE513" i="2"/>
  <c r="AD513" i="2"/>
  <c r="AD517" i="2" s="1"/>
  <c r="AC513" i="2"/>
  <c r="AC517" i="2" s="1"/>
  <c r="AB513" i="2"/>
  <c r="AB517" i="2" s="1"/>
  <c r="AA513" i="2"/>
  <c r="AA517" i="2" s="1"/>
  <c r="Z513" i="2"/>
  <c r="Z517" i="2" s="1"/>
  <c r="Y513" i="2"/>
  <c r="Y517" i="2" s="1"/>
  <c r="AW526" i="2" s="1"/>
  <c r="X513" i="2"/>
  <c r="W513" i="2"/>
  <c r="V513" i="2"/>
  <c r="U513" i="2"/>
  <c r="U517" i="2" s="1"/>
  <c r="T513" i="2"/>
  <c r="S513" i="2"/>
  <c r="R513" i="2"/>
  <c r="Q513" i="2"/>
  <c r="P513" i="2"/>
  <c r="P517" i="2" s="1"/>
  <c r="O513" i="2"/>
  <c r="O517" i="2" s="1"/>
  <c r="N513" i="2"/>
  <c r="N517" i="2" s="1"/>
  <c r="M513" i="2"/>
  <c r="M517" i="2" s="1"/>
  <c r="L513" i="2"/>
  <c r="L517" i="2" s="1"/>
  <c r="K513" i="2"/>
  <c r="K517" i="2" s="1"/>
  <c r="J513" i="2"/>
  <c r="J517" i="2" s="1"/>
  <c r="I513" i="2"/>
  <c r="H513" i="2"/>
  <c r="G513" i="2"/>
  <c r="F513" i="2"/>
  <c r="F517" i="2" s="1"/>
  <c r="E513" i="2"/>
  <c r="E517" i="2" s="1"/>
  <c r="D513" i="2"/>
  <c r="D517" i="2" s="1"/>
  <c r="C513" i="2"/>
  <c r="C517" i="2" s="1"/>
  <c r="B513" i="2"/>
  <c r="B517" i="2" s="1"/>
  <c r="AG512" i="2"/>
  <c r="AF512" i="2"/>
  <c r="AE512" i="2"/>
  <c r="AD512" i="2"/>
  <c r="AC512" i="2"/>
  <c r="AB512" i="2"/>
  <c r="AA512" i="2"/>
  <c r="Z512" i="2"/>
  <c r="Y512" i="2"/>
  <c r="AO526" i="2" s="1"/>
  <c r="X512" i="2"/>
  <c r="W512" i="2"/>
  <c r="V512" i="2"/>
  <c r="U512" i="2"/>
  <c r="T512" i="2"/>
  <c r="S512" i="2"/>
  <c r="AN526" i="2" s="1"/>
  <c r="AN527" i="2" s="1"/>
  <c r="R512" i="2"/>
  <c r="Q512" i="2"/>
  <c r="P512" i="2"/>
  <c r="O512" i="2"/>
  <c r="N512" i="2"/>
  <c r="M512" i="2"/>
  <c r="L512" i="2"/>
  <c r="K512" i="2"/>
  <c r="J512" i="2"/>
  <c r="AM526" i="2" s="1"/>
  <c r="AM527" i="2" s="1"/>
  <c r="I512" i="2"/>
  <c r="AK526" i="2" s="1"/>
  <c r="AK527" i="2" s="1"/>
  <c r="H512" i="2"/>
  <c r="G512" i="2"/>
  <c r="F512" i="2"/>
  <c r="E512" i="2"/>
  <c r="D512" i="2"/>
  <c r="C512" i="2"/>
  <c r="B512" i="2"/>
  <c r="U526" i="2" s="1"/>
  <c r="BE560" i="1"/>
  <c r="BE577" i="1"/>
  <c r="AW577" i="1"/>
  <c r="AW560" i="1"/>
  <c r="BE526" i="1"/>
  <c r="BD526" i="1"/>
  <c r="BC526" i="1"/>
  <c r="BB526" i="1"/>
  <c r="BA526" i="1"/>
  <c r="AW526" i="1"/>
  <c r="AV526" i="1"/>
  <c r="AU526" i="1"/>
  <c r="AT526" i="1"/>
  <c r="AS526" i="1"/>
  <c r="BE578" i="1"/>
  <c r="BD577" i="1"/>
  <c r="BD578" i="1" s="1"/>
  <c r="BC577" i="1"/>
  <c r="BC578" i="1" s="1"/>
  <c r="BB577" i="1"/>
  <c r="BB578" i="1" s="1"/>
  <c r="BA577" i="1"/>
  <c r="BA578" i="1" s="1"/>
  <c r="AW578" i="1"/>
  <c r="AV577" i="1"/>
  <c r="AU577" i="1"/>
  <c r="AT577" i="1"/>
  <c r="AS577" i="1"/>
  <c r="AO577" i="1"/>
  <c r="AN577" i="1"/>
  <c r="AM577" i="1"/>
  <c r="AL577" i="1"/>
  <c r="AK577" i="1"/>
  <c r="AG577" i="1"/>
  <c r="AC577" i="1"/>
  <c r="U577" i="1"/>
  <c r="Q577" i="1"/>
  <c r="BE576" i="1"/>
  <c r="BD576" i="1"/>
  <c r="BC576" i="1"/>
  <c r="BB576" i="1"/>
  <c r="BA576" i="1"/>
  <c r="AW576" i="1"/>
  <c r="AV576" i="1"/>
  <c r="AV578" i="1" s="1"/>
  <c r="AU576" i="1"/>
  <c r="AU578" i="1" s="1"/>
  <c r="AT576" i="1"/>
  <c r="AT578" i="1" s="1"/>
  <c r="AS576" i="1"/>
  <c r="AS578" i="1" s="1"/>
  <c r="Q576" i="1"/>
  <c r="J576" i="1"/>
  <c r="BE575" i="1"/>
  <c r="BD575" i="1"/>
  <c r="BC575" i="1"/>
  <c r="BB575" i="1"/>
  <c r="BA575" i="1"/>
  <c r="AW575" i="1"/>
  <c r="AV575" i="1"/>
  <c r="AU575" i="1"/>
  <c r="AT575" i="1"/>
  <c r="AS575" i="1"/>
  <c r="AO575" i="1"/>
  <c r="AO576" i="1" s="1"/>
  <c r="AO578" i="1" s="1"/>
  <c r="AN575" i="1"/>
  <c r="AN576" i="1" s="1"/>
  <c r="AN578" i="1" s="1"/>
  <c r="AM575" i="1"/>
  <c r="AM576" i="1" s="1"/>
  <c r="AM578" i="1" s="1"/>
  <c r="AL575" i="1"/>
  <c r="AL576" i="1" s="1"/>
  <c r="AK575" i="1"/>
  <c r="AK576" i="1" s="1"/>
  <c r="AK578" i="1" s="1"/>
  <c r="AG575" i="1"/>
  <c r="AC575" i="1"/>
  <c r="U575" i="1"/>
  <c r="U576" i="1" s="1"/>
  <c r="U578" i="1" s="1"/>
  <c r="J575" i="1"/>
  <c r="BE574" i="1"/>
  <c r="BD574" i="1"/>
  <c r="BC574" i="1"/>
  <c r="BB574" i="1"/>
  <c r="BA574" i="1"/>
  <c r="AW574" i="1"/>
  <c r="AV574" i="1"/>
  <c r="AU574" i="1"/>
  <c r="AT574" i="1"/>
  <c r="AS574" i="1"/>
  <c r="AO574" i="1"/>
  <c r="AN574" i="1"/>
  <c r="AM574" i="1"/>
  <c r="AL574" i="1"/>
  <c r="AK574" i="1"/>
  <c r="AG574" i="1"/>
  <c r="AG576" i="1" s="1"/>
  <c r="AG578" i="1" s="1"/>
  <c r="AC574" i="1"/>
  <c r="AC576" i="1" s="1"/>
  <c r="AC578" i="1" s="1"/>
  <c r="U574" i="1"/>
  <c r="C567" i="1"/>
  <c r="D567" i="1"/>
  <c r="E567" i="1"/>
  <c r="F567" i="1"/>
  <c r="G567" i="1"/>
  <c r="H567" i="1"/>
  <c r="I567" i="1"/>
  <c r="J567" i="1"/>
  <c r="K567" i="1"/>
  <c r="L567" i="1"/>
  <c r="M567" i="1"/>
  <c r="N567" i="1"/>
  <c r="O567" i="1"/>
  <c r="P567" i="1"/>
  <c r="Q567" i="1"/>
  <c r="R567" i="1"/>
  <c r="S567" i="1"/>
  <c r="T567" i="1"/>
  <c r="U567" i="1"/>
  <c r="V567" i="1"/>
  <c r="W567" i="1"/>
  <c r="X567" i="1"/>
  <c r="Y567" i="1"/>
  <c r="Z567" i="1"/>
  <c r="AA567" i="1"/>
  <c r="AB567" i="1"/>
  <c r="AC567" i="1"/>
  <c r="AD567" i="1"/>
  <c r="AE567" i="1"/>
  <c r="AF567" i="1"/>
  <c r="AG567" i="1"/>
  <c r="B567" i="1"/>
  <c r="B569" i="1" s="1"/>
  <c r="C566" i="1"/>
  <c r="D566" i="1"/>
  <c r="E566" i="1"/>
  <c r="F566" i="1"/>
  <c r="G566" i="1"/>
  <c r="H566" i="1"/>
  <c r="I566" i="1"/>
  <c r="J566" i="1"/>
  <c r="K566" i="1"/>
  <c r="L566" i="1"/>
  <c r="M566" i="1"/>
  <c r="N566" i="1"/>
  <c r="O566" i="1"/>
  <c r="O569" i="1" s="1"/>
  <c r="P566" i="1"/>
  <c r="P569" i="1" s="1"/>
  <c r="Q566" i="1"/>
  <c r="Q569" i="1" s="1"/>
  <c r="R566" i="1"/>
  <c r="R569" i="1" s="1"/>
  <c r="S566" i="1"/>
  <c r="T566" i="1"/>
  <c r="U566" i="1"/>
  <c r="V566" i="1"/>
  <c r="W566" i="1"/>
  <c r="X566" i="1"/>
  <c r="Y566" i="1"/>
  <c r="Z566" i="1"/>
  <c r="AA566" i="1"/>
  <c r="AB566" i="1"/>
  <c r="AC566" i="1"/>
  <c r="AD566" i="1"/>
  <c r="AE566" i="1"/>
  <c r="AF566" i="1"/>
  <c r="AG566" i="1"/>
  <c r="B566" i="1"/>
  <c r="C565" i="1"/>
  <c r="D565" i="1"/>
  <c r="E565" i="1"/>
  <c r="F565" i="1"/>
  <c r="G565" i="1"/>
  <c r="H565" i="1"/>
  <c r="I565" i="1"/>
  <c r="J565" i="1"/>
  <c r="K565" i="1"/>
  <c r="L565" i="1"/>
  <c r="M565" i="1"/>
  <c r="N565" i="1"/>
  <c r="O565" i="1"/>
  <c r="P565" i="1"/>
  <c r="P568" i="1" s="1"/>
  <c r="Q565" i="1"/>
  <c r="Q568" i="1" s="1"/>
  <c r="R565" i="1"/>
  <c r="S565" i="1"/>
  <c r="T565" i="1"/>
  <c r="T568" i="1" s="1"/>
  <c r="U565" i="1"/>
  <c r="V565" i="1"/>
  <c r="W565" i="1"/>
  <c r="X565" i="1"/>
  <c r="Y565" i="1"/>
  <c r="Z565" i="1"/>
  <c r="AA565" i="1"/>
  <c r="AB565" i="1"/>
  <c r="AC565" i="1"/>
  <c r="AD565" i="1"/>
  <c r="AE565" i="1"/>
  <c r="AF565" i="1"/>
  <c r="AG565" i="1"/>
  <c r="B565" i="1"/>
  <c r="C564" i="1"/>
  <c r="D564" i="1"/>
  <c r="E564" i="1"/>
  <c r="F564" i="1"/>
  <c r="G564" i="1"/>
  <c r="H564" i="1"/>
  <c r="I564" i="1"/>
  <c r="J564" i="1"/>
  <c r="K564" i="1"/>
  <c r="K568" i="1" s="1"/>
  <c r="L564" i="1"/>
  <c r="M564" i="1"/>
  <c r="N564" i="1"/>
  <c r="O564" i="1"/>
  <c r="P564" i="1"/>
  <c r="Q564" i="1"/>
  <c r="R564" i="1"/>
  <c r="S564" i="1"/>
  <c r="T564" i="1"/>
  <c r="U564" i="1"/>
  <c r="V564" i="1"/>
  <c r="W564" i="1"/>
  <c r="X564" i="1"/>
  <c r="Y564" i="1"/>
  <c r="Z564" i="1"/>
  <c r="AA564" i="1"/>
  <c r="AB564" i="1"/>
  <c r="AC564" i="1"/>
  <c r="AD564" i="1"/>
  <c r="AE564" i="1"/>
  <c r="AF564" i="1"/>
  <c r="AG564" i="1"/>
  <c r="B564" i="1"/>
  <c r="C563" i="1"/>
  <c r="D563" i="1"/>
  <c r="E563" i="1"/>
  <c r="F563" i="1"/>
  <c r="G563" i="1"/>
  <c r="H563" i="1"/>
  <c r="I563" i="1"/>
  <c r="J563" i="1"/>
  <c r="K563" i="1"/>
  <c r="L563" i="1"/>
  <c r="M563" i="1"/>
  <c r="N563" i="1"/>
  <c r="O563" i="1"/>
  <c r="P563" i="1"/>
  <c r="Q563" i="1"/>
  <c r="R563" i="1"/>
  <c r="S563" i="1"/>
  <c r="T563" i="1"/>
  <c r="U563" i="1"/>
  <c r="V563" i="1"/>
  <c r="W563" i="1"/>
  <c r="X563" i="1"/>
  <c r="Y563" i="1"/>
  <c r="Z563" i="1"/>
  <c r="AA563" i="1"/>
  <c r="AB563" i="1"/>
  <c r="AC563" i="1"/>
  <c r="AD563" i="1"/>
  <c r="AE563" i="1"/>
  <c r="AF563" i="1"/>
  <c r="AG563" i="1"/>
  <c r="B563" i="1"/>
  <c r="AG569" i="1"/>
  <c r="AF569" i="1"/>
  <c r="AE569" i="1"/>
  <c r="AD569" i="1"/>
  <c r="AC569" i="1"/>
  <c r="AB569" i="1"/>
  <c r="AA569" i="1"/>
  <c r="N569" i="1"/>
  <c r="M569" i="1"/>
  <c r="L569" i="1"/>
  <c r="K569" i="1"/>
  <c r="J569" i="1"/>
  <c r="I569" i="1"/>
  <c r="H569" i="1"/>
  <c r="G569" i="1"/>
  <c r="F569" i="1"/>
  <c r="E569" i="1"/>
  <c r="D569" i="1"/>
  <c r="C569" i="1"/>
  <c r="S568" i="1"/>
  <c r="R568" i="1"/>
  <c r="AE568" i="1"/>
  <c r="AD568" i="1"/>
  <c r="AC568" i="1"/>
  <c r="AB568" i="1"/>
  <c r="AA568" i="1"/>
  <c r="Z568" i="1"/>
  <c r="O568" i="1"/>
  <c r="N568" i="1"/>
  <c r="M568" i="1"/>
  <c r="L568" i="1"/>
  <c r="G568" i="1"/>
  <c r="F568" i="1"/>
  <c r="E568" i="1"/>
  <c r="D568" i="1"/>
  <c r="C568" i="1"/>
  <c r="B568" i="1"/>
  <c r="C550" i="1"/>
  <c r="D550" i="1"/>
  <c r="E550" i="1"/>
  <c r="F550" i="1"/>
  <c r="G550" i="1"/>
  <c r="H550" i="1"/>
  <c r="I550" i="1"/>
  <c r="J550" i="1"/>
  <c r="J552" i="1" s="1"/>
  <c r="K550" i="1"/>
  <c r="L550" i="1"/>
  <c r="L552" i="1" s="1"/>
  <c r="M550" i="1"/>
  <c r="N550" i="1"/>
  <c r="O550" i="1"/>
  <c r="P550" i="1"/>
  <c r="Q550" i="1"/>
  <c r="R550" i="1"/>
  <c r="S550" i="1"/>
  <c r="T550" i="1"/>
  <c r="U550" i="1"/>
  <c r="V550" i="1"/>
  <c r="W550" i="1"/>
  <c r="X550" i="1"/>
  <c r="Y550" i="1"/>
  <c r="Z550" i="1"/>
  <c r="AA550" i="1"/>
  <c r="AB550" i="1"/>
  <c r="AC550" i="1"/>
  <c r="AD550" i="1"/>
  <c r="AE550" i="1"/>
  <c r="AF550" i="1"/>
  <c r="AG550" i="1"/>
  <c r="AG552" i="1" s="1"/>
  <c r="B550" i="1"/>
  <c r="B552" i="1" s="1"/>
  <c r="C549" i="1"/>
  <c r="D549" i="1"/>
  <c r="E549" i="1"/>
  <c r="F549" i="1"/>
  <c r="G549" i="1"/>
  <c r="H549" i="1"/>
  <c r="I549" i="1"/>
  <c r="J549" i="1"/>
  <c r="K549" i="1"/>
  <c r="L549" i="1"/>
  <c r="M549" i="1"/>
  <c r="N549" i="1"/>
  <c r="N552" i="1" s="1"/>
  <c r="O549" i="1"/>
  <c r="P549" i="1"/>
  <c r="Q549" i="1"/>
  <c r="R549" i="1"/>
  <c r="R552" i="1" s="1"/>
  <c r="S549" i="1"/>
  <c r="T549" i="1"/>
  <c r="U549" i="1"/>
  <c r="V549" i="1"/>
  <c r="W549" i="1"/>
  <c r="X549" i="1"/>
  <c r="Y549" i="1"/>
  <c r="Z549" i="1"/>
  <c r="AA549" i="1"/>
  <c r="AB549" i="1"/>
  <c r="AC549" i="1"/>
  <c r="AD549" i="1"/>
  <c r="AE549" i="1"/>
  <c r="AF549" i="1"/>
  <c r="AG549" i="1"/>
  <c r="B549" i="1"/>
  <c r="C548" i="1"/>
  <c r="D548" i="1"/>
  <c r="E548" i="1"/>
  <c r="F548" i="1"/>
  <c r="G548" i="1"/>
  <c r="H548" i="1"/>
  <c r="I548" i="1"/>
  <c r="J548" i="1"/>
  <c r="K548" i="1"/>
  <c r="L548" i="1"/>
  <c r="M548" i="1"/>
  <c r="N548" i="1"/>
  <c r="O548" i="1"/>
  <c r="P548" i="1"/>
  <c r="Q548" i="1"/>
  <c r="Q551" i="1" s="1"/>
  <c r="R548" i="1"/>
  <c r="R551" i="1" s="1"/>
  <c r="S548" i="1"/>
  <c r="S551" i="1" s="1"/>
  <c r="T548" i="1"/>
  <c r="T551" i="1" s="1"/>
  <c r="U548" i="1"/>
  <c r="V548" i="1"/>
  <c r="W548" i="1"/>
  <c r="X548" i="1"/>
  <c r="Y548" i="1"/>
  <c r="Y551" i="1" s="1"/>
  <c r="AW561" i="1" s="1"/>
  <c r="Z548" i="1"/>
  <c r="Z551" i="1" s="1"/>
  <c r="AA548" i="1"/>
  <c r="AB548" i="1"/>
  <c r="AC548" i="1"/>
  <c r="AD548" i="1"/>
  <c r="AE548" i="1"/>
  <c r="AF548" i="1"/>
  <c r="AG548" i="1"/>
  <c r="B548" i="1"/>
  <c r="C547" i="1"/>
  <c r="D547" i="1"/>
  <c r="E547" i="1"/>
  <c r="F547" i="1"/>
  <c r="G547" i="1"/>
  <c r="H547" i="1"/>
  <c r="I547" i="1"/>
  <c r="J547" i="1"/>
  <c r="K547" i="1"/>
  <c r="L547" i="1"/>
  <c r="M547" i="1"/>
  <c r="N547" i="1"/>
  <c r="O547" i="1"/>
  <c r="P547" i="1"/>
  <c r="Q547" i="1"/>
  <c r="R547" i="1"/>
  <c r="S547" i="1"/>
  <c r="T547" i="1"/>
  <c r="U547" i="1"/>
  <c r="V547" i="1"/>
  <c r="W547" i="1"/>
  <c r="X547" i="1"/>
  <c r="Y547" i="1"/>
  <c r="Z547" i="1"/>
  <c r="AA547" i="1"/>
  <c r="AB547" i="1"/>
  <c r="AC547" i="1"/>
  <c r="AD547" i="1"/>
  <c r="AE547" i="1"/>
  <c r="AF547" i="1"/>
  <c r="AG547" i="1"/>
  <c r="B547" i="1"/>
  <c r="C546" i="1"/>
  <c r="D546" i="1"/>
  <c r="E546" i="1"/>
  <c r="F546" i="1"/>
  <c r="G546" i="1"/>
  <c r="H546" i="1"/>
  <c r="I546" i="1"/>
  <c r="J546" i="1"/>
  <c r="K546" i="1"/>
  <c r="L546" i="1"/>
  <c r="M546" i="1"/>
  <c r="N546" i="1"/>
  <c r="O546" i="1"/>
  <c r="P546" i="1"/>
  <c r="Q546" i="1"/>
  <c r="R546" i="1"/>
  <c r="S546" i="1"/>
  <c r="T546" i="1"/>
  <c r="U546" i="1"/>
  <c r="V546" i="1"/>
  <c r="W546" i="1"/>
  <c r="X546" i="1"/>
  <c r="Y546" i="1"/>
  <c r="Z546" i="1"/>
  <c r="AA546" i="1"/>
  <c r="AB546" i="1"/>
  <c r="AC546" i="1"/>
  <c r="AD546" i="1"/>
  <c r="AE546" i="1"/>
  <c r="AF546" i="1"/>
  <c r="AG546" i="1"/>
  <c r="B546" i="1"/>
  <c r="AL560" i="1" s="1"/>
  <c r="AL561" i="1" s="1"/>
  <c r="Q560" i="1"/>
  <c r="BE559" i="1"/>
  <c r="BD559" i="1"/>
  <c r="BC559" i="1"/>
  <c r="BB559" i="1"/>
  <c r="BA559" i="1"/>
  <c r="AW559" i="1"/>
  <c r="AV559" i="1"/>
  <c r="AU559" i="1"/>
  <c r="AT559" i="1"/>
  <c r="AS559" i="1"/>
  <c r="Q559" i="1"/>
  <c r="J559" i="1"/>
  <c r="BE558" i="1"/>
  <c r="BD558" i="1"/>
  <c r="BC558" i="1"/>
  <c r="BB558" i="1"/>
  <c r="BA558" i="1"/>
  <c r="AW558" i="1"/>
  <c r="AV558" i="1"/>
  <c r="AU558" i="1"/>
  <c r="AT558" i="1"/>
  <c r="AS558" i="1"/>
  <c r="AO558" i="1"/>
  <c r="AO559" i="1" s="1"/>
  <c r="AN558" i="1"/>
  <c r="AN559" i="1" s="1"/>
  <c r="AM558" i="1"/>
  <c r="AM559" i="1" s="1"/>
  <c r="AL558" i="1"/>
  <c r="AL559" i="1" s="1"/>
  <c r="AK558" i="1"/>
  <c r="AK559" i="1" s="1"/>
  <c r="AG558" i="1"/>
  <c r="AC558" i="1"/>
  <c r="U558" i="1"/>
  <c r="U559" i="1" s="1"/>
  <c r="J558" i="1"/>
  <c r="BE557" i="1"/>
  <c r="BD557" i="1"/>
  <c r="BC557" i="1"/>
  <c r="BB557" i="1"/>
  <c r="BA557" i="1"/>
  <c r="AW557" i="1"/>
  <c r="AV557" i="1"/>
  <c r="AU557" i="1"/>
  <c r="AT557" i="1"/>
  <c r="AS557" i="1"/>
  <c r="AO557" i="1"/>
  <c r="AN557" i="1"/>
  <c r="AM557" i="1"/>
  <c r="AL557" i="1"/>
  <c r="AK557" i="1"/>
  <c r="AG557" i="1"/>
  <c r="AG559" i="1" s="1"/>
  <c r="AC557" i="1"/>
  <c r="AC559" i="1" s="1"/>
  <c r="U557" i="1"/>
  <c r="I552" i="1"/>
  <c r="AF552" i="1"/>
  <c r="AE552" i="1"/>
  <c r="AD552" i="1"/>
  <c r="AC552" i="1"/>
  <c r="AB552" i="1"/>
  <c r="AA552" i="1"/>
  <c r="Y552" i="1"/>
  <c r="Q552" i="1"/>
  <c r="P552" i="1"/>
  <c r="O552" i="1"/>
  <c r="M552" i="1"/>
  <c r="H552" i="1"/>
  <c r="G552" i="1"/>
  <c r="F552" i="1"/>
  <c r="E552" i="1"/>
  <c r="D552" i="1"/>
  <c r="C552" i="1"/>
  <c r="V551" i="1"/>
  <c r="U551" i="1"/>
  <c r="AG551" i="1"/>
  <c r="AF551" i="1"/>
  <c r="AE551" i="1"/>
  <c r="AD551" i="1"/>
  <c r="AC551" i="1"/>
  <c r="AB551" i="1"/>
  <c r="AA551" i="1"/>
  <c r="P551" i="1"/>
  <c r="O551" i="1"/>
  <c r="N551" i="1"/>
  <c r="M551" i="1"/>
  <c r="L551" i="1"/>
  <c r="K551" i="1"/>
  <c r="J551" i="1"/>
  <c r="I551" i="1"/>
  <c r="H551" i="1"/>
  <c r="G551" i="1"/>
  <c r="F551" i="1"/>
  <c r="E551" i="1"/>
  <c r="D551" i="1"/>
  <c r="C551" i="1"/>
  <c r="B551" i="1"/>
  <c r="AN560" i="1"/>
  <c r="AN561" i="1" s="1"/>
  <c r="AM560" i="1"/>
  <c r="AM561" i="1" s="1"/>
  <c r="AO541" i="1"/>
  <c r="AN541" i="1"/>
  <c r="AM541" i="1"/>
  <c r="AL541" i="1"/>
  <c r="AK541" i="1"/>
  <c r="BE540" i="1"/>
  <c r="BD540" i="1"/>
  <c r="BC540" i="1"/>
  <c r="BB540" i="1"/>
  <c r="BA540" i="1"/>
  <c r="AW540" i="1"/>
  <c r="AV540" i="1"/>
  <c r="AU540" i="1"/>
  <c r="AT540" i="1"/>
  <c r="AS540" i="1"/>
  <c r="AO540" i="1"/>
  <c r="AN540" i="1"/>
  <c r="AM540" i="1"/>
  <c r="AL540" i="1"/>
  <c r="AK540" i="1"/>
  <c r="Q543" i="1"/>
  <c r="Q542" i="1"/>
  <c r="J542" i="1"/>
  <c r="U541" i="1"/>
  <c r="J541" i="1"/>
  <c r="AG540" i="1"/>
  <c r="AC540" i="1"/>
  <c r="U540" i="1"/>
  <c r="C533" i="1"/>
  <c r="D533" i="1"/>
  <c r="E533" i="1"/>
  <c r="E535" i="1" s="1"/>
  <c r="F533" i="1"/>
  <c r="G533" i="1"/>
  <c r="H533" i="1"/>
  <c r="I533" i="1"/>
  <c r="J533" i="1"/>
  <c r="K533" i="1"/>
  <c r="L533" i="1"/>
  <c r="M533" i="1"/>
  <c r="N533" i="1"/>
  <c r="O533" i="1"/>
  <c r="P533" i="1"/>
  <c r="Q533" i="1"/>
  <c r="R533" i="1"/>
  <c r="S533" i="1"/>
  <c r="T533" i="1"/>
  <c r="U533" i="1"/>
  <c r="V533" i="1"/>
  <c r="W533" i="1"/>
  <c r="X533" i="1"/>
  <c r="Y533" i="1"/>
  <c r="Z533" i="1"/>
  <c r="AA533" i="1"/>
  <c r="AB533" i="1"/>
  <c r="AC533" i="1"/>
  <c r="AC535" i="1" s="1"/>
  <c r="AD533" i="1"/>
  <c r="AE533" i="1"/>
  <c r="AF533" i="1"/>
  <c r="AG533" i="1"/>
  <c r="C532" i="1"/>
  <c r="D532" i="1"/>
  <c r="E532" i="1"/>
  <c r="F532" i="1"/>
  <c r="G532" i="1"/>
  <c r="H532" i="1"/>
  <c r="H535" i="1" s="1"/>
  <c r="I532" i="1"/>
  <c r="J532" i="1"/>
  <c r="J535" i="1" s="1"/>
  <c r="K532" i="1"/>
  <c r="K535" i="1" s="1"/>
  <c r="L532" i="1"/>
  <c r="L535" i="1" s="1"/>
  <c r="M532" i="1"/>
  <c r="M535" i="1" s="1"/>
  <c r="N532" i="1"/>
  <c r="O532" i="1"/>
  <c r="P532" i="1"/>
  <c r="Q532" i="1"/>
  <c r="R532" i="1"/>
  <c r="S532" i="1"/>
  <c r="T532" i="1"/>
  <c r="U532" i="1"/>
  <c r="U535" i="1" s="1"/>
  <c r="V532" i="1"/>
  <c r="V535" i="1" s="1"/>
  <c r="W532" i="1"/>
  <c r="W535" i="1" s="1"/>
  <c r="X532" i="1"/>
  <c r="X535" i="1" s="1"/>
  <c r="Y532" i="1"/>
  <c r="Z532" i="1"/>
  <c r="AA532" i="1"/>
  <c r="AB532" i="1"/>
  <c r="AC532" i="1"/>
  <c r="AD532" i="1"/>
  <c r="AE532" i="1"/>
  <c r="AF532" i="1"/>
  <c r="AF535" i="1" s="1"/>
  <c r="AG532" i="1"/>
  <c r="C531" i="1"/>
  <c r="D531" i="1"/>
  <c r="E531" i="1"/>
  <c r="F531" i="1"/>
  <c r="G531" i="1"/>
  <c r="H531" i="1"/>
  <c r="I531" i="1"/>
  <c r="J531" i="1"/>
  <c r="K531" i="1"/>
  <c r="L531" i="1"/>
  <c r="M531" i="1"/>
  <c r="N531" i="1"/>
  <c r="O531" i="1"/>
  <c r="P531" i="1"/>
  <c r="Q531" i="1"/>
  <c r="R531" i="1"/>
  <c r="S531" i="1"/>
  <c r="T531" i="1"/>
  <c r="U531" i="1"/>
  <c r="V531" i="1"/>
  <c r="W531" i="1"/>
  <c r="X531" i="1"/>
  <c r="Y531" i="1"/>
  <c r="Z531" i="1"/>
  <c r="AA531" i="1"/>
  <c r="AB531" i="1"/>
  <c r="AC531" i="1"/>
  <c r="AD531" i="1"/>
  <c r="AE531" i="1"/>
  <c r="AF531" i="1"/>
  <c r="AG531" i="1"/>
  <c r="C530" i="1"/>
  <c r="D530" i="1"/>
  <c r="E530" i="1"/>
  <c r="F530" i="1"/>
  <c r="G530" i="1"/>
  <c r="G534" i="1" s="1"/>
  <c r="H530" i="1"/>
  <c r="H534" i="1" s="1"/>
  <c r="I530" i="1"/>
  <c r="I534" i="1" s="1"/>
  <c r="J530" i="1"/>
  <c r="J534" i="1" s="1"/>
  <c r="K530" i="1"/>
  <c r="L530" i="1"/>
  <c r="M530" i="1"/>
  <c r="N530" i="1"/>
  <c r="O530" i="1"/>
  <c r="P530" i="1"/>
  <c r="Q530" i="1"/>
  <c r="R530" i="1"/>
  <c r="S530" i="1"/>
  <c r="T530" i="1"/>
  <c r="U530" i="1"/>
  <c r="U534" i="1" s="1"/>
  <c r="V530" i="1"/>
  <c r="V534" i="1" s="1"/>
  <c r="W530" i="1"/>
  <c r="W534" i="1" s="1"/>
  <c r="X530" i="1"/>
  <c r="Y530" i="1"/>
  <c r="Z530" i="1"/>
  <c r="AA530" i="1"/>
  <c r="AB530" i="1"/>
  <c r="AC530" i="1"/>
  <c r="AD530" i="1"/>
  <c r="AE530" i="1"/>
  <c r="AE534" i="1" s="1"/>
  <c r="AF530" i="1"/>
  <c r="AF534" i="1" s="1"/>
  <c r="AG530" i="1"/>
  <c r="AG534" i="1" s="1"/>
  <c r="C529" i="1"/>
  <c r="D529" i="1"/>
  <c r="E529" i="1"/>
  <c r="F529" i="1"/>
  <c r="G529" i="1"/>
  <c r="H529" i="1"/>
  <c r="I529" i="1"/>
  <c r="J529" i="1"/>
  <c r="K529" i="1"/>
  <c r="L529" i="1"/>
  <c r="M529" i="1"/>
  <c r="N529" i="1"/>
  <c r="O529" i="1"/>
  <c r="P529" i="1"/>
  <c r="Q529" i="1"/>
  <c r="R529" i="1"/>
  <c r="S529" i="1"/>
  <c r="T529" i="1"/>
  <c r="U529" i="1"/>
  <c r="V529" i="1"/>
  <c r="W529" i="1"/>
  <c r="X529" i="1"/>
  <c r="Y529" i="1"/>
  <c r="AO543" i="1" s="1"/>
  <c r="Z529" i="1"/>
  <c r="AA529" i="1"/>
  <c r="AB529" i="1"/>
  <c r="AC529" i="1"/>
  <c r="AD529" i="1"/>
  <c r="AE529" i="1"/>
  <c r="AF529" i="1"/>
  <c r="AG529" i="1"/>
  <c r="B533" i="1"/>
  <c r="B532" i="1"/>
  <c r="B531" i="1"/>
  <c r="B530" i="1"/>
  <c r="B534" i="1" s="1"/>
  <c r="B529" i="1"/>
  <c r="AO525" i="1"/>
  <c r="AL524" i="1"/>
  <c r="AM524" i="1"/>
  <c r="AN524" i="1"/>
  <c r="AO524" i="1"/>
  <c r="AK524" i="1"/>
  <c r="BE523" i="1"/>
  <c r="BD523" i="1"/>
  <c r="BC523" i="1"/>
  <c r="BB523" i="1"/>
  <c r="BA523" i="1"/>
  <c r="AW523" i="1"/>
  <c r="AV523" i="1"/>
  <c r="AU523" i="1"/>
  <c r="AT523" i="1"/>
  <c r="AS523" i="1"/>
  <c r="AO523" i="1"/>
  <c r="AN523" i="1"/>
  <c r="AN525" i="1" s="1"/>
  <c r="AM523" i="1"/>
  <c r="AL523" i="1"/>
  <c r="AK523" i="1"/>
  <c r="U524" i="1"/>
  <c r="AG523" i="1"/>
  <c r="AC523" i="1"/>
  <c r="U523" i="1"/>
  <c r="Q526" i="1"/>
  <c r="Q525" i="1"/>
  <c r="AG541" i="1" s="1"/>
  <c r="J525" i="1"/>
  <c r="J524" i="1"/>
  <c r="AC541" i="1" s="1"/>
  <c r="AC542" i="1" s="1"/>
  <c r="C515" i="1"/>
  <c r="D515" i="1"/>
  <c r="D518" i="1" s="1"/>
  <c r="E515" i="1"/>
  <c r="E518" i="1" s="1"/>
  <c r="F515" i="1"/>
  <c r="F518" i="1" s="1"/>
  <c r="G515" i="1"/>
  <c r="G518" i="1" s="1"/>
  <c r="H515" i="1"/>
  <c r="I515" i="1"/>
  <c r="J515" i="1"/>
  <c r="K515" i="1"/>
  <c r="L515" i="1"/>
  <c r="M515" i="1"/>
  <c r="N515" i="1"/>
  <c r="O515" i="1"/>
  <c r="P515" i="1"/>
  <c r="P518" i="1" s="1"/>
  <c r="Q515" i="1"/>
  <c r="Q518" i="1" s="1"/>
  <c r="R515" i="1"/>
  <c r="R518" i="1" s="1"/>
  <c r="S515" i="1"/>
  <c r="T515" i="1"/>
  <c r="U515" i="1"/>
  <c r="V515" i="1"/>
  <c r="W515" i="1"/>
  <c r="X515" i="1"/>
  <c r="Y515" i="1"/>
  <c r="Z515" i="1"/>
  <c r="AA515" i="1"/>
  <c r="AB515" i="1"/>
  <c r="AB518" i="1" s="1"/>
  <c r="AC515" i="1"/>
  <c r="AC518" i="1" s="1"/>
  <c r="AD515" i="1"/>
  <c r="AD518" i="1" s="1"/>
  <c r="AE515" i="1"/>
  <c r="AE518" i="1" s="1"/>
  <c r="AF515" i="1"/>
  <c r="AG515" i="1"/>
  <c r="B515" i="1"/>
  <c r="C516" i="1"/>
  <c r="D516" i="1"/>
  <c r="E516" i="1"/>
  <c r="F516" i="1"/>
  <c r="G516" i="1"/>
  <c r="H516" i="1"/>
  <c r="I516" i="1"/>
  <c r="J516" i="1"/>
  <c r="K516" i="1"/>
  <c r="L516" i="1"/>
  <c r="M516" i="1"/>
  <c r="N516" i="1"/>
  <c r="O516" i="1"/>
  <c r="P516" i="1"/>
  <c r="Q516" i="1"/>
  <c r="R516" i="1"/>
  <c r="S516" i="1"/>
  <c r="T516" i="1"/>
  <c r="U516" i="1"/>
  <c r="U518" i="1" s="1"/>
  <c r="V516" i="1"/>
  <c r="W516" i="1"/>
  <c r="W518" i="1" s="1"/>
  <c r="X516" i="1"/>
  <c r="Y516" i="1"/>
  <c r="Y518" i="1" s="1"/>
  <c r="Z516" i="1"/>
  <c r="Z518" i="1" s="1"/>
  <c r="AA516" i="1"/>
  <c r="AB516" i="1"/>
  <c r="AC516" i="1"/>
  <c r="AD516" i="1"/>
  <c r="AE516" i="1"/>
  <c r="AF516" i="1"/>
  <c r="AG516" i="1"/>
  <c r="B516" i="1"/>
  <c r="C514" i="1"/>
  <c r="D514" i="1"/>
  <c r="E514" i="1"/>
  <c r="F514" i="1"/>
  <c r="G514" i="1"/>
  <c r="H514" i="1"/>
  <c r="I514" i="1"/>
  <c r="J514" i="1"/>
  <c r="K514" i="1"/>
  <c r="L514" i="1"/>
  <c r="M514" i="1"/>
  <c r="N514" i="1"/>
  <c r="O514" i="1"/>
  <c r="P514" i="1"/>
  <c r="Q514" i="1"/>
  <c r="R514" i="1"/>
  <c r="S514" i="1"/>
  <c r="T514" i="1"/>
  <c r="U514" i="1"/>
  <c r="V514" i="1"/>
  <c r="W514" i="1"/>
  <c r="X514" i="1"/>
  <c r="Y514" i="1"/>
  <c r="Z514" i="1"/>
  <c r="AA514" i="1"/>
  <c r="AB514" i="1"/>
  <c r="AC514" i="1"/>
  <c r="AD514" i="1"/>
  <c r="AE514" i="1"/>
  <c r="AF514" i="1"/>
  <c r="AG514" i="1"/>
  <c r="B514" i="1"/>
  <c r="C513" i="1"/>
  <c r="D513" i="1"/>
  <c r="E513" i="1"/>
  <c r="E517" i="1" s="1"/>
  <c r="F513" i="1"/>
  <c r="G513" i="1"/>
  <c r="G517" i="1" s="1"/>
  <c r="H513" i="1"/>
  <c r="H517" i="1" s="1"/>
  <c r="I513" i="1"/>
  <c r="I517" i="1" s="1"/>
  <c r="J513" i="1"/>
  <c r="J517" i="1" s="1"/>
  <c r="K513" i="1"/>
  <c r="L513" i="1"/>
  <c r="M513" i="1"/>
  <c r="N513" i="1"/>
  <c r="O513" i="1"/>
  <c r="P513" i="1"/>
  <c r="Q513" i="1"/>
  <c r="Q517" i="1" s="1"/>
  <c r="R513" i="1"/>
  <c r="S513" i="1"/>
  <c r="T513" i="1"/>
  <c r="T517" i="1" s="1"/>
  <c r="U513" i="1"/>
  <c r="U517" i="1" s="1"/>
  <c r="V513" i="1"/>
  <c r="V517" i="1" s="1"/>
  <c r="W513" i="1"/>
  <c r="X513" i="1"/>
  <c r="Y513" i="1"/>
  <c r="Z513" i="1"/>
  <c r="AA513" i="1"/>
  <c r="AB513" i="1"/>
  <c r="AC513" i="1"/>
  <c r="AC517" i="1" s="1"/>
  <c r="AD513" i="1"/>
  <c r="AD517" i="1" s="1"/>
  <c r="AE513" i="1"/>
  <c r="AE517" i="1" s="1"/>
  <c r="AF513" i="1"/>
  <c r="AF517" i="1" s="1"/>
  <c r="AG513" i="1"/>
  <c r="AG517" i="1" s="1"/>
  <c r="B513" i="1"/>
  <c r="B517" i="1" s="1"/>
  <c r="B512" i="1"/>
  <c r="C512" i="1"/>
  <c r="D512" i="1"/>
  <c r="E512" i="1"/>
  <c r="F512" i="1"/>
  <c r="G512" i="1"/>
  <c r="H512" i="1"/>
  <c r="I512" i="1"/>
  <c r="J512" i="1"/>
  <c r="K512" i="1"/>
  <c r="L512" i="1"/>
  <c r="M512" i="1"/>
  <c r="N512" i="1"/>
  <c r="O512" i="1"/>
  <c r="P512" i="1"/>
  <c r="Q512" i="1"/>
  <c r="R512" i="1"/>
  <c r="S512" i="1"/>
  <c r="T512" i="1"/>
  <c r="U512" i="1"/>
  <c r="V512" i="1"/>
  <c r="W512" i="1"/>
  <c r="X512" i="1"/>
  <c r="Y512" i="1"/>
  <c r="Z512" i="1"/>
  <c r="AA512" i="1"/>
  <c r="AB512" i="1"/>
  <c r="AC512" i="1"/>
  <c r="AD512" i="1"/>
  <c r="AE512" i="1"/>
  <c r="AF512" i="1"/>
  <c r="AG512" i="1"/>
  <c r="AK525" i="1"/>
  <c r="S5" i="4" l="1"/>
  <c r="M18" i="4"/>
  <c r="S6" i="4"/>
  <c r="M19" i="4"/>
  <c r="S4" i="4"/>
  <c r="M17" i="4"/>
  <c r="G14" i="4"/>
  <c r="M16" i="4"/>
  <c r="C193" i="4" s="1"/>
  <c r="G13" i="4"/>
  <c r="G12" i="4"/>
  <c r="G11" i="4"/>
  <c r="G10" i="4"/>
  <c r="M14" i="4"/>
  <c r="R24" i="4"/>
  <c r="M13" i="4"/>
  <c r="G26" i="4"/>
  <c r="O239" i="4"/>
  <c r="O240" i="4"/>
  <c r="O241" i="4"/>
  <c r="O242" i="4"/>
  <c r="R23" i="4"/>
  <c r="G250" i="4" s="1"/>
  <c r="M12" i="4"/>
  <c r="G25" i="4"/>
  <c r="O217" i="4" s="1"/>
  <c r="R22" i="4"/>
  <c r="M11" i="4"/>
  <c r="G24" i="4"/>
  <c r="S67" i="4"/>
  <c r="S68" i="4"/>
  <c r="S70" i="4"/>
  <c r="S71" i="4"/>
  <c r="S77" i="4"/>
  <c r="S74" i="4"/>
  <c r="S76" i="4"/>
  <c r="C138" i="4"/>
  <c r="C139" i="4"/>
  <c r="C135" i="4"/>
  <c r="C140" i="4"/>
  <c r="C133" i="4"/>
  <c r="C141" i="4"/>
  <c r="C142" i="4"/>
  <c r="C143" i="4"/>
  <c r="R6" i="4"/>
  <c r="K101" i="4" s="1"/>
  <c r="L19" i="4"/>
  <c r="G8" i="4"/>
  <c r="S69" i="4" s="1"/>
  <c r="M10" i="4"/>
  <c r="C136" i="4" s="1"/>
  <c r="G23" i="4"/>
  <c r="G221" i="4" s="1"/>
  <c r="S154" i="4"/>
  <c r="R5" i="4"/>
  <c r="G99" i="4" s="1"/>
  <c r="L18" i="4"/>
  <c r="K183" i="4" s="1"/>
  <c r="G7" i="4"/>
  <c r="O75" i="4" s="1"/>
  <c r="S14" i="4"/>
  <c r="S151" i="4" s="1"/>
  <c r="G22" i="4"/>
  <c r="C221" i="4" s="1"/>
  <c r="K69" i="4"/>
  <c r="K71" i="4"/>
  <c r="K72" i="4"/>
  <c r="K73" i="4"/>
  <c r="K76" i="4"/>
  <c r="O151" i="4"/>
  <c r="O154" i="4"/>
  <c r="R4" i="4"/>
  <c r="C107" i="4" s="1"/>
  <c r="L17" i="4"/>
  <c r="G192" i="4" s="1"/>
  <c r="G6" i="4"/>
  <c r="K67" i="4" s="1"/>
  <c r="S13" i="4"/>
  <c r="O149" i="4" s="1"/>
  <c r="M26" i="4"/>
  <c r="S238" i="4" s="1"/>
  <c r="G77" i="4"/>
  <c r="G68" i="4"/>
  <c r="G71" i="4"/>
  <c r="G73" i="4"/>
  <c r="G70" i="4"/>
  <c r="G72" i="4"/>
  <c r="G69" i="4"/>
  <c r="G67" i="4"/>
  <c r="G74" i="4"/>
  <c r="G76" i="4"/>
  <c r="G75" i="4"/>
  <c r="K154" i="4"/>
  <c r="F14" i="4"/>
  <c r="L16" i="4"/>
  <c r="C190" i="4" s="1"/>
  <c r="G5" i="4"/>
  <c r="S12" i="4"/>
  <c r="K157" i="4" s="1"/>
  <c r="M25" i="4"/>
  <c r="O243" i="4" s="1"/>
  <c r="C70" i="4"/>
  <c r="G153" i="4"/>
  <c r="G154" i="4"/>
  <c r="K254" i="4"/>
  <c r="K255" i="4"/>
  <c r="K256" i="4"/>
  <c r="K258" i="4"/>
  <c r="F13" i="4"/>
  <c r="G4" i="4"/>
  <c r="C67" i="4" s="1"/>
  <c r="S11" i="4"/>
  <c r="G156" i="4" s="1"/>
  <c r="M24" i="4"/>
  <c r="K236" i="4" s="1"/>
  <c r="G251" i="4"/>
  <c r="G257" i="4"/>
  <c r="F12" i="4"/>
  <c r="K127" i="4" s="1"/>
  <c r="M8" i="4"/>
  <c r="S89" i="4" s="1"/>
  <c r="S10" i="4"/>
  <c r="C159" i="4" s="1"/>
  <c r="M23" i="4"/>
  <c r="G233" i="4" s="1"/>
  <c r="S167" i="4"/>
  <c r="S170" i="4"/>
  <c r="C254" i="4"/>
  <c r="C250" i="4"/>
  <c r="C252" i="4"/>
  <c r="F11" i="4"/>
  <c r="G124" i="4" s="1"/>
  <c r="M7" i="4"/>
  <c r="O91" i="4" s="1"/>
  <c r="G20" i="4"/>
  <c r="S174" i="4" s="1"/>
  <c r="M22" i="4"/>
  <c r="C233" i="4" s="1"/>
  <c r="K87" i="4"/>
  <c r="K88" i="4"/>
  <c r="K89" i="4"/>
  <c r="O167" i="4"/>
  <c r="S202" i="4"/>
  <c r="S203" i="4"/>
  <c r="S204" i="4"/>
  <c r="S205" i="4"/>
  <c r="S206" i="4"/>
  <c r="S207" i="4"/>
  <c r="S199" i="4"/>
  <c r="S208" i="4"/>
  <c r="S209" i="4"/>
  <c r="S200" i="4"/>
  <c r="S201" i="4"/>
  <c r="F10" i="4"/>
  <c r="C117" i="4" s="1"/>
  <c r="M6" i="4"/>
  <c r="K90" i="4" s="1"/>
  <c r="G19" i="4"/>
  <c r="O169" i="4" s="1"/>
  <c r="S26" i="4"/>
  <c r="S249" i="4" s="1"/>
  <c r="K167" i="4"/>
  <c r="K168" i="4"/>
  <c r="O199" i="4"/>
  <c r="O200" i="4"/>
  <c r="O201" i="4"/>
  <c r="O202" i="4"/>
  <c r="O203" i="4"/>
  <c r="O204" i="4"/>
  <c r="O205" i="4"/>
  <c r="O206" i="4"/>
  <c r="O207" i="4"/>
  <c r="O208" i="4"/>
  <c r="O209" i="4"/>
  <c r="L14" i="4"/>
  <c r="S133" i="4" s="1"/>
  <c r="M5" i="4"/>
  <c r="G91" i="4" s="1"/>
  <c r="G18" i="4"/>
  <c r="K169" i="4" s="1"/>
  <c r="S25" i="4"/>
  <c r="O259" i="4" s="1"/>
  <c r="C88" i="4"/>
  <c r="G176" i="4"/>
  <c r="K204" i="4"/>
  <c r="K205" i="4"/>
  <c r="K206" i="4"/>
  <c r="K207" i="4"/>
  <c r="K208" i="4"/>
  <c r="K209" i="4"/>
  <c r="K201" i="4"/>
  <c r="K202" i="4"/>
  <c r="K203" i="4"/>
  <c r="K199" i="4"/>
  <c r="K200" i="4"/>
  <c r="L13" i="4"/>
  <c r="O142" i="4" s="1"/>
  <c r="F26" i="4"/>
  <c r="S227" i="4" s="1"/>
  <c r="M4" i="4"/>
  <c r="C90" i="4" s="1"/>
  <c r="G17" i="4"/>
  <c r="G171" i="4" s="1"/>
  <c r="S24" i="4"/>
  <c r="K257" i="4" s="1"/>
  <c r="K104" i="4"/>
  <c r="K108" i="4"/>
  <c r="K105" i="4"/>
  <c r="K106" i="4"/>
  <c r="K99" i="4"/>
  <c r="K100" i="4"/>
  <c r="K107" i="4"/>
  <c r="K109" i="4"/>
  <c r="S107" i="4"/>
  <c r="S104" i="4"/>
  <c r="S101" i="4"/>
  <c r="S102" i="4"/>
  <c r="S106" i="4"/>
  <c r="C169" i="4"/>
  <c r="C170" i="4"/>
  <c r="C171" i="4"/>
  <c r="C172" i="4"/>
  <c r="C173" i="4"/>
  <c r="C174" i="4"/>
  <c r="C175" i="4"/>
  <c r="C176" i="4"/>
  <c r="C177" i="4"/>
  <c r="G199" i="4"/>
  <c r="G200" i="4"/>
  <c r="G201" i="4"/>
  <c r="G202" i="4"/>
  <c r="G203" i="4"/>
  <c r="G204" i="4"/>
  <c r="G205" i="4"/>
  <c r="G206" i="4"/>
  <c r="G207" i="4"/>
  <c r="G208" i="4"/>
  <c r="G209" i="4"/>
  <c r="L12" i="4"/>
  <c r="K134" i="4" s="1"/>
  <c r="F25" i="4"/>
  <c r="S8" i="4"/>
  <c r="S108" i="4" s="1"/>
  <c r="G16" i="4"/>
  <c r="C168" i="4" s="1"/>
  <c r="S23" i="4"/>
  <c r="G256" i="4" s="1"/>
  <c r="O192" i="4"/>
  <c r="O193" i="4"/>
  <c r="O189" i="4"/>
  <c r="O190" i="4"/>
  <c r="O191" i="4"/>
  <c r="O183" i="4"/>
  <c r="O184" i="4"/>
  <c r="O186" i="4"/>
  <c r="O185" i="4"/>
  <c r="O187" i="4"/>
  <c r="O188" i="4"/>
  <c r="O99" i="4"/>
  <c r="O100" i="4"/>
  <c r="O101" i="4"/>
  <c r="O102" i="4"/>
  <c r="O103" i="4"/>
  <c r="O104" i="4"/>
  <c r="O105" i="4"/>
  <c r="O107" i="4"/>
  <c r="S190" i="4"/>
  <c r="S191" i="4"/>
  <c r="S192" i="4"/>
  <c r="C206" i="4"/>
  <c r="C207" i="4"/>
  <c r="C203" i="4"/>
  <c r="C208" i="4"/>
  <c r="C209" i="4"/>
  <c r="C205" i="4"/>
  <c r="C204" i="4"/>
  <c r="C199" i="4"/>
  <c r="C200" i="4"/>
  <c r="C201" i="4"/>
  <c r="C202" i="4"/>
  <c r="L11" i="4"/>
  <c r="G138" i="4" s="1"/>
  <c r="F24" i="4"/>
  <c r="K218" i="4" s="1"/>
  <c r="S7" i="4"/>
  <c r="O108" i="4" s="1"/>
  <c r="M20" i="4"/>
  <c r="S183" i="4" s="1"/>
  <c r="S22" i="4"/>
  <c r="C256" i="4" s="1"/>
  <c r="AG543" i="3"/>
  <c r="BB543" i="3"/>
  <c r="BA543" i="3"/>
  <c r="BB560" i="3"/>
  <c r="BA560" i="3"/>
  <c r="AG560" i="3"/>
  <c r="AG577" i="3"/>
  <c r="BB577" i="3"/>
  <c r="BB578" i="3" s="1"/>
  <c r="BA577" i="3"/>
  <c r="AW526" i="3"/>
  <c r="AW527" i="3" s="1"/>
  <c r="AS526" i="3"/>
  <c r="AC526" i="3"/>
  <c r="AC527" i="3" s="1"/>
  <c r="AT526" i="3"/>
  <c r="BC526" i="3"/>
  <c r="BC527" i="3" s="1"/>
  <c r="AV526" i="3"/>
  <c r="AV527" i="3" s="1"/>
  <c r="AT560" i="3"/>
  <c r="AT561" i="3" s="1"/>
  <c r="AS560" i="3"/>
  <c r="AC560" i="3"/>
  <c r="AC561" i="3" s="1"/>
  <c r="BC561" i="3"/>
  <c r="AV560" i="3"/>
  <c r="AV561" i="3" s="1"/>
  <c r="AT577" i="3"/>
  <c r="AT578" i="3" s="1"/>
  <c r="AS577" i="3"/>
  <c r="AC577" i="3"/>
  <c r="AV577" i="3"/>
  <c r="AU526" i="3"/>
  <c r="AW543" i="3"/>
  <c r="AW544" i="3" s="1"/>
  <c r="AU543" i="3"/>
  <c r="AC543" i="3"/>
  <c r="AT543" i="3"/>
  <c r="AS543" i="3"/>
  <c r="AS544" i="3" s="1"/>
  <c r="BD544" i="3"/>
  <c r="AW560" i="3"/>
  <c r="AW561" i="3" s="1"/>
  <c r="AU560" i="3"/>
  <c r="AU561" i="3" s="1"/>
  <c r="BD560" i="3"/>
  <c r="BD561" i="3" s="1"/>
  <c r="AU577" i="3"/>
  <c r="AU578" i="3" s="1"/>
  <c r="AN578" i="3"/>
  <c r="BD577" i="3"/>
  <c r="BD578" i="3" s="1"/>
  <c r="AG576" i="3"/>
  <c r="AV544" i="3"/>
  <c r="AO527" i="3"/>
  <c r="BE526" i="3"/>
  <c r="BE527" i="3" s="1"/>
  <c r="AG559" i="3"/>
  <c r="AK527" i="3"/>
  <c r="AG526" i="3"/>
  <c r="AG527" i="3" s="1"/>
  <c r="BB526" i="3"/>
  <c r="BA526" i="3"/>
  <c r="AO544" i="3"/>
  <c r="BE543" i="3"/>
  <c r="BE544" i="3" s="1"/>
  <c r="AL543" i="3"/>
  <c r="AL544" i="3" s="1"/>
  <c r="BA558" i="3"/>
  <c r="BA559" i="3" s="1"/>
  <c r="BB558" i="3"/>
  <c r="BB559" i="3" s="1"/>
  <c r="AN543" i="3"/>
  <c r="AN544" i="3" s="1"/>
  <c r="BC558" i="3"/>
  <c r="BC559" i="3" s="1"/>
  <c r="AS575" i="3"/>
  <c r="AS576" i="3" s="1"/>
  <c r="BD558" i="3"/>
  <c r="BD559" i="3" s="1"/>
  <c r="AT575" i="3"/>
  <c r="AT576" i="3" s="1"/>
  <c r="BE558" i="3"/>
  <c r="BE559" i="3" s="1"/>
  <c r="BE561" i="3" s="1"/>
  <c r="AU575" i="3"/>
  <c r="AU576" i="3" s="1"/>
  <c r="AS524" i="3"/>
  <c r="AS525" i="3" s="1"/>
  <c r="AC541" i="3"/>
  <c r="AC542" i="3" s="1"/>
  <c r="AV575" i="3"/>
  <c r="AV576" i="3" s="1"/>
  <c r="AT524" i="3"/>
  <c r="AT525" i="3" s="1"/>
  <c r="AG541" i="3"/>
  <c r="AG542" i="3" s="1"/>
  <c r="AW575" i="3"/>
  <c r="AW576" i="3" s="1"/>
  <c r="AW578" i="3" s="1"/>
  <c r="AU524" i="3"/>
  <c r="AU525" i="3" s="1"/>
  <c r="BA575" i="3"/>
  <c r="BA576" i="3" s="1"/>
  <c r="AV524" i="3"/>
  <c r="AV525" i="3" s="1"/>
  <c r="BB575" i="3"/>
  <c r="BB576" i="3" s="1"/>
  <c r="AW524" i="3"/>
  <c r="AW525" i="3" s="1"/>
  <c r="BC575" i="3"/>
  <c r="BC576" i="3" s="1"/>
  <c r="BC578" i="3" s="1"/>
  <c r="BA524" i="3"/>
  <c r="BA525" i="3" s="1"/>
  <c r="BD575" i="3"/>
  <c r="BD576" i="3" s="1"/>
  <c r="U577" i="3"/>
  <c r="U578" i="3" s="1"/>
  <c r="BB524" i="3"/>
  <c r="BB525" i="3" s="1"/>
  <c r="BE575" i="3"/>
  <c r="BE576" i="3" s="1"/>
  <c r="BE578" i="3" s="1"/>
  <c r="BC524" i="3"/>
  <c r="BC525" i="3" s="1"/>
  <c r="AS541" i="3"/>
  <c r="AS542" i="3" s="1"/>
  <c r="AC558" i="3"/>
  <c r="AC559" i="3" s="1"/>
  <c r="BD524" i="3"/>
  <c r="BD525" i="3" s="1"/>
  <c r="BD527" i="3" s="1"/>
  <c r="U526" i="3"/>
  <c r="U527" i="3" s="1"/>
  <c r="AT541" i="3"/>
  <c r="AT542" i="3" s="1"/>
  <c r="AG558" i="3"/>
  <c r="AK577" i="3"/>
  <c r="AK578" i="3" s="1"/>
  <c r="BE524" i="3"/>
  <c r="BE525" i="3" s="1"/>
  <c r="AU541" i="3"/>
  <c r="AU542" i="3" s="1"/>
  <c r="AV541" i="3"/>
  <c r="AV542" i="3" s="1"/>
  <c r="BA541" i="3"/>
  <c r="BA542" i="3" s="1"/>
  <c r="BB541" i="3"/>
  <c r="BB542" i="3" s="1"/>
  <c r="BC541" i="3"/>
  <c r="BC542" i="3" s="1"/>
  <c r="BC544" i="3" s="1"/>
  <c r="AS558" i="3"/>
  <c r="AS559" i="3" s="1"/>
  <c r="AC575" i="3"/>
  <c r="AC576" i="3" s="1"/>
  <c r="BD541" i="3"/>
  <c r="BD542" i="3" s="1"/>
  <c r="AT558" i="3"/>
  <c r="AT559" i="3" s="1"/>
  <c r="AG575" i="3"/>
  <c r="AG577" i="2"/>
  <c r="BB577" i="2"/>
  <c r="BA577" i="2"/>
  <c r="BA578" i="2" s="1"/>
  <c r="AS526" i="2"/>
  <c r="AC526" i="2"/>
  <c r="AT526" i="2"/>
  <c r="AT527" i="2" s="1"/>
  <c r="AV578" i="2"/>
  <c r="AV526" i="2"/>
  <c r="AV527" i="2" s="1"/>
  <c r="AT560" i="2"/>
  <c r="AT561" i="2" s="1"/>
  <c r="AC560" i="2"/>
  <c r="AS560" i="2"/>
  <c r="AS561" i="2" s="1"/>
  <c r="AV560" i="2"/>
  <c r="AV561" i="2" s="1"/>
  <c r="AW543" i="2"/>
  <c r="AW577" i="2"/>
  <c r="AW578" i="2" s="1"/>
  <c r="AC543" i="2"/>
  <c r="AT543" i="2"/>
  <c r="AT544" i="2" s="1"/>
  <c r="AS543" i="2"/>
  <c r="AS544" i="2" s="1"/>
  <c r="BC577" i="2"/>
  <c r="BC578" i="2" s="1"/>
  <c r="AU526" i="2"/>
  <c r="AU527" i="2" s="1"/>
  <c r="BD543" i="2"/>
  <c r="BD526" i="2"/>
  <c r="BE543" i="2"/>
  <c r="BE544" i="2" s="1"/>
  <c r="U544" i="2"/>
  <c r="BB543" i="2"/>
  <c r="BA543" i="2"/>
  <c r="BA544" i="2" s="1"/>
  <c r="AG543" i="2"/>
  <c r="AG544" i="2" s="1"/>
  <c r="AN578" i="2"/>
  <c r="BD577" i="2"/>
  <c r="AO527" i="2"/>
  <c r="AO544" i="2"/>
  <c r="AT577" i="2"/>
  <c r="AS577" i="2"/>
  <c r="AC577" i="2"/>
  <c r="AC578" i="2" s="1"/>
  <c r="BB526" i="2"/>
  <c r="BB527" i="2" s="1"/>
  <c r="BA526" i="2"/>
  <c r="BA527" i="2" s="1"/>
  <c r="AG526" i="2"/>
  <c r="AV543" i="2"/>
  <c r="AV544" i="2" s="1"/>
  <c r="AM544" i="2"/>
  <c r="AG576" i="2"/>
  <c r="BE526" i="2"/>
  <c r="BE527" i="2" s="1"/>
  <c r="AU577" i="2"/>
  <c r="AU578" i="2" s="1"/>
  <c r="AN544" i="2"/>
  <c r="AO561" i="2"/>
  <c r="BE560" i="2"/>
  <c r="BE561" i="2" s="1"/>
  <c r="AU543" i="2"/>
  <c r="U527" i="2"/>
  <c r="AK561" i="2"/>
  <c r="AU560" i="2"/>
  <c r="AU561" i="2" s="1"/>
  <c r="BA560" i="2"/>
  <c r="AG560" i="2"/>
  <c r="BB560" i="2"/>
  <c r="BB561" i="2" s="1"/>
  <c r="AC524" i="2"/>
  <c r="AC525" i="2" s="1"/>
  <c r="AV558" i="2"/>
  <c r="AV559" i="2" s="1"/>
  <c r="AL526" i="2"/>
  <c r="AL527" i="2" s="1"/>
  <c r="BB541" i="2"/>
  <c r="BB542" i="2" s="1"/>
  <c r="AG524" i="2"/>
  <c r="AG525" i="2" s="1"/>
  <c r="AK543" i="2"/>
  <c r="AK544" i="2" s="1"/>
  <c r="AW558" i="2"/>
  <c r="AW559" i="2" s="1"/>
  <c r="AW561" i="2" s="1"/>
  <c r="AL543" i="2"/>
  <c r="AL544" i="2" s="1"/>
  <c r="BA558" i="2"/>
  <c r="BA559" i="2" s="1"/>
  <c r="AS575" i="2"/>
  <c r="AS576" i="2" s="1"/>
  <c r="AT575" i="2"/>
  <c r="AT576" i="2" s="1"/>
  <c r="AU575" i="2"/>
  <c r="AU576" i="2" s="1"/>
  <c r="AS524" i="2"/>
  <c r="AS525" i="2" s="1"/>
  <c r="AC541" i="2"/>
  <c r="AC542" i="2" s="1"/>
  <c r="AV575" i="2"/>
  <c r="AV576" i="2" s="1"/>
  <c r="AG541" i="2"/>
  <c r="AG542" i="2" s="1"/>
  <c r="AW575" i="2"/>
  <c r="AW576" i="2" s="1"/>
  <c r="BA575" i="2"/>
  <c r="BA576" i="2" s="1"/>
  <c r="U560" i="2"/>
  <c r="U561" i="2" s="1"/>
  <c r="AT524" i="2"/>
  <c r="AT525" i="2" s="1"/>
  <c r="AU524" i="2"/>
  <c r="AU525" i="2" s="1"/>
  <c r="AV524" i="2"/>
  <c r="AV525" i="2" s="1"/>
  <c r="BB575" i="2"/>
  <c r="BB576" i="2" s="1"/>
  <c r="AW524" i="2"/>
  <c r="AW525" i="2" s="1"/>
  <c r="AW527" i="2" s="1"/>
  <c r="BC575" i="2"/>
  <c r="BC576" i="2" s="1"/>
  <c r="BD575" i="2"/>
  <c r="BD576" i="2" s="1"/>
  <c r="U577" i="2"/>
  <c r="U578" i="2" s="1"/>
  <c r="BE575" i="2"/>
  <c r="BE576" i="2" s="1"/>
  <c r="BE578" i="2" s="1"/>
  <c r="AS541" i="2"/>
  <c r="AS542" i="2" s="1"/>
  <c r="AC558" i="2"/>
  <c r="AC559" i="2" s="1"/>
  <c r="BD524" i="2"/>
  <c r="BD525" i="2" s="1"/>
  <c r="AT541" i="2"/>
  <c r="AT542" i="2" s="1"/>
  <c r="AG558" i="2"/>
  <c r="AG559" i="2" s="1"/>
  <c r="AK577" i="2"/>
  <c r="AK578" i="2" s="1"/>
  <c r="BC524" i="2"/>
  <c r="BC525" i="2" s="1"/>
  <c r="BC527" i="2" s="1"/>
  <c r="BE524" i="2"/>
  <c r="BE525" i="2" s="1"/>
  <c r="AU541" i="2"/>
  <c r="AU542" i="2" s="1"/>
  <c r="AW541" i="2"/>
  <c r="AW542" i="2" s="1"/>
  <c r="AS558" i="2"/>
  <c r="AS559" i="2" s="1"/>
  <c r="AC575" i="2"/>
  <c r="AC576" i="2" s="1"/>
  <c r="BC541" i="2"/>
  <c r="BC542" i="2" s="1"/>
  <c r="BC544" i="2" s="1"/>
  <c r="BD541" i="2"/>
  <c r="BD542" i="2" s="1"/>
  <c r="AT558" i="2"/>
  <c r="AT559" i="2" s="1"/>
  <c r="AG575" i="2"/>
  <c r="AL578" i="1"/>
  <c r="Z569" i="1"/>
  <c r="Y569" i="1"/>
  <c r="X569" i="1"/>
  <c r="W569" i="1"/>
  <c r="V569" i="1"/>
  <c r="U569" i="1"/>
  <c r="T569" i="1"/>
  <c r="S569" i="1"/>
  <c r="J568" i="1"/>
  <c r="AG568" i="1"/>
  <c r="I568" i="1"/>
  <c r="AF568" i="1"/>
  <c r="H568" i="1"/>
  <c r="Y568" i="1"/>
  <c r="X568" i="1"/>
  <c r="W568" i="1"/>
  <c r="V568" i="1"/>
  <c r="U568" i="1"/>
  <c r="K552" i="1"/>
  <c r="Z552" i="1"/>
  <c r="X552" i="1"/>
  <c r="W552" i="1"/>
  <c r="V552" i="1"/>
  <c r="U552" i="1"/>
  <c r="T552" i="1"/>
  <c r="S552" i="1"/>
  <c r="BC560" i="1"/>
  <c r="BC561" i="1" s="1"/>
  <c r="X551" i="1"/>
  <c r="W551" i="1"/>
  <c r="AO560" i="1"/>
  <c r="AO561" i="1" s="1"/>
  <c r="BE561" i="1"/>
  <c r="AG560" i="1"/>
  <c r="AG561" i="1" s="1"/>
  <c r="BB560" i="1"/>
  <c r="BB561" i="1" s="1"/>
  <c r="BA560" i="1"/>
  <c r="BA561" i="1" s="1"/>
  <c r="AT560" i="1"/>
  <c r="AT561" i="1" s="1"/>
  <c r="AS560" i="1"/>
  <c r="AS561" i="1" s="1"/>
  <c r="AC560" i="1"/>
  <c r="AC561" i="1" s="1"/>
  <c r="AV560" i="1"/>
  <c r="AV561" i="1" s="1"/>
  <c r="AU560" i="1"/>
  <c r="AU561" i="1" s="1"/>
  <c r="BD560" i="1"/>
  <c r="BD561" i="1" s="1"/>
  <c r="U560" i="1"/>
  <c r="U561" i="1" s="1"/>
  <c r="AK560" i="1"/>
  <c r="AK561" i="1" s="1"/>
  <c r="AW524" i="1"/>
  <c r="U543" i="1"/>
  <c r="B535" i="1"/>
  <c r="AM543" i="1"/>
  <c r="N517" i="1"/>
  <c r="C535" i="1"/>
  <c r="K517" i="1"/>
  <c r="AA518" i="1"/>
  <c r="C518" i="1"/>
  <c r="L534" i="1"/>
  <c r="S534" i="1"/>
  <c r="Z535" i="1"/>
  <c r="B518" i="1"/>
  <c r="J518" i="1"/>
  <c r="K534" i="1"/>
  <c r="Y535" i="1"/>
  <c r="Q534" i="1"/>
  <c r="F517" i="1"/>
  <c r="V518" i="1"/>
  <c r="AD534" i="1"/>
  <c r="F534" i="1"/>
  <c r="T535" i="1"/>
  <c r="AK542" i="1"/>
  <c r="AL542" i="1"/>
  <c r="AN543" i="1"/>
  <c r="W517" i="1"/>
  <c r="X534" i="1"/>
  <c r="AW541" i="1"/>
  <c r="P517" i="1"/>
  <c r="S517" i="1"/>
  <c r="K518" i="1"/>
  <c r="M534" i="1"/>
  <c r="T534" i="1"/>
  <c r="AA535" i="1"/>
  <c r="AV541" i="1"/>
  <c r="AV542" i="1" s="1"/>
  <c r="AG518" i="1"/>
  <c r="I518" i="1"/>
  <c r="R534" i="1"/>
  <c r="BA541" i="1"/>
  <c r="BA542" i="1" s="1"/>
  <c r="BB541" i="1"/>
  <c r="BB542" i="1" s="1"/>
  <c r="BC541" i="1"/>
  <c r="BC542" i="1" s="1"/>
  <c r="BD541" i="1"/>
  <c r="BD542" i="1" s="1"/>
  <c r="AS542" i="1"/>
  <c r="BE541" i="1"/>
  <c r="BE542" i="1" s="1"/>
  <c r="T518" i="1"/>
  <c r="D517" i="1"/>
  <c r="AA517" i="1"/>
  <c r="C517" i="1"/>
  <c r="S518" i="1"/>
  <c r="AC534" i="1"/>
  <c r="E534" i="1"/>
  <c r="S535" i="1"/>
  <c r="Z517" i="1"/>
  <c r="AB534" i="1"/>
  <c r="D534" i="1"/>
  <c r="R535" i="1"/>
  <c r="AK543" i="1"/>
  <c r="AK544" i="1" s="1"/>
  <c r="Y517" i="1"/>
  <c r="AA534" i="1"/>
  <c r="C534" i="1"/>
  <c r="Q535" i="1"/>
  <c r="AW542" i="1"/>
  <c r="AL543" i="1"/>
  <c r="AL544" i="1" s="1"/>
  <c r="AB517" i="1"/>
  <c r="X517" i="1"/>
  <c r="X518" i="1"/>
  <c r="Z534" i="1"/>
  <c r="P535" i="1"/>
  <c r="AM525" i="1"/>
  <c r="Y534" i="1"/>
  <c r="O535" i="1"/>
  <c r="AL525" i="1"/>
  <c r="N535" i="1"/>
  <c r="U525" i="1"/>
  <c r="AG542" i="1"/>
  <c r="AW525" i="1"/>
  <c r="AG535" i="1"/>
  <c r="I535" i="1"/>
  <c r="AM542" i="1"/>
  <c r="AM544" i="1" s="1"/>
  <c r="AF518" i="1"/>
  <c r="H518" i="1"/>
  <c r="AN542" i="1"/>
  <c r="AN544" i="1" s="1"/>
  <c r="R517" i="1"/>
  <c r="O517" i="1"/>
  <c r="O518" i="1"/>
  <c r="AG526" i="1" s="1"/>
  <c r="AE535" i="1"/>
  <c r="G535" i="1"/>
  <c r="AO542" i="1"/>
  <c r="AO544" i="1" s="1"/>
  <c r="N518" i="1"/>
  <c r="P534" i="1"/>
  <c r="AD535" i="1"/>
  <c r="F535" i="1"/>
  <c r="AS541" i="1"/>
  <c r="M517" i="1"/>
  <c r="M518" i="1"/>
  <c r="O534" i="1"/>
  <c r="AT541" i="1"/>
  <c r="AT542" i="1" s="1"/>
  <c r="L517" i="1"/>
  <c r="L518" i="1"/>
  <c r="N534" i="1"/>
  <c r="AB535" i="1"/>
  <c r="D535" i="1"/>
  <c r="AU541" i="1"/>
  <c r="AU542" i="1" s="1"/>
  <c r="AV524" i="1"/>
  <c r="AV525" i="1" s="1"/>
  <c r="AU524" i="1"/>
  <c r="AU525" i="1" s="1"/>
  <c r="AT524" i="1"/>
  <c r="AT525" i="1" s="1"/>
  <c r="AC524" i="1"/>
  <c r="AC525" i="1" s="1"/>
  <c r="BA524" i="1"/>
  <c r="BA525" i="1" s="1"/>
  <c r="BE524" i="1"/>
  <c r="BE525" i="1" s="1"/>
  <c r="AG524" i="1"/>
  <c r="AG525" i="1" s="1"/>
  <c r="BD524" i="1"/>
  <c r="BD525" i="1" s="1"/>
  <c r="BC524" i="1"/>
  <c r="BC525" i="1" s="1"/>
  <c r="BB524" i="1"/>
  <c r="BB525" i="1" s="1"/>
  <c r="U542" i="1"/>
  <c r="AS524" i="1"/>
  <c r="AS525" i="1" s="1"/>
  <c r="U544" i="1"/>
  <c r="K226" i="4" l="1"/>
  <c r="G243" i="4"/>
  <c r="G240" i="4"/>
  <c r="K125" i="4"/>
  <c r="K253" i="4"/>
  <c r="G168" i="4"/>
  <c r="K252" i="4"/>
  <c r="S224" i="4"/>
  <c r="G167" i="4"/>
  <c r="O170" i="4"/>
  <c r="G255" i="4"/>
  <c r="K251" i="4"/>
  <c r="S223" i="4"/>
  <c r="G170" i="4"/>
  <c r="G254" i="4"/>
  <c r="G157" i="4"/>
  <c r="G169" i="4"/>
  <c r="G253" i="4"/>
  <c r="G155" i="4"/>
  <c r="K102" i="4"/>
  <c r="G177" i="4"/>
  <c r="G252" i="4"/>
  <c r="S237" i="4"/>
  <c r="C192" i="4"/>
  <c r="K103" i="4"/>
  <c r="G172" i="4"/>
  <c r="G152" i="4"/>
  <c r="S152" i="4"/>
  <c r="S236" i="4"/>
  <c r="C191" i="4"/>
  <c r="S193" i="4"/>
  <c r="C86" i="4"/>
  <c r="C155" i="4"/>
  <c r="G151" i="4"/>
  <c r="S149" i="4"/>
  <c r="S235" i="4"/>
  <c r="C84" i="4"/>
  <c r="C154" i="4"/>
  <c r="G150" i="4"/>
  <c r="S153" i="4"/>
  <c r="S234" i="4"/>
  <c r="S90" i="4"/>
  <c r="C83" i="4"/>
  <c r="S88" i="4"/>
  <c r="S150" i="4"/>
  <c r="C220" i="4"/>
  <c r="G190" i="4"/>
  <c r="S189" i="4"/>
  <c r="C87" i="4"/>
  <c r="C255" i="4"/>
  <c r="S87" i="4"/>
  <c r="O159" i="4"/>
  <c r="S159" i="4"/>
  <c r="C219" i="4"/>
  <c r="G191" i="4"/>
  <c r="C93" i="4"/>
  <c r="S86" i="4"/>
  <c r="O158" i="4"/>
  <c r="S157" i="4"/>
  <c r="C218" i="4"/>
  <c r="G189" i="4"/>
  <c r="C91" i="4"/>
  <c r="C251" i="4"/>
  <c r="S84" i="4"/>
  <c r="C183" i="4"/>
  <c r="O157" i="4"/>
  <c r="S156" i="4"/>
  <c r="G187" i="4"/>
  <c r="S188" i="4"/>
  <c r="S187" i="4"/>
  <c r="C167" i="4"/>
  <c r="S186" i="4"/>
  <c r="S105" i="4"/>
  <c r="C85" i="4"/>
  <c r="C253" i="4"/>
  <c r="S85" i="4"/>
  <c r="S126" i="4"/>
  <c r="O156" i="4"/>
  <c r="S155" i="4"/>
  <c r="G220" i="4"/>
  <c r="G186" i="4"/>
  <c r="O109" i="4"/>
  <c r="O218" i="4"/>
  <c r="S99" i="4"/>
  <c r="C89" i="4"/>
  <c r="S171" i="4"/>
  <c r="O258" i="4"/>
  <c r="O155" i="4"/>
  <c r="G219" i="4"/>
  <c r="K235" i="4"/>
  <c r="G218" i="4"/>
  <c r="O106" i="4"/>
  <c r="S169" i="4"/>
  <c r="K153" i="4"/>
  <c r="O153" i="4"/>
  <c r="K234" i="4"/>
  <c r="S168" i="4"/>
  <c r="O122" i="4"/>
  <c r="K151" i="4"/>
  <c r="O152" i="4"/>
  <c r="G140" i="4"/>
  <c r="K217" i="4"/>
  <c r="O256" i="4"/>
  <c r="O71" i="4"/>
  <c r="G242" i="4"/>
  <c r="G109" i="4"/>
  <c r="K233" i="4"/>
  <c r="G122" i="4"/>
  <c r="K124" i="4"/>
  <c r="S222" i="4"/>
  <c r="G93" i="4"/>
  <c r="O255" i="4"/>
  <c r="C243" i="4"/>
  <c r="O73" i="4"/>
  <c r="G241" i="4"/>
  <c r="G108" i="4"/>
  <c r="C217" i="4"/>
  <c r="C127" i="4"/>
  <c r="G119" i="4"/>
  <c r="K126" i="4"/>
  <c r="S221" i="4"/>
  <c r="G90" i="4"/>
  <c r="S177" i="4"/>
  <c r="O254" i="4"/>
  <c r="C242" i="4"/>
  <c r="O70" i="4"/>
  <c r="G107" i="4"/>
  <c r="G139" i="4"/>
  <c r="K133" i="4"/>
  <c r="S233" i="4"/>
  <c r="S143" i="4"/>
  <c r="C126" i="4"/>
  <c r="G121" i="4"/>
  <c r="K123" i="4"/>
  <c r="S220" i="4"/>
  <c r="C189" i="4"/>
  <c r="O88" i="4"/>
  <c r="O253" i="4"/>
  <c r="C241" i="4"/>
  <c r="O74" i="4"/>
  <c r="G106" i="4"/>
  <c r="G143" i="4"/>
  <c r="K143" i="4"/>
  <c r="O141" i="4"/>
  <c r="S142" i="4"/>
  <c r="C125" i="4"/>
  <c r="G120" i="4"/>
  <c r="K122" i="4"/>
  <c r="S219" i="4"/>
  <c r="C188" i="4"/>
  <c r="G185" i="4"/>
  <c r="G88" i="4"/>
  <c r="O168" i="4"/>
  <c r="O87" i="4"/>
  <c r="G249" i="4"/>
  <c r="G149" i="4"/>
  <c r="O252" i="4"/>
  <c r="C240" i="4"/>
  <c r="O72" i="4"/>
  <c r="G105" i="4"/>
  <c r="G137" i="4"/>
  <c r="K142" i="4"/>
  <c r="O138" i="4"/>
  <c r="S141" i="4"/>
  <c r="C124" i="4"/>
  <c r="G123" i="4"/>
  <c r="K121" i="4"/>
  <c r="S218" i="4"/>
  <c r="C187" i="4"/>
  <c r="G184" i="4"/>
  <c r="G87" i="4"/>
  <c r="O177" i="4"/>
  <c r="O92" i="4"/>
  <c r="C152" i="4"/>
  <c r="C77" i="4"/>
  <c r="O251" i="4"/>
  <c r="C239" i="4"/>
  <c r="O68" i="4"/>
  <c r="G104" i="4"/>
  <c r="G142" i="4"/>
  <c r="K141" i="4"/>
  <c r="O137" i="4"/>
  <c r="S140" i="4"/>
  <c r="C123" i="4"/>
  <c r="G117" i="4"/>
  <c r="K120" i="4"/>
  <c r="S217" i="4"/>
  <c r="C186" i="4"/>
  <c r="G183" i="4"/>
  <c r="K176" i="4"/>
  <c r="G92" i="4"/>
  <c r="O176" i="4"/>
  <c r="O86" i="4"/>
  <c r="C151" i="4"/>
  <c r="C76" i="4"/>
  <c r="O250" i="4"/>
  <c r="C238" i="4"/>
  <c r="O77" i="4"/>
  <c r="G103" i="4"/>
  <c r="G136" i="4"/>
  <c r="K140" i="4"/>
  <c r="O136" i="4"/>
  <c r="S139" i="4"/>
  <c r="C122" i="4"/>
  <c r="G127" i="4"/>
  <c r="K119" i="4"/>
  <c r="S225" i="4"/>
  <c r="C185" i="4"/>
  <c r="G188" i="4"/>
  <c r="S185" i="4"/>
  <c r="G175" i="4"/>
  <c r="G86" i="4"/>
  <c r="O175" i="4"/>
  <c r="C249" i="4"/>
  <c r="O85" i="4"/>
  <c r="C150" i="4"/>
  <c r="K249" i="4"/>
  <c r="C75" i="4"/>
  <c r="O249" i="4"/>
  <c r="O150" i="4"/>
  <c r="C237" i="4"/>
  <c r="O67" i="4"/>
  <c r="G102" i="4"/>
  <c r="G135" i="4"/>
  <c r="K139" i="4"/>
  <c r="O135" i="4"/>
  <c r="S138" i="4"/>
  <c r="C121" i="4"/>
  <c r="G126" i="4"/>
  <c r="K118" i="4"/>
  <c r="S226" i="4"/>
  <c r="C184" i="4"/>
  <c r="G193" i="4"/>
  <c r="S184" i="4"/>
  <c r="G174" i="4"/>
  <c r="G85" i="4"/>
  <c r="O174" i="4"/>
  <c r="C259" i="4"/>
  <c r="O84" i="4"/>
  <c r="C149" i="4"/>
  <c r="K250" i="4"/>
  <c r="C74" i="4"/>
  <c r="K156" i="4"/>
  <c r="C236" i="4"/>
  <c r="O76" i="4"/>
  <c r="G101" i="4"/>
  <c r="G134" i="4"/>
  <c r="K138" i="4"/>
  <c r="O134" i="4"/>
  <c r="S137" i="4"/>
  <c r="C120" i="4"/>
  <c r="G118" i="4"/>
  <c r="K117" i="4"/>
  <c r="O69" i="4"/>
  <c r="G173" i="4"/>
  <c r="G84" i="4"/>
  <c r="O173" i="4"/>
  <c r="C258" i="4"/>
  <c r="O83" i="4"/>
  <c r="C156" i="4"/>
  <c r="K259" i="4"/>
  <c r="C73" i="4"/>
  <c r="K155" i="4"/>
  <c r="K77" i="4"/>
  <c r="C235" i="4"/>
  <c r="C134" i="4"/>
  <c r="G100" i="4"/>
  <c r="G133" i="4"/>
  <c r="K137" i="4"/>
  <c r="O133" i="4"/>
  <c r="S136" i="4"/>
  <c r="C119" i="4"/>
  <c r="G125" i="4"/>
  <c r="O121" i="4"/>
  <c r="S125" i="4"/>
  <c r="C104" i="4"/>
  <c r="G83" i="4"/>
  <c r="O172" i="4"/>
  <c r="C257" i="4"/>
  <c r="O90" i="4"/>
  <c r="C153" i="4"/>
  <c r="C72" i="4"/>
  <c r="K150" i="4"/>
  <c r="C234" i="4"/>
  <c r="G141" i="4"/>
  <c r="K136" i="4"/>
  <c r="O140" i="4"/>
  <c r="S135" i="4"/>
  <c r="C118" i="4"/>
  <c r="K193" i="4"/>
  <c r="O117" i="4"/>
  <c r="S127" i="4"/>
  <c r="C102" i="4"/>
  <c r="G89" i="4"/>
  <c r="S100" i="4"/>
  <c r="O171" i="4"/>
  <c r="O89" i="4"/>
  <c r="C158" i="4"/>
  <c r="C71" i="4"/>
  <c r="K149" i="4"/>
  <c r="S259" i="4"/>
  <c r="K75" i="4"/>
  <c r="C137" i="4"/>
  <c r="K135" i="4"/>
  <c r="O143" i="4"/>
  <c r="S134" i="4"/>
  <c r="K192" i="4"/>
  <c r="O119" i="4"/>
  <c r="S123" i="4"/>
  <c r="C101" i="4"/>
  <c r="O93" i="4"/>
  <c r="S258" i="4"/>
  <c r="K74" i="4"/>
  <c r="O139" i="4"/>
  <c r="O227" i="4"/>
  <c r="K191" i="4"/>
  <c r="O118" i="4"/>
  <c r="S124" i="4"/>
  <c r="C100" i="4"/>
  <c r="C157" i="4"/>
  <c r="C69" i="4"/>
  <c r="S257" i="4"/>
  <c r="K227" i="4"/>
  <c r="O226" i="4"/>
  <c r="K190" i="4"/>
  <c r="O127" i="4"/>
  <c r="S122" i="4"/>
  <c r="C106" i="4"/>
  <c r="K86" i="4"/>
  <c r="C68" i="4"/>
  <c r="K152" i="4"/>
  <c r="S256" i="4"/>
  <c r="S75" i="4"/>
  <c r="K243" i="4"/>
  <c r="G227" i="4"/>
  <c r="K225" i="4"/>
  <c r="O225" i="4"/>
  <c r="K189" i="4"/>
  <c r="O126" i="4"/>
  <c r="S121" i="4"/>
  <c r="C105" i="4"/>
  <c r="K175" i="4"/>
  <c r="K85" i="4"/>
  <c r="S255" i="4"/>
  <c r="G238" i="4"/>
  <c r="K242" i="4"/>
  <c r="O236" i="4"/>
  <c r="C227" i="4"/>
  <c r="G217" i="4"/>
  <c r="K224" i="4"/>
  <c r="O224" i="4"/>
  <c r="K188" i="4"/>
  <c r="O125" i="4"/>
  <c r="S120" i="4"/>
  <c r="C99" i="4"/>
  <c r="K174" i="4"/>
  <c r="K83" i="4"/>
  <c r="S176" i="4"/>
  <c r="S83" i="4"/>
  <c r="K159" i="4"/>
  <c r="S254" i="4"/>
  <c r="K70" i="4"/>
  <c r="G237" i="4"/>
  <c r="S73" i="4"/>
  <c r="K241" i="4"/>
  <c r="O235" i="4"/>
  <c r="S243" i="4"/>
  <c r="C226" i="4"/>
  <c r="G226" i="4"/>
  <c r="K223" i="4"/>
  <c r="O223" i="4"/>
  <c r="K187" i="4"/>
  <c r="O124" i="4"/>
  <c r="S119" i="4"/>
  <c r="C108" i="4"/>
  <c r="O257" i="4"/>
  <c r="K177" i="4"/>
  <c r="K173" i="4"/>
  <c r="K84" i="4"/>
  <c r="S175" i="4"/>
  <c r="S93" i="4"/>
  <c r="K158" i="4"/>
  <c r="S253" i="4"/>
  <c r="G236" i="4"/>
  <c r="K240" i="4"/>
  <c r="O234" i="4"/>
  <c r="S242" i="4"/>
  <c r="C225" i="4"/>
  <c r="G225" i="4"/>
  <c r="K222" i="4"/>
  <c r="O222" i="4"/>
  <c r="K186" i="4"/>
  <c r="O120" i="4"/>
  <c r="S118" i="4"/>
  <c r="C109" i="4"/>
  <c r="S103" i="4"/>
  <c r="C92" i="4"/>
  <c r="K172" i="4"/>
  <c r="K93" i="4"/>
  <c r="S173" i="4"/>
  <c r="G259" i="4"/>
  <c r="S92" i="4"/>
  <c r="G159" i="4"/>
  <c r="S252" i="4"/>
  <c r="K68" i="4"/>
  <c r="S158" i="4"/>
  <c r="G239" i="4"/>
  <c r="S72" i="4"/>
  <c r="K239" i="4"/>
  <c r="O233" i="4"/>
  <c r="S241" i="4"/>
  <c r="C224" i="4"/>
  <c r="G224" i="4"/>
  <c r="K221" i="4"/>
  <c r="O221" i="4"/>
  <c r="K185" i="4"/>
  <c r="O123" i="4"/>
  <c r="S117" i="4"/>
  <c r="C103" i="4"/>
  <c r="S109" i="4"/>
  <c r="K171" i="4"/>
  <c r="K92" i="4"/>
  <c r="S172" i="4"/>
  <c r="G258" i="4"/>
  <c r="S91" i="4"/>
  <c r="G158" i="4"/>
  <c r="S251" i="4"/>
  <c r="G235" i="4"/>
  <c r="K238" i="4"/>
  <c r="O237" i="4"/>
  <c r="S240" i="4"/>
  <c r="C223" i="4"/>
  <c r="G223" i="4"/>
  <c r="K220" i="4"/>
  <c r="O220" i="4"/>
  <c r="K184" i="4"/>
  <c r="S250" i="4"/>
  <c r="G234" i="4"/>
  <c r="K237" i="4"/>
  <c r="O238" i="4"/>
  <c r="S239" i="4"/>
  <c r="C222" i="4"/>
  <c r="G222" i="4"/>
  <c r="K219" i="4"/>
  <c r="O219" i="4"/>
  <c r="K170" i="4"/>
  <c r="K91" i="4"/>
  <c r="AS527" i="3"/>
  <c r="AS561" i="3"/>
  <c r="AT527" i="3"/>
  <c r="BB561" i="3"/>
  <c r="AC544" i="3"/>
  <c r="AG578" i="3"/>
  <c r="BA561" i="3"/>
  <c r="BA527" i="3"/>
  <c r="AV578" i="3"/>
  <c r="AT544" i="3"/>
  <c r="AU544" i="3"/>
  <c r="AU527" i="3"/>
  <c r="BB527" i="3"/>
  <c r="BA544" i="3"/>
  <c r="BA578" i="3"/>
  <c r="AC578" i="3"/>
  <c r="BB544" i="3"/>
  <c r="AG561" i="3"/>
  <c r="AS578" i="3"/>
  <c r="AG544" i="3"/>
  <c r="AT578" i="2"/>
  <c r="AW544" i="2"/>
  <c r="BD578" i="2"/>
  <c r="AC544" i="2"/>
  <c r="AC561" i="2"/>
  <c r="AS578" i="2"/>
  <c r="AG578" i="2"/>
  <c r="AG561" i="2"/>
  <c r="BA561" i="2"/>
  <c r="BB578" i="2"/>
  <c r="AS527" i="2"/>
  <c r="BB544" i="2"/>
  <c r="AU544" i="2"/>
  <c r="BD527" i="2"/>
  <c r="AG527" i="2"/>
  <c r="AC527" i="2"/>
  <c r="BD544" i="2"/>
  <c r="AC543" i="1"/>
  <c r="AC544" i="1" s="1"/>
  <c r="BB543" i="1"/>
  <c r="BE543" i="1"/>
  <c r="BE544" i="1" s="1"/>
  <c r="AT543" i="1"/>
  <c r="AV543" i="1"/>
  <c r="AV544" i="1" s="1"/>
  <c r="AC526" i="1"/>
  <c r="AC527" i="1" s="1"/>
  <c r="AU543" i="1"/>
  <c r="BC543" i="1"/>
  <c r="BC544" i="1" s="1"/>
  <c r="BD543" i="1"/>
  <c r="BD544" i="1" s="1"/>
  <c r="BB544" i="1"/>
  <c r="AU544" i="1"/>
  <c r="BA527" i="1"/>
  <c r="AS543" i="1"/>
  <c r="AS544" i="1" s="1"/>
  <c r="BE527" i="1"/>
  <c r="BD527" i="1"/>
  <c r="BA543" i="1"/>
  <c r="BA544" i="1" s="1"/>
  <c r="BC527" i="1"/>
  <c r="AG543" i="1"/>
  <c r="AG544" i="1" s="1"/>
  <c r="AS527" i="1"/>
  <c r="AV527" i="1"/>
  <c r="BB527" i="1"/>
  <c r="AU527" i="1"/>
  <c r="AT527" i="1"/>
  <c r="AW527" i="1"/>
  <c r="AW543" i="1"/>
  <c r="AW544" i="1" s="1"/>
  <c r="AG527" i="1"/>
  <c r="AO526" i="1" l="1"/>
  <c r="AO527" i="1" s="1"/>
  <c r="AK526" i="1"/>
  <c r="AK527" i="1" s="1"/>
  <c r="AN526" i="1"/>
  <c r="AN527" i="1" s="1"/>
  <c r="AL526" i="1"/>
  <c r="AL527" i="1" s="1"/>
  <c r="U526" i="1"/>
  <c r="U527" i="1" s="1"/>
  <c r="AM526" i="1"/>
  <c r="AM527" i="1" s="1"/>
  <c r="AT544" i="1"/>
</calcChain>
</file>

<file path=xl/sharedStrings.xml><?xml version="1.0" encoding="utf-8"?>
<sst xmlns="http://schemas.openxmlformats.org/spreadsheetml/2006/main" count="2288" uniqueCount="124">
  <si>
    <t>Date</t>
  </si>
  <si>
    <t>CHADBOURNE SLOUGH AT SUNRISE DUCK CLUB</t>
  </si>
  <si>
    <t>MONTEZUMA SLOUGH AT NATIONAL STEEL</t>
  </si>
  <si>
    <t>MONTEZUMA SLOUGH NEAR BELDENS LANDING</t>
  </si>
  <si>
    <t>SUISUN SLOUGH 300' SOUTH OF VOLANTI SLOUGH</t>
  </si>
  <si>
    <t>HONKER BAY</t>
  </si>
  <si>
    <t>SUISUN BAY AT VAN SICKLE ISLAND</t>
  </si>
  <si>
    <t>SUISUN BAY WEST REACH</t>
  </si>
  <si>
    <t>GRIZZLY BAY BUOY</t>
  </si>
  <si>
    <t>DUTCH SL BELOW JERSEY ISLAND</t>
  </si>
  <si>
    <t>FALSE RIVER NEAR OAKLEY</t>
  </si>
  <si>
    <t>OLD RIVER AT FRANKS TRACT</t>
  </si>
  <si>
    <t>PITTSBURG</t>
  </si>
  <si>
    <t>SACRAMENTO RIVER AT EMMATON</t>
  </si>
  <si>
    <t>SAN ANDREAS LANDING</t>
  </si>
  <si>
    <t>SAN JOAQUIN RIVER AT JERSEY POINT</t>
  </si>
  <si>
    <t>SUISUN BAY AT CHANNEL MARKER 5 AT COLLINSVILLE</t>
  </si>
  <si>
    <t>BRANNAN MARINAS AT SAN JOAQUIN RIVER</t>
  </si>
  <si>
    <t>LIBERTY CUT AT FIVE POINTS</t>
  </si>
  <si>
    <t>CACHE SLOUGH ABOVE RYER ISLAND FERRY</t>
  </si>
  <si>
    <t>DELTA CROSS CHANNEL NEAR WALNUT GROVE</t>
  </si>
  <si>
    <t>SACRAMENTO RIVER DOWNSTREAM OF ISLETON</t>
  </si>
  <si>
    <t>COURTLAND AT SACRAMENTO RIVER</t>
  </si>
  <si>
    <t>VIERAS RESORT AT SACRAMENTO RIVER</t>
  </si>
  <si>
    <t>GRANT LINE CANAL NEAR CLIFTON COURT FORE</t>
  </si>
  <si>
    <t>LITTLE POTATO SLOUGH AT TERMINOUS</t>
  </si>
  <si>
    <t>MIDDLE RIVER AT MILDRED ISLAND</t>
  </si>
  <si>
    <t>OLD RIVER AT CLIFTON COURT</t>
  </si>
  <si>
    <t>SAN JOAQUIN RIVER AT BRANDT BRIDGE</t>
  </si>
  <si>
    <t>SAN JOAQUIN RIVER AT PRISONERS POINT</t>
  </si>
  <si>
    <t>SAN JOAQUIN RIVER NEAR VERNALIS</t>
  </si>
  <si>
    <t>SAN JOAQUIN RVER AT ROUGH AND READY ISLAND</t>
  </si>
  <si>
    <t>VICTORIA CANAL BEFORE CLIFTON COURT FORE</t>
  </si>
  <si>
    <t>Suisun</t>
  </si>
  <si>
    <t>Central Delta</t>
  </si>
  <si>
    <t>North Delta</t>
  </si>
  <si>
    <t>South Delta</t>
  </si>
  <si>
    <t>TOTAL EXCEEDANCES</t>
  </si>
  <si>
    <t>WET 1</t>
  </si>
  <si>
    <t>WET 2</t>
  </si>
  <si>
    <t>DRY 1</t>
  </si>
  <si>
    <t>DRY 2</t>
  </si>
  <si>
    <t>ALL WET</t>
  </si>
  <si>
    <t>ALL DRY</t>
  </si>
  <si>
    <t>Day Use &amp; Boating</t>
  </si>
  <si>
    <t>THRESHOLD: 1,000 MICROSIEMENS/CM (EC)</t>
  </si>
  <si>
    <t>SP DAY USE &amp; BOATING</t>
  </si>
  <si>
    <t>WET SEASON</t>
  </si>
  <si>
    <t>TOTAL RUN</t>
  </si>
  <si>
    <t>WET SEASONS</t>
  </si>
  <si>
    <t>DRY SEASONS</t>
  </si>
  <si>
    <t>Delta-Wide</t>
  </si>
  <si>
    <t>OCTOBER 1 - MARCH 31</t>
  </si>
  <si>
    <t>DRY SEASON</t>
  </si>
  <si>
    <t>Total points</t>
  </si>
  <si>
    <t>WET SEASON 1</t>
  </si>
  <si>
    <t>APRIL 1 - SEPTEMBER 30</t>
  </si>
  <si>
    <t>Days in run</t>
  </si>
  <si>
    <t>WET SEASON 2</t>
  </si>
  <si>
    <t>DRY SEASON 2</t>
  </si>
  <si>
    <t>Total measurements</t>
  </si>
  <si>
    <t>DENOMINATOR FOR EXCEEDANCE %</t>
  </si>
  <si>
    <t>NUMERATOR FOR EXCEEDANCE %</t>
  </si>
  <si>
    <t>% Total Run Exceedances</t>
  </si>
  <si>
    <t>% WET Exceedances</t>
  </si>
  <si>
    <t>% DRY Exceedances</t>
  </si>
  <si>
    <t>Birding</t>
  </si>
  <si>
    <t>THRESHOLD: 2,640 MICROSIEMENS/CM (EC)</t>
  </si>
  <si>
    <t>BIRDING</t>
  </si>
  <si>
    <t>Waterfowl</t>
  </si>
  <si>
    <t>THRESHOLD: 3,600 MICROSIEMENS/CM (EC)</t>
  </si>
  <si>
    <t>Angling</t>
  </si>
  <si>
    <t>THRESHOLD: 9,130 MICROSIEMENS/CM (EC)</t>
  </si>
  <si>
    <t>ANGLING</t>
  </si>
  <si>
    <t>DRY SEASON 1</t>
  </si>
  <si>
    <t>Measurements &gt;= 2,640</t>
  </si>
  <si>
    <t>Measurements &gt;= 3,600</t>
  </si>
  <si>
    <t>Measurements &gt;= 9,130</t>
  </si>
  <si>
    <t>Total Run</t>
  </si>
  <si>
    <t>Wet Seasons</t>
  </si>
  <si>
    <t>Dry Seasons</t>
  </si>
  <si>
    <t>RUN 15 % EXCEEDANCES</t>
  </si>
  <si>
    <t>RUN 16 % EXCEEDANCES</t>
  </si>
  <si>
    <t>WATERFOWL</t>
  </si>
  <si>
    <t>Results</t>
  </si>
  <si>
    <t>Ranking</t>
  </si>
  <si>
    <t>Scale</t>
  </si>
  <si>
    <t xml:space="preserve">greater than or equal to 5% less </t>
  </si>
  <si>
    <t>4% less</t>
  </si>
  <si>
    <t>3% less</t>
  </si>
  <si>
    <t>2% less</t>
  </si>
  <si>
    <t>1% less</t>
  </si>
  <si>
    <t>No change from baseline</t>
  </si>
  <si>
    <t>1% more than baseline</t>
  </si>
  <si>
    <t>2% more</t>
  </si>
  <si>
    <t>3% more</t>
  </si>
  <si>
    <t>4% more</t>
  </si>
  <si>
    <t>greater than or equal to 5% more</t>
  </si>
  <si>
    <t>TOTAL RUN SCORES</t>
  </si>
  <si>
    <t>WET SEASON SCORES</t>
  </si>
  <si>
    <t>DRY SEASON SCORES</t>
  </si>
  <si>
    <t>REGION</t>
  </si>
  <si>
    <t>Central</t>
  </si>
  <si>
    <t>North</t>
  </si>
  <si>
    <t>South</t>
  </si>
  <si>
    <t>Historical Baseline</t>
  </si>
  <si>
    <t>+30% Outflow</t>
  </si>
  <si>
    <t>-10% Outflow</t>
  </si>
  <si>
    <t>RUN 17 % EXCEEDANCES</t>
  </si>
  <si>
    <t>OCT 1, 2020 - MAR 31, 2021</t>
  </si>
  <si>
    <t>OCT 1, 2021 - JAN 1, 2022</t>
  </si>
  <si>
    <t>AUG 11, 2020 - SEP 30, 2020</t>
  </si>
  <si>
    <t>APR 1, 2021 - SEP 30, 2021</t>
  </si>
  <si>
    <t>10/1/20 - 3/31/21</t>
  </si>
  <si>
    <t>10/1/21 - 1/1/22</t>
  </si>
  <si>
    <t>8/11/20 - 9/30/20</t>
  </si>
  <si>
    <t>4/1/21 - 9/30/21</t>
  </si>
  <si>
    <t>Measurements &gt;= 1,000</t>
  </si>
  <si>
    <t>Tiered Outflows</t>
  </si>
  <si>
    <t>+30% Flow</t>
  </si>
  <si>
    <t>-10% Flows</t>
  </si>
  <si>
    <t>Table 5 Criterion manuscript recreation</t>
  </si>
  <si>
    <t>Table 6 Criterion Manuscript recreation</t>
  </si>
  <si>
    <r>
      <rPr>
        <b/>
        <sz val="11"/>
        <color rgb="FF000000"/>
        <rFont val="Calibri"/>
        <family val="2"/>
        <scheme val="minor"/>
      </rPr>
      <t>Notes:</t>
    </r>
    <r>
      <rPr>
        <sz val="11"/>
        <color rgb="FF000000"/>
        <rFont val="Calibri"/>
        <family val="2"/>
        <scheme val="minor"/>
      </rPr>
      <t xml:space="preserve">
1. Most exceedances happen in Suisun, in line with wider observations, followed by Central Delta exceedances, and thresholds also follow activity-specific gradients. As a result, angling, the activity with the highest activity threshold, shows zero exceedances in both the North and South Delta, alongside birding and waterfowl. Boating, meanwhile, is the only activity that crosses the threshold in the North and South, at a rate of about 2%. Historic baseine, and -10% outflows show exceedances at similar rates.
2. Scenario rankings (-5 to 5 vs Historical Baseline) show deviations from each other vs baselin.e, with +30% added flows and -10% flows. Positive moves on the scale are most pronounced in the Central Delta, which shows the largest positive moves across activities. 
3. Under seasonality analysis, dry seasons exceed thresholds more often than wet seasons for every activity. in contrastn the Ither handn the opposOite side, extra outflow helps Suisun during wet periods.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</si>
</sst>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rgb="FF000000"/>
      <name val="Calibri"/>
      <family val="2"/>
      <scheme val="minor"/>
    </font>
    <font>
      <sz val="11"/>
      <color rgb="FF000000"/>
      <name val="Calibri"/>
      <family val="2"/>
    </font>
    <font>
      <b/>
      <sz val="11"/>
      <color rgb="FF000000"/>
      <name val="Calibri"/>
      <family val="2"/>
    </font>
    <font>
      <sz val="11"/>
      <color rgb="FF000000"/>
      <name val="Calibri"/>
      <family val="2"/>
      <scheme val="minor"/>
    </font>
    <font>
      <b/>
      <sz val="11"/>
      <color theme="1"/>
      <name val="Calibri"/>
      <family val="2"/>
      <scheme val="minor"/>
    </font>
    <font>
      <b/>
      <sz val="11"/>
      <color rgb="FF000000"/>
      <name val="Calibri"/>
      <family val="2"/>
      <scheme val="minor"/>
    </font>
    <font>
      <b/>
      <sz val="12"/>
      <color rgb="FF000000"/>
      <name val="Calibri"/>
      <family val="2"/>
      <scheme val="minor"/>
    </font>
  </fonts>
  <fills count="16">
    <fill>
      <patternFill patternType="none"/>
    </fill>
    <fill>
      <patternFill patternType="gray125"/>
    </fill>
    <fill>
      <patternFill patternType="solid">
        <fgColor rgb="FFBDD7EE"/>
      </patternFill>
    </fill>
    <fill>
      <patternFill patternType="solid">
        <fgColor rgb="FFC6E0B4"/>
      </patternFill>
    </fill>
    <fill>
      <patternFill patternType="solid">
        <fgColor rgb="FFFFE699"/>
      </patternFill>
    </fill>
    <fill>
      <patternFill patternType="solid">
        <fgColor rgb="FFF8CBAD"/>
      </patternFill>
    </fill>
    <fill>
      <patternFill patternType="solid">
        <fgColor rgb="FF92D050"/>
        <bgColor indexed="64"/>
      </patternFill>
    </fill>
    <fill>
      <patternFill patternType="solid">
        <fgColor rgb="FF00B0F0"/>
        <bgColor indexed="64"/>
      </patternFill>
    </fill>
    <fill>
      <patternFill patternType="solid">
        <fgColor rgb="FFFFC000"/>
        <bgColor indexed="64"/>
      </patternFill>
    </fill>
    <fill>
      <patternFill patternType="solid">
        <fgColor rgb="FFFFFF00"/>
        <bgColor indexed="64"/>
      </patternFill>
    </fill>
    <fill>
      <patternFill patternType="solid">
        <fgColor rgb="FF00B050"/>
        <bgColor indexed="64"/>
      </patternFill>
    </fill>
    <fill>
      <patternFill patternType="solid">
        <fgColor rgb="FFCE52F3"/>
        <bgColor indexed="64"/>
      </patternFill>
    </fill>
    <fill>
      <patternFill patternType="solid">
        <fgColor theme="8" tint="0.79998168889431442"/>
        <bgColor indexed="64"/>
      </patternFill>
    </fill>
    <fill>
      <patternFill patternType="solid">
        <fgColor theme="8"/>
        <bgColor indexed="64"/>
      </patternFill>
    </fill>
    <fill>
      <patternFill patternType="solid">
        <fgColor theme="0" tint="-0.249977111117893"/>
        <bgColor indexed="64"/>
      </patternFill>
    </fill>
    <fill>
      <patternFill patternType="solid">
        <fgColor theme="6" tint="0.79998168889431442"/>
        <bgColor indexed="64"/>
      </patternFill>
    </fill>
  </fills>
  <borders count="25">
    <border>
      <left/>
      <right/>
      <top/>
      <bottom/>
      <diagonal/>
    </border>
    <border>
      <left style="thin">
        <color rgb="FF000000"/>
      </left>
      <right style="thin">
        <color rgb="FF000000"/>
      </right>
      <top style="thin">
        <color rgb="FF000000"/>
      </top>
      <bottom style="thin">
        <color rgb="FF000000"/>
      </bottom>
      <diagonal/>
    </border>
    <border>
      <left style="medium">
        <color indexed="64"/>
      </left>
      <right/>
      <top style="medium">
        <color indexed="64"/>
      </top>
      <bottom style="medium">
        <color indexed="64"/>
      </bottom>
      <diagonal/>
    </border>
    <border>
      <left style="medium">
        <color indexed="64"/>
      </left>
      <right/>
      <top/>
      <bottom/>
      <diagonal/>
    </border>
    <border>
      <left style="medium">
        <color indexed="64"/>
      </left>
      <right/>
      <top/>
      <bottom style="medium">
        <color indexed="64"/>
      </bottom>
      <diagonal/>
    </border>
    <border>
      <left/>
      <right/>
      <top style="medium">
        <color indexed="64"/>
      </top>
      <bottom style="medium">
        <color indexed="64"/>
      </bottom>
      <diagonal/>
    </border>
    <border>
      <left/>
      <right/>
      <top/>
      <bottom style="medium">
        <color indexed="64"/>
      </bottom>
      <diagonal/>
    </border>
    <border>
      <left/>
      <right style="medium">
        <color indexed="64"/>
      </right>
      <top style="medium">
        <color indexed="64"/>
      </top>
      <bottom style="medium">
        <color indexed="64"/>
      </bottom>
      <diagonal/>
    </border>
    <border>
      <left/>
      <right style="medium">
        <color indexed="64"/>
      </right>
      <top/>
      <bottom/>
      <diagonal/>
    </border>
    <border>
      <left/>
      <right style="medium">
        <color indexed="64"/>
      </right>
      <top/>
      <bottom style="medium">
        <color indexed="64"/>
      </bottom>
      <diagonal/>
    </border>
    <border>
      <left/>
      <right style="medium">
        <color rgb="FF000000"/>
      </right>
      <top style="medium">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bottom style="thin">
        <color indexed="64"/>
      </bottom>
      <diagonal/>
    </border>
    <border>
      <left/>
      <right/>
      <top/>
      <bottom style="thin">
        <color indexed="64"/>
      </bottom>
      <diagonal/>
    </border>
    <border>
      <left style="medium">
        <color indexed="64"/>
      </left>
      <right/>
      <top/>
      <bottom style="thin">
        <color rgb="FF000000"/>
      </bottom>
      <diagonal/>
    </border>
    <border>
      <left style="medium">
        <color indexed="64"/>
      </left>
      <right/>
      <top style="thin">
        <color indexed="64"/>
      </top>
      <bottom/>
      <diagonal/>
    </border>
    <border>
      <left style="medium">
        <color indexed="64"/>
      </left>
      <right style="medium">
        <color indexed="64"/>
      </right>
      <top/>
      <bottom/>
      <diagonal/>
    </border>
    <border>
      <left/>
      <right style="medium">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s>
  <cellStyleXfs count="2">
    <xf numFmtId="0" fontId="0" fillId="0" borderId="0"/>
    <xf numFmtId="9" fontId="3" fillId="0" borderId="0" applyFont="0" applyFill="0" applyBorder="0" applyAlignment="0" applyProtection="0"/>
  </cellStyleXfs>
  <cellXfs count="139">
    <xf numFmtId="0" fontId="0" fillId="0" borderId="0" xfId="0"/>
    <xf numFmtId="14" fontId="1" fillId="0" borderId="0" xfId="0" applyNumberFormat="1" applyFont="1"/>
    <xf numFmtId="9" fontId="0" fillId="0" borderId="0" xfId="1" applyFont="1"/>
    <xf numFmtId="0" fontId="0" fillId="0" borderId="0" xfId="0" applyAlignment="1">
      <alignment horizontal="center" vertical="center"/>
    </xf>
    <xf numFmtId="0" fontId="0" fillId="0" borderId="3" xfId="0" applyBorder="1" applyAlignment="1">
      <alignment horizontal="center" vertical="center"/>
    </xf>
    <xf numFmtId="0" fontId="0" fillId="0" borderId="8" xfId="0" applyBorder="1" applyAlignment="1">
      <alignment horizontal="center" vertical="center"/>
    </xf>
    <xf numFmtId="0" fontId="0" fillId="0" borderId="0" xfId="0" applyAlignment="1">
      <alignment horizontal="center" vertical="center" wrapText="1"/>
    </xf>
    <xf numFmtId="0" fontId="0" fillId="0" borderId="8" xfId="0" applyBorder="1" applyAlignment="1">
      <alignment horizontal="center" vertical="center" wrapText="1"/>
    </xf>
    <xf numFmtId="0" fontId="0" fillId="0" borderId="3" xfId="0" applyBorder="1" applyAlignment="1">
      <alignment horizontal="center" vertical="center" wrapText="1"/>
    </xf>
    <xf numFmtId="0" fontId="0" fillId="0" borderId="6" xfId="0" applyBorder="1" applyAlignment="1">
      <alignment horizontal="center" vertical="center"/>
    </xf>
    <xf numFmtId="0" fontId="0" fillId="0" borderId="6" xfId="0" applyBorder="1" applyAlignment="1">
      <alignment horizontal="center" vertical="center" wrapText="1"/>
    </xf>
    <xf numFmtId="0" fontId="0" fillId="0" borderId="9" xfId="0" applyBorder="1" applyAlignment="1">
      <alignment horizontal="center" vertical="center" wrapText="1"/>
    </xf>
    <xf numFmtId="0" fontId="3" fillId="0" borderId="0" xfId="0" applyFont="1" applyAlignment="1">
      <alignment horizontal="center" vertical="center"/>
    </xf>
    <xf numFmtId="0" fontId="3" fillId="0" borderId="3" xfId="0" applyFont="1" applyBorder="1" applyAlignment="1">
      <alignment horizontal="center" vertical="center"/>
    </xf>
    <xf numFmtId="0" fontId="3" fillId="0" borderId="8" xfId="0" applyFont="1" applyBorder="1" applyAlignment="1">
      <alignment horizontal="center" vertical="center"/>
    </xf>
    <xf numFmtId="0" fontId="3" fillId="0" borderId="0" xfId="0" applyFont="1" applyAlignment="1">
      <alignment horizontal="center" vertical="center" wrapText="1"/>
    </xf>
    <xf numFmtId="0" fontId="3" fillId="0" borderId="8" xfId="0" applyFont="1" applyBorder="1" applyAlignment="1">
      <alignment horizontal="center" vertical="center" wrapText="1"/>
    </xf>
    <xf numFmtId="0" fontId="3" fillId="0" borderId="3" xfId="0" applyFont="1" applyBorder="1" applyAlignment="1">
      <alignment horizontal="center" vertical="center" wrapText="1"/>
    </xf>
    <xf numFmtId="0" fontId="3" fillId="0" borderId="6" xfId="0" applyFont="1" applyBorder="1" applyAlignment="1">
      <alignment horizontal="center" vertical="center"/>
    </xf>
    <xf numFmtId="0" fontId="3" fillId="0" borderId="6" xfId="0" applyFont="1" applyBorder="1" applyAlignment="1">
      <alignment horizontal="center" vertical="center" wrapText="1"/>
    </xf>
    <xf numFmtId="0" fontId="3" fillId="0" borderId="9" xfId="0" applyFont="1" applyBorder="1" applyAlignment="1">
      <alignment horizontal="center" vertical="center" wrapText="1"/>
    </xf>
    <xf numFmtId="0" fontId="3" fillId="0" borderId="0" xfId="0" applyFont="1"/>
    <xf numFmtId="0" fontId="4" fillId="0" borderId="3" xfId="0" applyFont="1" applyBorder="1" applyAlignment="1">
      <alignment horizontal="center" vertical="center" wrapText="1"/>
    </xf>
    <xf numFmtId="0" fontId="4" fillId="0" borderId="0" xfId="0" applyFont="1" applyAlignment="1">
      <alignment horizontal="center" vertical="center" wrapText="1"/>
    </xf>
    <xf numFmtId="0" fontId="5" fillId="0" borderId="3" xfId="0" applyFont="1" applyBorder="1" applyAlignment="1">
      <alignment horizontal="center" vertical="center" wrapText="1"/>
    </xf>
    <xf numFmtId="0" fontId="5" fillId="0" borderId="0" xfId="0" applyFont="1" applyAlignment="1">
      <alignment horizontal="center" vertical="center" wrapText="1"/>
    </xf>
    <xf numFmtId="0" fontId="0" fillId="0" borderId="15" xfId="0" applyBorder="1" applyAlignment="1">
      <alignment horizontal="center" vertical="center"/>
    </xf>
    <xf numFmtId="0" fontId="3" fillId="0" borderId="15" xfId="0" applyFont="1" applyBorder="1" applyAlignment="1">
      <alignment horizontal="center" vertical="center"/>
    </xf>
    <xf numFmtId="0" fontId="4" fillId="0" borderId="17" xfId="0" applyFont="1" applyBorder="1" applyAlignment="1">
      <alignment horizontal="center" vertical="center" wrapText="1"/>
    </xf>
    <xf numFmtId="0" fontId="4" fillId="0" borderId="0" xfId="0" applyFont="1" applyAlignment="1">
      <alignment vertical="center"/>
    </xf>
    <xf numFmtId="0" fontId="4" fillId="0" borderId="8" xfId="0" quotePrefix="1" applyFont="1" applyBorder="1" applyAlignment="1">
      <alignment horizontal="center" vertical="center" wrapText="1"/>
    </xf>
    <xf numFmtId="0" fontId="0" fillId="0" borderId="19" xfId="0" applyBorder="1" applyAlignment="1">
      <alignment horizontal="center" vertical="center" wrapText="1"/>
    </xf>
    <xf numFmtId="0" fontId="4" fillId="0" borderId="0" xfId="0" quotePrefix="1" applyFont="1" applyAlignment="1">
      <alignment horizontal="center" vertical="center" wrapText="1"/>
    </xf>
    <xf numFmtId="0" fontId="0" fillId="0" borderId="18" xfId="0" applyBorder="1" applyAlignment="1">
      <alignment horizontal="center" vertical="center" wrapText="1"/>
    </xf>
    <xf numFmtId="0" fontId="0" fillId="0" borderId="4" xfId="0" applyBorder="1" applyAlignment="1">
      <alignment horizontal="center" vertical="center" wrapText="1"/>
    </xf>
    <xf numFmtId="0" fontId="3" fillId="0" borderId="4" xfId="0" applyFont="1" applyBorder="1" applyAlignment="1">
      <alignment horizontal="center" vertical="center" wrapText="1"/>
    </xf>
    <xf numFmtId="9" fontId="0" fillId="0" borderId="0" xfId="1" applyFont="1" applyBorder="1"/>
    <xf numFmtId="9" fontId="0" fillId="0" borderId="8" xfId="1" applyFont="1" applyBorder="1"/>
    <xf numFmtId="0" fontId="0" fillId="0" borderId="6" xfId="0" applyBorder="1"/>
    <xf numFmtId="9" fontId="0" fillId="0" borderId="6" xfId="1" applyFont="1" applyBorder="1"/>
    <xf numFmtId="9" fontId="0" fillId="0" borderId="9" xfId="1" applyFont="1" applyBorder="1"/>
    <xf numFmtId="0" fontId="0" fillId="13" borderId="5" xfId="0" applyFill="1" applyBorder="1"/>
    <xf numFmtId="0" fontId="0" fillId="13" borderId="7" xfId="0" applyFill="1" applyBorder="1"/>
    <xf numFmtId="0" fontId="0" fillId="0" borderId="9" xfId="0" applyBorder="1"/>
    <xf numFmtId="0" fontId="5" fillId="0" borderId="3" xfId="0" applyFont="1" applyBorder="1"/>
    <xf numFmtId="0" fontId="5" fillId="6" borderId="0" xfId="0" applyFont="1" applyFill="1"/>
    <xf numFmtId="0" fontId="5" fillId="7" borderId="0" xfId="0" applyFont="1" applyFill="1"/>
    <xf numFmtId="0" fontId="5" fillId="8" borderId="0" xfId="0" applyFont="1" applyFill="1"/>
    <xf numFmtId="0" fontId="5" fillId="8" borderId="8" xfId="0" applyFont="1" applyFill="1" applyBorder="1"/>
    <xf numFmtId="0" fontId="5" fillId="0" borderId="3" xfId="0" applyFont="1" applyBorder="1" applyAlignment="1">
      <alignment shrinkToFit="1"/>
    </xf>
    <xf numFmtId="0" fontId="5" fillId="0" borderId="4" xfId="0" applyFont="1" applyBorder="1"/>
    <xf numFmtId="0" fontId="6" fillId="0" borderId="3" xfId="0" applyFont="1" applyBorder="1" applyAlignment="1">
      <alignment shrinkToFit="1"/>
    </xf>
    <xf numFmtId="9" fontId="0" fillId="15" borderId="0" xfId="1" applyFont="1" applyFill="1" applyBorder="1"/>
    <xf numFmtId="9" fontId="0" fillId="15" borderId="8" xfId="1" applyFont="1" applyFill="1" applyBorder="1"/>
    <xf numFmtId="9" fontId="0" fillId="15" borderId="6" xfId="1" applyFont="1" applyFill="1" applyBorder="1"/>
    <xf numFmtId="9" fontId="0" fillId="15" borderId="9" xfId="1" applyFont="1" applyFill="1" applyBorder="1"/>
    <xf numFmtId="0" fontId="0" fillId="0" borderId="20" xfId="0" applyBorder="1" applyAlignment="1">
      <alignment horizontal="left" vertical="top" wrapText="1"/>
    </xf>
    <xf numFmtId="0" fontId="0" fillId="0" borderId="21" xfId="0" applyBorder="1" applyAlignment="1">
      <alignment horizontal="left" vertical="top"/>
    </xf>
    <xf numFmtId="0" fontId="0" fillId="0" borderId="22" xfId="0" applyBorder="1" applyAlignment="1">
      <alignment horizontal="left" vertical="top"/>
    </xf>
    <xf numFmtId="0" fontId="0" fillId="0" borderId="3" xfId="0" applyBorder="1" applyAlignment="1">
      <alignment horizontal="left" vertical="top"/>
    </xf>
    <xf numFmtId="0" fontId="0" fillId="0" borderId="0" xfId="0" applyAlignment="1">
      <alignment horizontal="left" vertical="top"/>
    </xf>
    <xf numFmtId="0" fontId="0" fillId="0" borderId="8" xfId="0" applyBorder="1" applyAlignment="1">
      <alignment horizontal="left" vertical="top"/>
    </xf>
    <xf numFmtId="0" fontId="0" fillId="0" borderId="4" xfId="0" applyBorder="1" applyAlignment="1">
      <alignment horizontal="left" vertical="top"/>
    </xf>
    <xf numFmtId="0" fontId="0" fillId="0" borderId="6" xfId="0" applyBorder="1" applyAlignment="1">
      <alignment horizontal="left" vertical="top"/>
    </xf>
    <xf numFmtId="0" fontId="0" fillId="0" borderId="9" xfId="0" applyBorder="1" applyAlignment="1">
      <alignment horizontal="left" vertical="top"/>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4" fillId="0" borderId="11" xfId="0" applyFont="1" applyBorder="1" applyAlignment="1">
      <alignment horizontal="center" vertical="center"/>
    </xf>
    <xf numFmtId="0" fontId="4" fillId="0" borderId="12" xfId="0" applyFont="1" applyBorder="1" applyAlignment="1">
      <alignment horizontal="center" vertical="center"/>
    </xf>
    <xf numFmtId="0" fontId="4" fillId="0" borderId="13" xfId="0" applyFont="1" applyBorder="1" applyAlignment="1">
      <alignment horizontal="center" vertical="center"/>
    </xf>
    <xf numFmtId="0" fontId="5" fillId="0" borderId="11" xfId="0" applyFont="1" applyBorder="1" applyAlignment="1">
      <alignment horizontal="center" vertical="center"/>
    </xf>
    <xf numFmtId="0" fontId="5" fillId="0" borderId="12" xfId="0" applyFont="1" applyBorder="1" applyAlignment="1">
      <alignment horizontal="center" vertical="center"/>
    </xf>
    <xf numFmtId="0" fontId="5" fillId="0" borderId="13" xfId="0" applyFont="1" applyBorder="1" applyAlignment="1">
      <alignment horizontal="center" vertical="center"/>
    </xf>
    <xf numFmtId="0" fontId="4" fillId="0" borderId="14" xfId="0" applyFont="1" applyBorder="1" applyAlignment="1">
      <alignment horizontal="center" vertical="center" wrapText="1"/>
    </xf>
    <xf numFmtId="0" fontId="5" fillId="0" borderId="3" xfId="0" applyFont="1" applyBorder="1" applyAlignment="1">
      <alignment horizontal="center" vertical="center" wrapText="1"/>
    </xf>
    <xf numFmtId="0" fontId="5" fillId="0" borderId="16" xfId="0" applyFont="1" applyBorder="1" applyAlignment="1">
      <alignment horizontal="center" vertical="center" wrapText="1"/>
    </xf>
    <xf numFmtId="0" fontId="5" fillId="0" borderId="4" xfId="0" applyFont="1" applyBorder="1" applyAlignment="1">
      <alignment horizontal="center" vertical="center" wrapText="1"/>
    </xf>
    <xf numFmtId="0" fontId="5" fillId="12" borderId="2" xfId="0" applyFont="1" applyFill="1" applyBorder="1" applyAlignment="1">
      <alignment horizontal="center" vertical="center"/>
    </xf>
    <xf numFmtId="0" fontId="5" fillId="12" borderId="5" xfId="0" applyFont="1" applyFill="1" applyBorder="1" applyAlignment="1">
      <alignment horizontal="center" vertical="center"/>
    </xf>
    <xf numFmtId="0" fontId="5" fillId="12" borderId="10" xfId="0" applyFont="1" applyFill="1" applyBorder="1" applyAlignment="1">
      <alignment horizontal="center" vertical="center"/>
    </xf>
    <xf numFmtId="0" fontId="5" fillId="8" borderId="2" xfId="0" applyFont="1" applyFill="1" applyBorder="1" applyAlignment="1">
      <alignment horizontal="center" vertical="center"/>
    </xf>
    <xf numFmtId="0" fontId="5" fillId="8" borderId="5" xfId="0" applyFont="1" applyFill="1" applyBorder="1" applyAlignment="1">
      <alignment horizontal="center" vertical="center"/>
    </xf>
    <xf numFmtId="0" fontId="5" fillId="8" borderId="10" xfId="0" applyFont="1" applyFill="1" applyBorder="1" applyAlignment="1">
      <alignment horizontal="center" vertical="center"/>
    </xf>
    <xf numFmtId="0" fontId="3" fillId="0" borderId="2" xfId="0" applyFont="1" applyBorder="1" applyAlignment="1">
      <alignment horizontal="center" vertical="center"/>
    </xf>
    <xf numFmtId="0" fontId="3" fillId="0" borderId="5" xfId="0" applyFont="1" applyBorder="1" applyAlignment="1">
      <alignment horizontal="center" vertical="center"/>
    </xf>
    <xf numFmtId="0" fontId="3" fillId="0" borderId="10" xfId="0" applyFont="1" applyBorder="1" applyAlignment="1">
      <alignment horizontal="center" vertical="center"/>
    </xf>
    <xf numFmtId="0" fontId="5" fillId="7" borderId="2" xfId="0" applyFont="1" applyFill="1" applyBorder="1" applyAlignment="1">
      <alignment horizontal="center" vertical="center"/>
    </xf>
    <xf numFmtId="0" fontId="5" fillId="7" borderId="5" xfId="0" applyFont="1" applyFill="1" applyBorder="1" applyAlignment="1">
      <alignment horizontal="center" vertical="center"/>
    </xf>
    <xf numFmtId="0" fontId="5" fillId="7" borderId="10" xfId="0" applyFont="1" applyFill="1" applyBorder="1" applyAlignment="1">
      <alignment horizontal="center" vertical="center"/>
    </xf>
    <xf numFmtId="0" fontId="5" fillId="6" borderId="2" xfId="0" applyFont="1" applyFill="1" applyBorder="1" applyAlignment="1">
      <alignment horizontal="center" vertical="center"/>
    </xf>
    <xf numFmtId="0" fontId="5" fillId="6" borderId="5" xfId="0" applyFont="1" applyFill="1" applyBorder="1" applyAlignment="1">
      <alignment horizontal="center" vertical="center"/>
    </xf>
    <xf numFmtId="0" fontId="5" fillId="6" borderId="10" xfId="0" applyFont="1" applyFill="1" applyBorder="1" applyAlignment="1">
      <alignment horizontal="center" vertical="center"/>
    </xf>
    <xf numFmtId="0" fontId="4" fillId="11" borderId="2" xfId="0" applyFont="1" applyFill="1" applyBorder="1" applyAlignment="1">
      <alignment horizontal="center" vertical="center"/>
    </xf>
    <xf numFmtId="0" fontId="4" fillId="11" borderId="5" xfId="0" applyFont="1" applyFill="1" applyBorder="1" applyAlignment="1">
      <alignment horizontal="center" vertical="center"/>
    </xf>
    <xf numFmtId="0" fontId="4" fillId="11" borderId="7" xfId="0" applyFont="1" applyFill="1" applyBorder="1" applyAlignment="1">
      <alignment horizontal="center" vertical="center"/>
    </xf>
    <xf numFmtId="0" fontId="4" fillId="8" borderId="2" xfId="0" applyFont="1" applyFill="1" applyBorder="1" applyAlignment="1">
      <alignment horizontal="center" vertical="center"/>
    </xf>
    <xf numFmtId="0" fontId="4" fillId="8" borderId="5" xfId="0" applyFont="1" applyFill="1" applyBorder="1" applyAlignment="1">
      <alignment horizontal="center" vertical="center"/>
    </xf>
    <xf numFmtId="0" fontId="4" fillId="8" borderId="7" xfId="0" applyFont="1" applyFill="1" applyBorder="1" applyAlignment="1">
      <alignment horizontal="center" vertical="center"/>
    </xf>
    <xf numFmtId="0" fontId="0" fillId="0" borderId="2" xfId="0" applyBorder="1" applyAlignment="1">
      <alignment horizontal="center" vertical="center"/>
    </xf>
    <xf numFmtId="0" fontId="0" fillId="0" borderId="5" xfId="0" applyBorder="1" applyAlignment="1">
      <alignment horizontal="center" vertical="center"/>
    </xf>
    <xf numFmtId="0" fontId="0" fillId="0" borderId="7" xfId="0" applyBorder="1" applyAlignment="1">
      <alignment horizontal="center" vertical="center"/>
    </xf>
    <xf numFmtId="0" fontId="4" fillId="7" borderId="2" xfId="0" applyFont="1" applyFill="1" applyBorder="1" applyAlignment="1">
      <alignment horizontal="center" vertical="center"/>
    </xf>
    <xf numFmtId="0" fontId="4" fillId="7" borderId="5" xfId="0" applyFont="1" applyFill="1" applyBorder="1" applyAlignment="1">
      <alignment horizontal="center" vertical="center"/>
    </xf>
    <xf numFmtId="0" fontId="4" fillId="7" borderId="7" xfId="0" applyFont="1" applyFill="1" applyBorder="1" applyAlignment="1">
      <alignment horizontal="center" vertical="center"/>
    </xf>
    <xf numFmtId="0" fontId="4" fillId="6" borderId="2" xfId="0" applyFont="1" applyFill="1" applyBorder="1" applyAlignment="1">
      <alignment horizontal="center" vertical="center"/>
    </xf>
    <xf numFmtId="0" fontId="4" fillId="6" borderId="5" xfId="0" applyFont="1" applyFill="1" applyBorder="1" applyAlignment="1">
      <alignment horizontal="center" vertical="center"/>
    </xf>
    <xf numFmtId="0" fontId="4" fillId="6" borderId="7" xfId="0" applyFont="1" applyFill="1" applyBorder="1" applyAlignment="1">
      <alignment horizontal="center" vertical="center"/>
    </xf>
    <xf numFmtId="0" fontId="4" fillId="10" borderId="2" xfId="0" applyFont="1" applyFill="1" applyBorder="1" applyAlignment="1">
      <alignment horizontal="center" vertical="center"/>
    </xf>
    <xf numFmtId="0" fontId="4" fillId="10" borderId="5" xfId="0" applyFont="1" applyFill="1" applyBorder="1" applyAlignment="1">
      <alignment horizontal="center" vertical="center"/>
    </xf>
    <xf numFmtId="0" fontId="4" fillId="10" borderId="7" xfId="0" applyFont="1" applyFill="1" applyBorder="1" applyAlignment="1">
      <alignment horizontal="center" vertical="center"/>
    </xf>
    <xf numFmtId="0" fontId="4" fillId="9" borderId="2" xfId="0" applyFont="1" applyFill="1" applyBorder="1" applyAlignment="1">
      <alignment horizontal="center" vertical="center"/>
    </xf>
    <xf numFmtId="0" fontId="4" fillId="9" borderId="5" xfId="0" applyFont="1" applyFill="1" applyBorder="1" applyAlignment="1">
      <alignment horizontal="center" vertical="center"/>
    </xf>
    <xf numFmtId="0" fontId="4" fillId="9" borderId="7" xfId="0" applyFont="1" applyFill="1" applyBorder="1" applyAlignment="1">
      <alignment horizontal="center" vertical="center"/>
    </xf>
    <xf numFmtId="0" fontId="0" fillId="8" borderId="21" xfId="0" applyFill="1" applyBorder="1" applyAlignment="1">
      <alignment horizontal="center"/>
    </xf>
    <xf numFmtId="0" fontId="0" fillId="8" borderId="22" xfId="0" applyFill="1" applyBorder="1" applyAlignment="1">
      <alignment horizontal="center"/>
    </xf>
    <xf numFmtId="0" fontId="0" fillId="0" borderId="20" xfId="0" applyBorder="1" applyAlignment="1">
      <alignment horizontal="center"/>
    </xf>
    <xf numFmtId="0" fontId="0" fillId="0" borderId="21" xfId="0" applyBorder="1" applyAlignment="1">
      <alignment horizontal="center"/>
    </xf>
    <xf numFmtId="0" fontId="0" fillId="0" borderId="4" xfId="0" applyBorder="1" applyAlignment="1">
      <alignment horizontal="center"/>
    </xf>
    <xf numFmtId="0" fontId="0" fillId="0" borderId="6" xfId="0" applyBorder="1" applyAlignment="1">
      <alignment horizontal="center"/>
    </xf>
    <xf numFmtId="0" fontId="5" fillId="0" borderId="2" xfId="0" applyFont="1" applyBorder="1" applyAlignment="1">
      <alignment horizontal="center"/>
    </xf>
    <xf numFmtId="0" fontId="5" fillId="0" borderId="5" xfId="0" applyFont="1" applyBorder="1" applyAlignment="1">
      <alignment horizontal="center"/>
    </xf>
    <xf numFmtId="0" fontId="5" fillId="0" borderId="7" xfId="0" applyFont="1" applyBorder="1" applyAlignment="1">
      <alignment horizontal="center"/>
    </xf>
    <xf numFmtId="0" fontId="5" fillId="6" borderId="0" xfId="0" applyFont="1" applyFill="1" applyAlignment="1">
      <alignment horizontal="center"/>
    </xf>
    <xf numFmtId="0" fontId="5" fillId="7" borderId="0" xfId="0" applyFont="1" applyFill="1" applyAlignment="1">
      <alignment horizontal="center"/>
    </xf>
    <xf numFmtId="0" fontId="5" fillId="8" borderId="0" xfId="0" applyFont="1" applyFill="1" applyAlignment="1">
      <alignment horizontal="center"/>
    </xf>
    <xf numFmtId="0" fontId="5" fillId="8" borderId="8" xfId="0" applyFont="1" applyFill="1" applyBorder="1" applyAlignment="1">
      <alignment horizontal="center"/>
    </xf>
    <xf numFmtId="0" fontId="0" fillId="14" borderId="18" xfId="0" quotePrefix="1" applyFill="1" applyBorder="1" applyAlignment="1">
      <alignment horizontal="center" vertical="center"/>
    </xf>
    <xf numFmtId="0" fontId="0" fillId="14" borderId="24" xfId="0" quotePrefix="1" applyFill="1" applyBorder="1" applyAlignment="1">
      <alignment horizontal="center" vertical="center"/>
    </xf>
    <xf numFmtId="0" fontId="0" fillId="14" borderId="23" xfId="0" applyFill="1" applyBorder="1" applyAlignment="1">
      <alignment horizontal="center" vertical="center" wrapText="1"/>
    </xf>
    <xf numFmtId="0" fontId="0" fillId="14" borderId="18" xfId="0" applyFill="1" applyBorder="1" applyAlignment="1">
      <alignment horizontal="center" vertical="center" wrapText="1"/>
    </xf>
    <xf numFmtId="0" fontId="0" fillId="13" borderId="2" xfId="0" applyFill="1" applyBorder="1" applyAlignment="1">
      <alignment horizontal="center"/>
    </xf>
    <xf numFmtId="0" fontId="0" fillId="13" borderId="5" xfId="0" applyFill="1" applyBorder="1" applyAlignment="1">
      <alignment horizontal="center"/>
    </xf>
    <xf numFmtId="0" fontId="0" fillId="14" borderId="3" xfId="0" applyFill="1" applyBorder="1" applyAlignment="1">
      <alignment horizontal="center" vertical="center" wrapText="1"/>
    </xf>
    <xf numFmtId="0" fontId="0" fillId="14" borderId="4" xfId="0" applyFill="1" applyBorder="1" applyAlignment="1">
      <alignment horizontal="center" vertical="center" wrapText="1"/>
    </xf>
    <xf numFmtId="0" fontId="0" fillId="13" borderId="21" xfId="0" applyFill="1" applyBorder="1" applyAlignment="1">
      <alignment horizontal="center"/>
    </xf>
    <xf numFmtId="0" fontId="2" fillId="2" borderId="1" xfId="0" applyFont="1" applyFill="1" applyBorder="1" applyAlignment="1">
      <alignment horizontal="center"/>
    </xf>
    <xf numFmtId="0" fontId="2" fillId="3" borderId="1" xfId="0" applyFont="1" applyFill="1" applyBorder="1" applyAlignment="1">
      <alignment horizontal="center"/>
    </xf>
    <xf numFmtId="0" fontId="2" fillId="4" borderId="1" xfId="0" applyFont="1" applyFill="1" applyBorder="1" applyAlignment="1">
      <alignment horizontal="center"/>
    </xf>
    <xf numFmtId="0" fontId="2" fillId="5" borderId="1" xfId="0" applyFont="1" applyFill="1" applyBorder="1" applyAlignment="1">
      <alignment horizontal="center"/>
    </xf>
  </cellXfs>
  <cellStyles count="2">
    <cellStyle name="Normal" xfId="0" builtinId="0"/>
    <cellStyle name="Percent" xfId="1" builtinId="5"/>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3">
    <wetp:webextensionref xmlns:r="http://schemas.openxmlformats.org/officeDocument/2006/relationships" r:id="rId1"/>
  </wetp:taskpane>
</wetp:taskpanes>
</file>

<file path=xl/webextensions/webextension1.xml><?xml version="1.0" encoding="utf-8"?>
<we:webextension xmlns:we="http://schemas.microsoft.com/office/webextensions/webextension/2010/11" id="{96F24EEE-9140-4361-8A39-183F2A14D3F1}">
  <we:reference id="WA200010725" version="1.0.0.1" store="Omex" storeType="OMEX"/>
  <we:alternateReferences>
    <we:reference id="WA200010725" version="1.0.0.1" store="WA200010725" storeType="OMEX"/>
  </we:alternateReferences>
  <we:properties>
    <we:property name="claude.fileId" value="&quot;1508ce7d-7a6f-4552-8209-176e9b1293c9&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C98F6B-57C4-4608-8B29-50134F81E52B}">
  <dimension ref="C1:AM259"/>
  <sheetViews>
    <sheetView tabSelected="1" topLeftCell="J10" workbookViewId="0">
      <selection activeCell="F60" sqref="F60"/>
    </sheetView>
  </sheetViews>
  <sheetFormatPr defaultRowHeight="15" x14ac:dyDescent="0.25"/>
  <cols>
    <col min="3" max="3" width="16.140625" customWidth="1"/>
    <col min="4" max="21" width="14.140625" customWidth="1"/>
  </cols>
  <sheetData>
    <row r="1" spans="3:30" ht="15.75" thickBot="1" x14ac:dyDescent="0.3">
      <c r="V1" s="56" t="s">
        <v>123</v>
      </c>
      <c r="W1" s="57"/>
      <c r="X1" s="57"/>
      <c r="Y1" s="57"/>
      <c r="Z1" s="57"/>
      <c r="AA1" s="57"/>
      <c r="AB1" s="57"/>
      <c r="AC1" s="57"/>
      <c r="AD1" s="58"/>
    </row>
    <row r="2" spans="3:30" ht="15.75" customHeight="1" x14ac:dyDescent="0.25">
      <c r="C2" s="67" t="s">
        <v>98</v>
      </c>
      <c r="D2" s="68"/>
      <c r="E2" s="68"/>
      <c r="F2" s="68"/>
      <c r="G2" s="69"/>
      <c r="H2" s="29"/>
      <c r="I2" s="67" t="s">
        <v>99</v>
      </c>
      <c r="J2" s="68"/>
      <c r="K2" s="68"/>
      <c r="L2" s="68"/>
      <c r="M2" s="69"/>
      <c r="N2" s="29"/>
      <c r="O2" s="70" t="s">
        <v>100</v>
      </c>
      <c r="P2" s="71"/>
      <c r="Q2" s="71"/>
      <c r="R2" s="71"/>
      <c r="S2" s="72"/>
      <c r="V2" s="59"/>
      <c r="W2" s="60"/>
      <c r="X2" s="60"/>
      <c r="Y2" s="60"/>
      <c r="Z2" s="60"/>
      <c r="AA2" s="60"/>
      <c r="AB2" s="60"/>
      <c r="AC2" s="60"/>
      <c r="AD2" s="61"/>
    </row>
    <row r="3" spans="3:30" ht="30" customHeight="1" x14ac:dyDescent="0.25">
      <c r="C3" s="22"/>
      <c r="D3" s="23" t="s">
        <v>101</v>
      </c>
      <c r="E3" s="23" t="s">
        <v>105</v>
      </c>
      <c r="F3" s="32" t="s">
        <v>106</v>
      </c>
      <c r="G3" s="30" t="s">
        <v>107</v>
      </c>
      <c r="H3" s="23"/>
      <c r="I3" s="22"/>
      <c r="J3" s="23" t="s">
        <v>101</v>
      </c>
      <c r="K3" s="23" t="s">
        <v>105</v>
      </c>
      <c r="L3" s="32" t="s">
        <v>106</v>
      </c>
      <c r="M3" s="30" t="s">
        <v>107</v>
      </c>
      <c r="N3" s="33"/>
      <c r="O3" s="24"/>
      <c r="P3" s="25" t="s">
        <v>101</v>
      </c>
      <c r="Q3" s="23" t="s">
        <v>105</v>
      </c>
      <c r="R3" s="32" t="s">
        <v>106</v>
      </c>
      <c r="S3" s="30" t="s">
        <v>107</v>
      </c>
      <c r="V3" s="59"/>
      <c r="W3" s="60"/>
      <c r="X3" s="60"/>
      <c r="Y3" s="60"/>
      <c r="Z3" s="60"/>
      <c r="AA3" s="60"/>
      <c r="AB3" s="60"/>
      <c r="AC3" s="60"/>
      <c r="AD3" s="61"/>
    </row>
    <row r="4" spans="3:30" ht="15" customHeight="1" x14ac:dyDescent="0.25">
      <c r="C4" s="65" t="s">
        <v>46</v>
      </c>
      <c r="D4" s="3" t="s">
        <v>51</v>
      </c>
      <c r="E4" s="3">
        <f>-MAX(-5,MIN(5,ROUND((D$39-D$39)*100,0)))</f>
        <v>0</v>
      </c>
      <c r="F4" s="3">
        <f>-MAX(-5,MIN(5,ROUND((D$47-D$39)*100,0)))</f>
        <v>5</v>
      </c>
      <c r="G4" s="7">
        <f>-MAX(-5,MIN(5,ROUND((D$55-D$39)*100,0)))</f>
        <v>-5</v>
      </c>
      <c r="H4" s="3"/>
      <c r="I4" s="65" t="s">
        <v>46</v>
      </c>
      <c r="J4" s="3" t="s">
        <v>51</v>
      </c>
      <c r="K4" s="3">
        <f>-MAX(-5,MIN(5,ROUND((I$39-I$39)*100,0)))</f>
        <v>0</v>
      </c>
      <c r="L4" s="3">
        <f>-MAX(-5,MIN(5,ROUND((I$47-I$39)*100,0)))</f>
        <v>5</v>
      </c>
      <c r="M4" s="7">
        <f>-MAX(-5,MIN(5,ROUND((I$55-I$39)*100,0)))</f>
        <v>-5</v>
      </c>
      <c r="O4" s="74" t="s">
        <v>46</v>
      </c>
      <c r="P4" s="12" t="s">
        <v>51</v>
      </c>
      <c r="Q4" s="12">
        <f>-MAX(-5,MIN(5,ROUND((N$39-N$39)*100,0)))</f>
        <v>0</v>
      </c>
      <c r="R4" s="12">
        <f>-MAX(-5,MIN(5,ROUND((N$47-N$39)*100,0)))</f>
        <v>5</v>
      </c>
      <c r="S4" s="16">
        <f>-MAX(-5,MIN(5,ROUND((N$55-N$39)*100,0)))</f>
        <v>-5</v>
      </c>
      <c r="V4" s="59"/>
      <c r="W4" s="60"/>
      <c r="X4" s="60"/>
      <c r="Y4" s="60"/>
      <c r="Z4" s="60"/>
      <c r="AA4" s="60"/>
      <c r="AB4" s="60"/>
      <c r="AC4" s="60"/>
      <c r="AD4" s="61"/>
    </row>
    <row r="5" spans="3:30" x14ac:dyDescent="0.25">
      <c r="C5" s="65"/>
      <c r="D5" s="3" t="s">
        <v>33</v>
      </c>
      <c r="E5" s="3">
        <f>-MAX(-5,MIN(5,ROUND((E$39-E$39)*100,0)))</f>
        <v>0</v>
      </c>
      <c r="F5" s="3">
        <f>-MAX(-5,MIN(5,ROUND((E$47-E$39)*100,0)))</f>
        <v>1</v>
      </c>
      <c r="G5" s="7">
        <f>-MAX(-5,MIN(5,ROUND((E$55-E$39)*100,0)))</f>
        <v>0</v>
      </c>
      <c r="H5" s="3"/>
      <c r="I5" s="65"/>
      <c r="J5" s="3" t="s">
        <v>33</v>
      </c>
      <c r="K5" s="3">
        <f>-MAX(-5,MIN(5,ROUND((J$39-J$39)*100,0)))</f>
        <v>0</v>
      </c>
      <c r="L5" s="3">
        <f>-MAX(-5,MIN(5,ROUND((J$47-J$39)*100,0)))</f>
        <v>2</v>
      </c>
      <c r="M5" s="7">
        <f>-MAX(-5,MIN(5,ROUND((J$55-J$39)*100,0)))</f>
        <v>0</v>
      </c>
      <c r="O5" s="74"/>
      <c r="P5" s="12" t="s">
        <v>33</v>
      </c>
      <c r="Q5" s="12">
        <f>-MAX(-5,MIN(5,ROUND((O$39-O$39)*100,0)))</f>
        <v>0</v>
      </c>
      <c r="R5" s="12">
        <f>-MAX(-5,MIN(5,ROUND((O$47-O$39)*100,0)))</f>
        <v>0</v>
      </c>
      <c r="S5" s="16">
        <f>-MAX(-5,MIN(5,ROUND((O$55-O$39)*100,0)))</f>
        <v>0</v>
      </c>
      <c r="V5" s="59"/>
      <c r="W5" s="60"/>
      <c r="X5" s="60"/>
      <c r="Y5" s="60"/>
      <c r="Z5" s="60"/>
      <c r="AA5" s="60"/>
      <c r="AB5" s="60"/>
      <c r="AC5" s="60"/>
      <c r="AD5" s="61"/>
    </row>
    <row r="6" spans="3:30" x14ac:dyDescent="0.25">
      <c r="C6" s="65"/>
      <c r="D6" s="3" t="s">
        <v>102</v>
      </c>
      <c r="E6" s="3">
        <f>-MAX(-5,MIN(5,ROUND((F$39-F$39)*100,0)))</f>
        <v>0</v>
      </c>
      <c r="F6" s="3">
        <f>-MAX(-5,MIN(5,ROUND((F$47-F$39)*100,0)))</f>
        <v>5</v>
      </c>
      <c r="G6" s="7">
        <f>-MAX(-5,MIN(5,ROUND((F$55-F$39)*100,0)))</f>
        <v>-5</v>
      </c>
      <c r="H6" s="3"/>
      <c r="I6" s="65"/>
      <c r="J6" s="3" t="s">
        <v>102</v>
      </c>
      <c r="K6" s="3">
        <f>-MAX(-5,MIN(5,ROUND((K$39-K$39)*100,0)))</f>
        <v>0</v>
      </c>
      <c r="L6" s="3">
        <f>-MAX(-5,MIN(5,ROUND((K$47-K$39)*100,0)))</f>
        <v>5</v>
      </c>
      <c r="M6" s="7">
        <f>-MAX(-5,MIN(5,ROUND((K$55-K$39)*100,0)))</f>
        <v>-5</v>
      </c>
      <c r="O6" s="74"/>
      <c r="P6" s="12" t="s">
        <v>102</v>
      </c>
      <c r="Q6" s="12">
        <f>-MAX(-5,MIN(5,ROUND((P$39-P$39)*100,0)))</f>
        <v>0</v>
      </c>
      <c r="R6" s="12">
        <f>-MAX(-5,MIN(5,ROUND((P$47-P$39)*100,0)))</f>
        <v>5</v>
      </c>
      <c r="S6" s="16">
        <f>-MAX(-5,MIN(5,ROUND((P$55-P$39)*100,0)))</f>
        <v>-5</v>
      </c>
      <c r="V6" s="59"/>
      <c r="W6" s="60"/>
      <c r="X6" s="60"/>
      <c r="Y6" s="60"/>
      <c r="Z6" s="60"/>
      <c r="AA6" s="60"/>
      <c r="AB6" s="60"/>
      <c r="AC6" s="60"/>
      <c r="AD6" s="61"/>
    </row>
    <row r="7" spans="3:30" ht="15" customHeight="1" x14ac:dyDescent="0.25">
      <c r="C7" s="65"/>
      <c r="D7" s="3" t="s">
        <v>103</v>
      </c>
      <c r="E7" s="3">
        <f>-MAX(-5,MIN(5,ROUND((G$39-G$39)*100,0)))</f>
        <v>0</v>
      </c>
      <c r="F7" s="3">
        <f>-MAX(-5,MIN(5,ROUND((G$47-G$39)*100,0)))</f>
        <v>2</v>
      </c>
      <c r="G7" s="7">
        <f>-MAX(-5,MIN(5,ROUND((G$55-G$39)*100,0)))</f>
        <v>-3</v>
      </c>
      <c r="H7" s="3"/>
      <c r="I7" s="65"/>
      <c r="J7" s="3" t="s">
        <v>103</v>
      </c>
      <c r="K7" s="3">
        <f>-MAX(-5,MIN(5,ROUND((L$39-L$39)*100,0)))</f>
        <v>0</v>
      </c>
      <c r="L7" s="3">
        <f>-MAX(-5,MIN(5,ROUND((L$47-L$39)*100,0)))</f>
        <v>0</v>
      </c>
      <c r="M7" s="7">
        <f>-MAX(-5,MIN(5,ROUND((L$55-L$39)*100,0)))</f>
        <v>-2</v>
      </c>
      <c r="O7" s="74"/>
      <c r="P7" s="12" t="s">
        <v>103</v>
      </c>
      <c r="Q7" s="3">
        <f>-MAX(-5,MIN(5,ROUND((Q$39-Q$39)*100,0)))</f>
        <v>0</v>
      </c>
      <c r="R7" s="3">
        <f>-MAX(-5,MIN(5,ROUND((Q$47-Q$39)*100,0)))</f>
        <v>4</v>
      </c>
      <c r="S7" s="7">
        <f>-MAX(-5,MIN(5,ROUND((Q$55-Q$39)*100,0)))</f>
        <v>-5</v>
      </c>
      <c r="V7" s="59"/>
      <c r="W7" s="60"/>
      <c r="X7" s="60"/>
      <c r="Y7" s="60"/>
      <c r="Z7" s="60"/>
      <c r="AA7" s="60"/>
      <c r="AB7" s="60"/>
      <c r="AC7" s="60"/>
      <c r="AD7" s="61"/>
    </row>
    <row r="8" spans="3:30" ht="15.75" customHeight="1" x14ac:dyDescent="0.25">
      <c r="C8" s="73"/>
      <c r="D8" s="26" t="s">
        <v>104</v>
      </c>
      <c r="E8" s="26">
        <f>-MAX(-5,MIN(5,ROUND((H$39-H$39)*100,0)))</f>
        <v>0</v>
      </c>
      <c r="F8" s="26">
        <f>-MAX(-5,MIN(5,ROUND((H$47-H$39)*100,0)))</f>
        <v>2</v>
      </c>
      <c r="G8" s="31">
        <f>-MAX(-5,MIN(5,ROUND((H$55-H$39)*100,0)))</f>
        <v>-5</v>
      </c>
      <c r="H8" s="3"/>
      <c r="I8" s="73"/>
      <c r="J8" s="26" t="s">
        <v>104</v>
      </c>
      <c r="K8" s="26">
        <f>-MAX(-5,MIN(5,ROUND((M$39-M$39)*100,0)))</f>
        <v>0</v>
      </c>
      <c r="L8" s="26">
        <f>-MAX(-5,MIN(5,ROUND((M$47-M$39)*100,0)))</f>
        <v>2</v>
      </c>
      <c r="M8" s="31">
        <f>-MAX(-5,MIN(5,ROUND((M$55-M$39)*100,0)))</f>
        <v>-5</v>
      </c>
      <c r="O8" s="75"/>
      <c r="P8" s="27" t="s">
        <v>104</v>
      </c>
      <c r="Q8" s="26">
        <f>-MAX(-5,MIN(5,ROUND((R$39-R$39)*100,0)))</f>
        <v>0</v>
      </c>
      <c r="R8" s="26">
        <f>-MAX(-5,MIN(5,ROUND((R$47-R$39)*100,0)))</f>
        <v>2</v>
      </c>
      <c r="S8" s="31">
        <f>-MAX(-5,MIN(5,ROUND((R$55-R$39)*100,0)))</f>
        <v>-5</v>
      </c>
      <c r="V8" s="59"/>
      <c r="W8" s="60"/>
      <c r="X8" s="60"/>
      <c r="Y8" s="60"/>
      <c r="Z8" s="60"/>
      <c r="AA8" s="60"/>
      <c r="AB8" s="60"/>
      <c r="AC8" s="60"/>
      <c r="AD8" s="61"/>
    </row>
    <row r="9" spans="3:30" ht="30" customHeight="1" x14ac:dyDescent="0.25">
      <c r="C9" s="28"/>
      <c r="D9" s="23" t="s">
        <v>101</v>
      </c>
      <c r="E9" s="23" t="s">
        <v>105</v>
      </c>
      <c r="F9" s="32" t="s">
        <v>106</v>
      </c>
      <c r="G9" s="30" t="s">
        <v>107</v>
      </c>
      <c r="H9" s="23"/>
      <c r="I9" s="28"/>
      <c r="J9" s="23" t="s">
        <v>101</v>
      </c>
      <c r="K9" s="23" t="s">
        <v>105</v>
      </c>
      <c r="L9" s="32" t="s">
        <v>106</v>
      </c>
      <c r="M9" s="30" t="s">
        <v>107</v>
      </c>
      <c r="N9" s="6"/>
      <c r="O9" s="24"/>
      <c r="P9" s="25" t="s">
        <v>101</v>
      </c>
      <c r="Q9" s="23" t="s">
        <v>105</v>
      </c>
      <c r="R9" s="32" t="s">
        <v>106</v>
      </c>
      <c r="S9" s="30" t="s">
        <v>107</v>
      </c>
      <c r="V9" s="59"/>
      <c r="W9" s="60"/>
      <c r="X9" s="60"/>
      <c r="Y9" s="60"/>
      <c r="Z9" s="60"/>
      <c r="AA9" s="60"/>
      <c r="AB9" s="60"/>
      <c r="AC9" s="60"/>
      <c r="AD9" s="61"/>
    </row>
    <row r="10" spans="3:30" ht="15" customHeight="1" x14ac:dyDescent="0.25">
      <c r="C10" s="65" t="s">
        <v>68</v>
      </c>
      <c r="D10" s="3" t="s">
        <v>51</v>
      </c>
      <c r="E10" s="3">
        <f>-MAX(-5,MIN(5,ROUND((D$40-D$40)*100,0)))</f>
        <v>0</v>
      </c>
      <c r="F10" s="3">
        <f>-MAX(-5,MIN(5,ROUND((D$48-D$40)*100,0)))</f>
        <v>4</v>
      </c>
      <c r="G10" s="7">
        <f>-MAX(-5,MIN(5,ROUND((D$56-D$40)*100,0)))</f>
        <v>-3</v>
      </c>
      <c r="H10" s="3"/>
      <c r="I10" s="65" t="s">
        <v>68</v>
      </c>
      <c r="J10" s="3" t="s">
        <v>51</v>
      </c>
      <c r="K10" s="3">
        <f>-MAX(-5,MIN(5,ROUND((I$40-I$40)*100,0)))</f>
        <v>0</v>
      </c>
      <c r="L10" s="3">
        <f>-MAX(-5,MIN(5,ROUND((I$48-I$40)*100,0)))</f>
        <v>5</v>
      </c>
      <c r="M10" s="7">
        <f>-MAX(-5,MIN(5,ROUND((I$56-I$40)*100,0)))</f>
        <v>-3</v>
      </c>
      <c r="O10" s="74" t="s">
        <v>68</v>
      </c>
      <c r="P10" s="12" t="s">
        <v>51</v>
      </c>
      <c r="Q10" s="12">
        <f>-MAX(-5,MIN(5,ROUND((N$40-N$40)*100,0)))</f>
        <v>0</v>
      </c>
      <c r="R10" s="12">
        <f>-MAX(-5,MIN(5,ROUND((N$48-N$40)*100,0)))</f>
        <v>3</v>
      </c>
      <c r="S10" s="16">
        <f>-MAX(-5,MIN(5,ROUND((N$56-N$40)*100,0)))</f>
        <v>-3</v>
      </c>
      <c r="V10" s="59"/>
      <c r="W10" s="60"/>
      <c r="X10" s="60"/>
      <c r="Y10" s="60"/>
      <c r="Z10" s="60"/>
      <c r="AA10" s="60"/>
      <c r="AB10" s="60"/>
      <c r="AC10" s="60"/>
      <c r="AD10" s="61"/>
    </row>
    <row r="11" spans="3:30" x14ac:dyDescent="0.25">
      <c r="C11" s="65"/>
      <c r="D11" s="3" t="s">
        <v>33</v>
      </c>
      <c r="E11" s="3">
        <f>-MAX(-5,MIN(5,ROUND((E$40-E$40)*100,0)))</f>
        <v>0</v>
      </c>
      <c r="F11" s="3">
        <f>-MAX(-5,MIN(5,ROUND((E$48-E$40)*100,0)))</f>
        <v>3</v>
      </c>
      <c r="G11" s="7">
        <f>-MAX(-5,MIN(5,ROUND((E$56-E$40)*100,0)))</f>
        <v>0</v>
      </c>
      <c r="H11" s="3"/>
      <c r="I11" s="65"/>
      <c r="J11" s="3" t="s">
        <v>33</v>
      </c>
      <c r="K11" s="3">
        <f>-MAX(-5,MIN(5,ROUND((J$40-J$40)*100,0)))</f>
        <v>0</v>
      </c>
      <c r="L11" s="3">
        <f>-MAX(-5,MIN(5,ROUND((J$48-J$40)*100,0)))</f>
        <v>5</v>
      </c>
      <c r="M11" s="7">
        <f>-MAX(-5,MIN(5,ROUND((J$56-J$40)*100,0)))</f>
        <v>0</v>
      </c>
      <c r="O11" s="74"/>
      <c r="P11" s="12" t="s">
        <v>33</v>
      </c>
      <c r="Q11" s="12">
        <f>-MAX(-5,MIN(5,ROUND((O$40-O$40)*100,0)))</f>
        <v>0</v>
      </c>
      <c r="R11" s="12">
        <f>-MAX(-5,MIN(5,ROUND((O$48-O$40)*100,0)))</f>
        <v>0</v>
      </c>
      <c r="S11" s="16">
        <f>-MAX(-5,MIN(5,ROUND((O$56-O$40)*100,0)))</f>
        <v>0</v>
      </c>
      <c r="V11" s="59"/>
      <c r="W11" s="60"/>
      <c r="X11" s="60"/>
      <c r="Y11" s="60"/>
      <c r="Z11" s="60"/>
      <c r="AA11" s="60"/>
      <c r="AB11" s="60"/>
      <c r="AC11" s="60"/>
      <c r="AD11" s="61"/>
    </row>
    <row r="12" spans="3:30" x14ac:dyDescent="0.25">
      <c r="C12" s="65"/>
      <c r="D12" s="3" t="s">
        <v>102</v>
      </c>
      <c r="E12" s="3">
        <f>-MAX(-5,MIN(5,ROUND((F$40-F$40)*100,0)))</f>
        <v>0</v>
      </c>
      <c r="F12" s="3">
        <f>-MAX(-5,MIN(5,ROUND((F$48-F$40)*100,0)))</f>
        <v>5</v>
      </c>
      <c r="G12" s="7">
        <f>-MAX(-5,MIN(5,ROUND((F$56-F$40)*100,0)))</f>
        <v>-5</v>
      </c>
      <c r="H12" s="3"/>
      <c r="I12" s="65"/>
      <c r="J12" s="3" t="s">
        <v>102</v>
      </c>
      <c r="K12" s="3">
        <f>-MAX(-5,MIN(5,ROUND((K$40-K$40)*100,0)))</f>
        <v>0</v>
      </c>
      <c r="L12" s="3">
        <f>-MAX(-5,MIN(5,ROUND((K$48-K$40)*100,0)))</f>
        <v>5</v>
      </c>
      <c r="M12" s="7">
        <f>-MAX(-5,MIN(5,ROUND((K$56-K$40)*100,0)))</f>
        <v>-5</v>
      </c>
      <c r="O12" s="74"/>
      <c r="P12" s="12" t="s">
        <v>102</v>
      </c>
      <c r="Q12" s="12">
        <f>-MAX(-5,MIN(5,ROUND((P$40-P$40)*100,0)))</f>
        <v>0</v>
      </c>
      <c r="R12" s="12">
        <f>-MAX(-5,MIN(5,ROUND((P$48-P$40)*100,0)))</f>
        <v>5</v>
      </c>
      <c r="S12" s="16">
        <f>-MAX(-5,MIN(5,ROUND((P$56-P$40)*100,0)))</f>
        <v>-5</v>
      </c>
      <c r="V12" s="59"/>
      <c r="W12" s="60"/>
      <c r="X12" s="60"/>
      <c r="Y12" s="60"/>
      <c r="Z12" s="60"/>
      <c r="AA12" s="60"/>
      <c r="AB12" s="60"/>
      <c r="AC12" s="60"/>
      <c r="AD12" s="61"/>
    </row>
    <row r="13" spans="3:30" x14ac:dyDescent="0.25">
      <c r="C13" s="65"/>
      <c r="D13" s="3" t="s">
        <v>103</v>
      </c>
      <c r="E13" s="3">
        <f>-MAX(-5,MIN(5,ROUND((G$40-G$40)*100,0)))</f>
        <v>0</v>
      </c>
      <c r="F13" s="3">
        <f>-MAX(-5,MIN(5,ROUND((G$48-G$40)*100,0)))</f>
        <v>0</v>
      </c>
      <c r="G13" s="7">
        <f>-MAX(-5,MIN(5,ROUND((G$56-G$40)*100,0)))</f>
        <v>0</v>
      </c>
      <c r="H13" s="3"/>
      <c r="I13" s="65"/>
      <c r="J13" s="3" t="s">
        <v>103</v>
      </c>
      <c r="K13" s="3">
        <f>-MAX(-5,MIN(5,ROUND((L$40-L$40)*100,0)))</f>
        <v>0</v>
      </c>
      <c r="L13" s="3">
        <f>-MAX(-5,MIN(5,ROUND((L$48-L$40)*100,0)))</f>
        <v>0</v>
      </c>
      <c r="M13" s="7">
        <f>-MAX(-5,MIN(5,ROUND((L$56-L$40)*100,0)))</f>
        <v>0</v>
      </c>
      <c r="O13" s="74"/>
      <c r="P13" s="12" t="s">
        <v>103</v>
      </c>
      <c r="Q13" s="3">
        <f>-MAX(-5,MIN(5,ROUND((Q$40-Q$40)*100,0)))</f>
        <v>0</v>
      </c>
      <c r="R13" s="3">
        <f>-MAX(-5,MIN(5,ROUND((Q$48-Q$40)*100,0)))</f>
        <v>0</v>
      </c>
      <c r="S13" s="7">
        <f>-MAX(-5,MIN(5,ROUND((Q$56-Q$40)*100,0)))</f>
        <v>0</v>
      </c>
      <c r="V13" s="59"/>
      <c r="W13" s="60"/>
      <c r="X13" s="60"/>
      <c r="Y13" s="60"/>
      <c r="Z13" s="60"/>
      <c r="AA13" s="60"/>
      <c r="AB13" s="60"/>
      <c r="AC13" s="60"/>
      <c r="AD13" s="61"/>
    </row>
    <row r="14" spans="3:30" ht="15.75" customHeight="1" x14ac:dyDescent="0.25">
      <c r="C14" s="73"/>
      <c r="D14" s="26" t="s">
        <v>104</v>
      </c>
      <c r="E14" s="26">
        <f>-MAX(-5,MIN(5,ROUND((H$40-H$40)*100,0)))</f>
        <v>0</v>
      </c>
      <c r="F14" s="26">
        <f>-MAX(-5,MIN(5,ROUND((H$48-H$40)*100,0)))</f>
        <v>0</v>
      </c>
      <c r="G14" s="31">
        <f>-MAX(-5,MIN(5,ROUND((H$56-H$40)*100,0)))</f>
        <v>0</v>
      </c>
      <c r="H14" s="3"/>
      <c r="I14" s="73"/>
      <c r="J14" s="26" t="s">
        <v>104</v>
      </c>
      <c r="K14" s="26">
        <f>-MAX(-5,MIN(5,ROUND((M$40-M$40)*100,0)))</f>
        <v>0</v>
      </c>
      <c r="L14" s="26">
        <f>-MAX(-5,MIN(5,ROUND((M$48-M$40)*100,0)))</f>
        <v>0</v>
      </c>
      <c r="M14" s="31">
        <f>-MAX(-5,MIN(5,ROUND((M$56-M$40)*100,0)))</f>
        <v>0</v>
      </c>
      <c r="O14" s="75"/>
      <c r="P14" s="27" t="s">
        <v>104</v>
      </c>
      <c r="Q14" s="26">
        <f>-MAX(-5,MIN(5,ROUND((R$40-R$40)*100,0)))</f>
        <v>0</v>
      </c>
      <c r="R14" s="26">
        <f>-MAX(-5,MIN(5,ROUND((R$48-R$40)*100,0)))</f>
        <v>0</v>
      </c>
      <c r="S14" s="31">
        <f>-MAX(-5,MIN(5,ROUND((R$56-R$40)*100,0)))</f>
        <v>0</v>
      </c>
      <c r="V14" s="59"/>
      <c r="W14" s="60"/>
      <c r="X14" s="60"/>
      <c r="Y14" s="60"/>
      <c r="Z14" s="60"/>
      <c r="AA14" s="60"/>
      <c r="AB14" s="60"/>
      <c r="AC14" s="60"/>
      <c r="AD14" s="61"/>
    </row>
    <row r="15" spans="3:30" ht="30" customHeight="1" x14ac:dyDescent="0.25">
      <c r="C15" s="28"/>
      <c r="D15" s="23" t="s">
        <v>101</v>
      </c>
      <c r="E15" s="23" t="s">
        <v>105</v>
      </c>
      <c r="F15" s="32" t="s">
        <v>106</v>
      </c>
      <c r="G15" s="30" t="s">
        <v>107</v>
      </c>
      <c r="H15" s="23"/>
      <c r="I15" s="28"/>
      <c r="J15" s="23" t="s">
        <v>101</v>
      </c>
      <c r="K15" s="23" t="s">
        <v>105</v>
      </c>
      <c r="L15" s="32" t="s">
        <v>106</v>
      </c>
      <c r="M15" s="30" t="s">
        <v>107</v>
      </c>
      <c r="N15" s="6"/>
      <c r="O15" s="24"/>
      <c r="P15" s="25" t="s">
        <v>101</v>
      </c>
      <c r="Q15" s="23" t="s">
        <v>105</v>
      </c>
      <c r="R15" s="32" t="s">
        <v>106</v>
      </c>
      <c r="S15" s="30" t="s">
        <v>107</v>
      </c>
      <c r="V15" s="59"/>
      <c r="W15" s="60"/>
      <c r="X15" s="60"/>
      <c r="Y15" s="60"/>
      <c r="Z15" s="60"/>
      <c r="AA15" s="60"/>
      <c r="AB15" s="60"/>
      <c r="AC15" s="60"/>
      <c r="AD15" s="61"/>
    </row>
    <row r="16" spans="3:30" ht="15" customHeight="1" x14ac:dyDescent="0.25">
      <c r="C16" s="65" t="s">
        <v>83</v>
      </c>
      <c r="D16" s="3" t="s">
        <v>51</v>
      </c>
      <c r="E16" s="3">
        <f>-MAX(-5,MIN(5,ROUND((D$41-D$41)*100,0)))</f>
        <v>0</v>
      </c>
      <c r="F16" s="3">
        <f>-MAX(-5,MIN(5,ROUND((D$49-D$41)*100,0)))</f>
        <v>4</v>
      </c>
      <c r="G16" s="7">
        <f>-MAX(-5,MIN(5,ROUND((D$57-D$41)*100,0)))</f>
        <v>-1</v>
      </c>
      <c r="H16" s="3"/>
      <c r="I16" s="65" t="s">
        <v>83</v>
      </c>
      <c r="J16" s="3" t="s">
        <v>51</v>
      </c>
      <c r="K16" s="3">
        <f>-MAX(-5,MIN(5,ROUND((I$41-I$41)*100,0)))</f>
        <v>0</v>
      </c>
      <c r="L16" s="3">
        <f>-MAX(-5,MIN(5,ROUND((I$49-I$41)*100,0)))</f>
        <v>5</v>
      </c>
      <c r="M16" s="7">
        <f>-MAX(-5,MIN(5,ROUND((I$57-I$41)*100,0)))</f>
        <v>-1</v>
      </c>
      <c r="O16" s="74" t="s">
        <v>83</v>
      </c>
      <c r="P16" s="12" t="s">
        <v>51</v>
      </c>
      <c r="Q16" s="12">
        <f>-MAX(-5,MIN(5,ROUND((N$41-N$41)*100,0)))</f>
        <v>0</v>
      </c>
      <c r="R16" s="12">
        <f>-MAX(-5,MIN(5,ROUND((N$49-N$41)*100,0)))</f>
        <v>3</v>
      </c>
      <c r="S16" s="16">
        <f>-MAX(-5,MIN(5,ROUND((N$57-N$41)*100,0)))</f>
        <v>-1</v>
      </c>
      <c r="V16" s="59"/>
      <c r="W16" s="60"/>
      <c r="X16" s="60"/>
      <c r="Y16" s="60"/>
      <c r="Z16" s="60"/>
      <c r="AA16" s="60"/>
      <c r="AB16" s="60"/>
      <c r="AC16" s="60"/>
      <c r="AD16" s="61"/>
    </row>
    <row r="17" spans="3:30" x14ac:dyDescent="0.25">
      <c r="C17" s="65"/>
      <c r="D17" s="3" t="s">
        <v>33</v>
      </c>
      <c r="E17" s="3">
        <f>-MAX(-5,MIN(5,ROUND((E$41-E$41)*100,0)))</f>
        <v>0</v>
      </c>
      <c r="F17" s="3">
        <f>-MAX(-5,MIN(5,ROUND((E$49-E$41)*100,0)))</f>
        <v>5</v>
      </c>
      <c r="G17" s="7">
        <f>-MAX(-5,MIN(5,ROUND((E$57-E$41)*100,0)))</f>
        <v>0</v>
      </c>
      <c r="H17" s="3"/>
      <c r="I17" s="65"/>
      <c r="J17" s="3" t="s">
        <v>33</v>
      </c>
      <c r="K17" s="3">
        <f>-MAX(-5,MIN(5,ROUND((J$41-J$41)*100,0)))</f>
        <v>0</v>
      </c>
      <c r="L17" s="3">
        <f>-MAX(-5,MIN(5,ROUND((J$49-J$41)*100,0)))</f>
        <v>5</v>
      </c>
      <c r="M17" s="7">
        <f>-MAX(-5,MIN(5,ROUND((J$57-J$41)*100,0)))</f>
        <v>-1</v>
      </c>
      <c r="O17" s="74"/>
      <c r="P17" s="12" t="s">
        <v>33</v>
      </c>
      <c r="Q17" s="12">
        <f>-MAX(-5,MIN(5,ROUND((O$41-O$41)*100,0)))</f>
        <v>0</v>
      </c>
      <c r="R17" s="12">
        <f>-MAX(-5,MIN(5,ROUND((O$49-O$41)*100,0)))</f>
        <v>2</v>
      </c>
      <c r="S17" s="16">
        <f>-MAX(-5,MIN(5,ROUND((O$57-O$41)*100,0)))</f>
        <v>0</v>
      </c>
      <c r="V17" s="59"/>
      <c r="W17" s="60"/>
      <c r="X17" s="60"/>
      <c r="Y17" s="60"/>
      <c r="Z17" s="60"/>
      <c r="AA17" s="60"/>
      <c r="AB17" s="60"/>
      <c r="AC17" s="60"/>
      <c r="AD17" s="61"/>
    </row>
    <row r="18" spans="3:30" x14ac:dyDescent="0.25">
      <c r="C18" s="65"/>
      <c r="D18" s="3" t="s">
        <v>102</v>
      </c>
      <c r="E18" s="3">
        <f>-MAX(-5,MIN(5,ROUND((F$41-F$41)*100,0)))</f>
        <v>0</v>
      </c>
      <c r="F18" s="3">
        <f>-MAX(-5,MIN(5,ROUND((F$49-F$41)*100,0)))</f>
        <v>5</v>
      </c>
      <c r="G18" s="7">
        <f>-MAX(-5,MIN(5,ROUND((F$57-F$41)*100,0)))</f>
        <v>-4</v>
      </c>
      <c r="H18" s="3"/>
      <c r="I18" s="65"/>
      <c r="J18" s="3" t="s">
        <v>102</v>
      </c>
      <c r="K18" s="3">
        <f>-MAX(-5,MIN(5,ROUND((K$41-K$41)*100,0)))</f>
        <v>0</v>
      </c>
      <c r="L18" s="3">
        <f>-MAX(-5,MIN(5,ROUND((K$49-K$41)*100,0)))</f>
        <v>5</v>
      </c>
      <c r="M18" s="7">
        <f>-MAX(-5,MIN(5,ROUND((K$57-K$41)*100,0)))</f>
        <v>-4</v>
      </c>
      <c r="O18" s="74"/>
      <c r="P18" s="12" t="s">
        <v>102</v>
      </c>
      <c r="Q18" s="12">
        <f>-MAX(-5,MIN(5,ROUND((P$41-P$41)*100,0)))</f>
        <v>0</v>
      </c>
      <c r="R18" s="12">
        <f>-MAX(-5,MIN(5,ROUND((P$49-P$41)*100,0)))</f>
        <v>5</v>
      </c>
      <c r="S18" s="16">
        <f>-MAX(-5,MIN(5,ROUND((P$57-P$41)*100,0)))</f>
        <v>-3</v>
      </c>
      <c r="V18" s="59"/>
      <c r="W18" s="60"/>
      <c r="X18" s="60"/>
      <c r="Y18" s="60"/>
      <c r="Z18" s="60"/>
      <c r="AA18" s="60"/>
      <c r="AB18" s="60"/>
      <c r="AC18" s="60"/>
      <c r="AD18" s="61"/>
    </row>
    <row r="19" spans="3:30" ht="15" customHeight="1" x14ac:dyDescent="0.25">
      <c r="C19" s="65"/>
      <c r="D19" s="3" t="s">
        <v>103</v>
      </c>
      <c r="E19" s="3">
        <f>-MAX(-5,MIN(5,ROUND((G$41-G$41)*100,0)))</f>
        <v>0</v>
      </c>
      <c r="F19" s="3">
        <f>-MAX(-5,MIN(5,ROUND((G$49-G$41)*100,0)))</f>
        <v>0</v>
      </c>
      <c r="G19" s="7">
        <f>-MAX(-5,MIN(5,ROUND((G$57-G$41)*100,0)))</f>
        <v>0</v>
      </c>
      <c r="H19" s="3"/>
      <c r="I19" s="65"/>
      <c r="J19" s="3" t="s">
        <v>103</v>
      </c>
      <c r="K19" s="3">
        <f>-MAX(-5,MIN(5,ROUND((L$41-L$41)*100,0)))</f>
        <v>0</v>
      </c>
      <c r="L19" s="3">
        <f>-MAX(-5,MIN(5,ROUND((L$49-L$41)*100,0)))</f>
        <v>0</v>
      </c>
      <c r="M19" s="7">
        <f>-MAX(-5,MIN(5,ROUND((L$57-L$41)*100,0)))</f>
        <v>0</v>
      </c>
      <c r="O19" s="74"/>
      <c r="P19" s="12" t="s">
        <v>103</v>
      </c>
      <c r="Q19" s="3">
        <f>-MAX(-5,MIN(5,ROUND((Q$41-Q$41)*100,0)))</f>
        <v>0</v>
      </c>
      <c r="R19" s="3">
        <f>-MAX(-5,MIN(5,ROUND((Q$49-Q$41)*100,0)))</f>
        <v>0</v>
      </c>
      <c r="S19" s="7">
        <f>-MAX(-5,MIN(5,ROUND((Q$57-Q$41)*100,0)))</f>
        <v>0</v>
      </c>
      <c r="V19" s="59"/>
      <c r="W19" s="60"/>
      <c r="X19" s="60"/>
      <c r="Y19" s="60"/>
      <c r="Z19" s="60"/>
      <c r="AA19" s="60"/>
      <c r="AB19" s="60"/>
      <c r="AC19" s="60"/>
      <c r="AD19" s="61"/>
    </row>
    <row r="20" spans="3:30" x14ac:dyDescent="0.25">
      <c r="C20" s="73"/>
      <c r="D20" s="26" t="s">
        <v>104</v>
      </c>
      <c r="E20" s="26">
        <f>-MAX(-5,MIN(5,ROUND((H$41-H$41)*100,0)))</f>
        <v>0</v>
      </c>
      <c r="F20" s="26">
        <f>-MAX(-5,MIN(5,ROUND((H$49-H$41)*100,0)))</f>
        <v>0</v>
      </c>
      <c r="G20" s="31">
        <f>-MAX(-5,MIN(5,ROUND((H$57-H$41)*100,0)))</f>
        <v>0</v>
      </c>
      <c r="H20" s="3"/>
      <c r="I20" s="73"/>
      <c r="J20" s="26" t="s">
        <v>104</v>
      </c>
      <c r="K20" s="26">
        <f>-MAX(-5,MIN(5,ROUND((M$41-M$41)*100,0)))</f>
        <v>0</v>
      </c>
      <c r="L20" s="26">
        <f>-MAX(-5,MIN(5,ROUND((M$49-M$41)*100,0)))</f>
        <v>0</v>
      </c>
      <c r="M20" s="31">
        <f>-MAX(-5,MIN(5,ROUND((M$57-M$41)*100,0)))</f>
        <v>0</v>
      </c>
      <c r="O20" s="75"/>
      <c r="P20" s="27" t="s">
        <v>104</v>
      </c>
      <c r="Q20" s="26">
        <f>-MAX(-5,MIN(5,ROUND((R$41-R$41)*100,0)))</f>
        <v>0</v>
      </c>
      <c r="R20" s="26">
        <f>-MAX(-5,MIN(5,ROUND((R$49-R$41)*100,0)))</f>
        <v>0</v>
      </c>
      <c r="S20" s="31">
        <f>-MAX(-5,MIN(5,ROUND((R$57-R$41)*100,0)))</f>
        <v>0</v>
      </c>
      <c r="V20" s="59"/>
      <c r="W20" s="60"/>
      <c r="X20" s="60"/>
      <c r="Y20" s="60"/>
      <c r="Z20" s="60"/>
      <c r="AA20" s="60"/>
      <c r="AB20" s="60"/>
      <c r="AC20" s="60"/>
      <c r="AD20" s="61"/>
    </row>
    <row r="21" spans="3:30" ht="30" customHeight="1" x14ac:dyDescent="0.25">
      <c r="C21" s="28"/>
      <c r="D21" s="23" t="s">
        <v>101</v>
      </c>
      <c r="E21" s="23" t="s">
        <v>105</v>
      </c>
      <c r="F21" s="32" t="s">
        <v>106</v>
      </c>
      <c r="G21" s="30" t="s">
        <v>107</v>
      </c>
      <c r="H21" s="23"/>
      <c r="I21" s="28"/>
      <c r="J21" s="23" t="s">
        <v>101</v>
      </c>
      <c r="K21" s="23" t="s">
        <v>105</v>
      </c>
      <c r="L21" s="32" t="s">
        <v>106</v>
      </c>
      <c r="M21" s="30" t="s">
        <v>107</v>
      </c>
      <c r="N21" s="6"/>
      <c r="O21" s="24"/>
      <c r="P21" s="25" t="s">
        <v>101</v>
      </c>
      <c r="Q21" s="23" t="s">
        <v>105</v>
      </c>
      <c r="R21" s="32" t="s">
        <v>106</v>
      </c>
      <c r="S21" s="30" t="s">
        <v>107</v>
      </c>
      <c r="V21" s="59"/>
      <c r="W21" s="60"/>
      <c r="X21" s="60"/>
      <c r="Y21" s="60"/>
      <c r="Z21" s="60"/>
      <c r="AA21" s="60"/>
      <c r="AB21" s="60"/>
      <c r="AC21" s="60"/>
      <c r="AD21" s="61"/>
    </row>
    <row r="22" spans="3:30" ht="15" customHeight="1" x14ac:dyDescent="0.25">
      <c r="C22" s="65" t="s">
        <v>73</v>
      </c>
      <c r="D22" s="3" t="s">
        <v>51</v>
      </c>
      <c r="E22" s="3">
        <f>-MAX(-5,MIN(5,ROUND((D$42-D$42)*100,0)))</f>
        <v>0</v>
      </c>
      <c r="F22" s="3">
        <f>-MAX(-5,MIN(5,ROUND((D$50-D$42)*100,0)))</f>
        <v>5</v>
      </c>
      <c r="G22" s="7">
        <f>-MAX(-5,MIN(5,ROUND((D$58-D$42)*100,0)))</f>
        <v>-1</v>
      </c>
      <c r="H22" s="3"/>
      <c r="I22" s="65" t="s">
        <v>73</v>
      </c>
      <c r="J22" s="3" t="s">
        <v>51</v>
      </c>
      <c r="K22" s="3">
        <f>-MAX(-5,MIN(5,ROUND((I$42-I$42)*100,0)))</f>
        <v>0</v>
      </c>
      <c r="L22" s="3">
        <f>-MAX(-5,MIN(5,ROUND((I$50-I$42)*100,0)))</f>
        <v>5</v>
      </c>
      <c r="M22" s="7">
        <f>-MAX(-5,MIN(5,ROUND((I$58-I$42)*100,0)))</f>
        <v>-1</v>
      </c>
      <c r="O22" s="74" t="s">
        <v>73</v>
      </c>
      <c r="P22" s="12" t="s">
        <v>51</v>
      </c>
      <c r="Q22" s="12">
        <f>-MAX(-5,MIN(5,ROUND((N$42-N$42)*100,0)))</f>
        <v>0</v>
      </c>
      <c r="R22" s="12">
        <f>-MAX(-5,MIN(5,ROUND((N$50-N$42)*100,0)))</f>
        <v>5</v>
      </c>
      <c r="S22" s="16">
        <f>-MAX(-5,MIN(5,ROUND((N$58-N$42)*100,0)))</f>
        <v>0</v>
      </c>
      <c r="V22" s="59"/>
      <c r="W22" s="60"/>
      <c r="X22" s="60"/>
      <c r="Y22" s="60"/>
      <c r="Z22" s="60"/>
      <c r="AA22" s="60"/>
      <c r="AB22" s="60"/>
      <c r="AC22" s="60"/>
      <c r="AD22" s="61"/>
    </row>
    <row r="23" spans="3:30" x14ac:dyDescent="0.25">
      <c r="C23" s="65"/>
      <c r="D23" s="3" t="s">
        <v>33</v>
      </c>
      <c r="E23" s="3">
        <f>-MAX(-5,MIN(5,ROUND((E$42-E$42)*100,0)))</f>
        <v>0</v>
      </c>
      <c r="F23" s="3">
        <f>-MAX(-5,MIN(5,ROUND((E$50-E$42)*100,0)))</f>
        <v>5</v>
      </c>
      <c r="G23" s="7">
        <f>-MAX(-5,MIN(5,ROUND((E$58-E$42)*100,0)))</f>
        <v>-2</v>
      </c>
      <c r="H23" s="3"/>
      <c r="I23" s="65"/>
      <c r="J23" s="3" t="s">
        <v>33</v>
      </c>
      <c r="K23" s="3">
        <f>-MAX(-5,MIN(5,ROUND((J$42-J$42)*100,0)))</f>
        <v>0</v>
      </c>
      <c r="L23" s="3">
        <f>-MAX(-5,MIN(5,ROUND((J$50-J$42)*100,0)))</f>
        <v>5</v>
      </c>
      <c r="M23" s="7">
        <f>-MAX(-5,MIN(5,ROUND((J$58-J$42)*100,0)))</f>
        <v>-3</v>
      </c>
      <c r="O23" s="74"/>
      <c r="P23" s="12" t="s">
        <v>33</v>
      </c>
      <c r="Q23" s="12">
        <f>-MAX(-5,MIN(5,ROUND((O$42-O$42)*100,0)))</f>
        <v>0</v>
      </c>
      <c r="R23" s="12">
        <f>-MAX(-5,MIN(5,ROUND((O$50-O$42)*100,0)))</f>
        <v>5</v>
      </c>
      <c r="S23" s="16">
        <f>-MAX(-5,MIN(5,ROUND((O$58-O$42)*100,0)))</f>
        <v>0</v>
      </c>
      <c r="V23" s="59"/>
      <c r="W23" s="60"/>
      <c r="X23" s="60"/>
      <c r="Y23" s="60"/>
      <c r="Z23" s="60"/>
      <c r="AA23" s="60"/>
      <c r="AB23" s="60"/>
      <c r="AC23" s="60"/>
      <c r="AD23" s="61"/>
    </row>
    <row r="24" spans="3:30" x14ac:dyDescent="0.25">
      <c r="C24" s="65"/>
      <c r="D24" s="3" t="s">
        <v>102</v>
      </c>
      <c r="E24" s="3">
        <f>-MAX(-5,MIN(5,ROUND((F$42-F$42)*100,0)))</f>
        <v>0</v>
      </c>
      <c r="F24" s="3">
        <f>-MAX(-5,MIN(5,ROUND((F$50-F$42)*100,0)))</f>
        <v>5</v>
      </c>
      <c r="G24" s="7">
        <f>-MAX(-5,MIN(5,ROUND((F$58-F$42)*100,0)))</f>
        <v>0</v>
      </c>
      <c r="H24" s="3"/>
      <c r="I24" s="65"/>
      <c r="J24" s="3" t="s">
        <v>102</v>
      </c>
      <c r="K24" s="3">
        <f>-MAX(-5,MIN(5,ROUND((K$42-K$42)*100,0)))</f>
        <v>0</v>
      </c>
      <c r="L24" s="3">
        <f>-MAX(-5,MIN(5,ROUND((K$50-K$42)*100,0)))</f>
        <v>5</v>
      </c>
      <c r="M24" s="7">
        <f>-MAX(-5,MIN(5,ROUND((K$58-K$42)*100,0)))</f>
        <v>-1</v>
      </c>
      <c r="O24" s="74"/>
      <c r="P24" s="12" t="s">
        <v>102</v>
      </c>
      <c r="Q24" s="12">
        <f>-MAX(-5,MIN(5,ROUND((P$42-P$42)*100,0)))</f>
        <v>0</v>
      </c>
      <c r="R24" s="12">
        <f>-MAX(-5,MIN(5,ROUND((P$50-P$42)*100,0)))</f>
        <v>5</v>
      </c>
      <c r="S24" s="16">
        <f>-MAX(-5,MIN(5,ROUND((P$58-P$42)*100,0)))</f>
        <v>0</v>
      </c>
      <c r="V24" s="59"/>
      <c r="W24" s="60"/>
      <c r="X24" s="60"/>
      <c r="Y24" s="60"/>
      <c r="Z24" s="60"/>
      <c r="AA24" s="60"/>
      <c r="AB24" s="60"/>
      <c r="AC24" s="60"/>
      <c r="AD24" s="61"/>
    </row>
    <row r="25" spans="3:30" ht="15" customHeight="1" x14ac:dyDescent="0.25">
      <c r="C25" s="65"/>
      <c r="D25" s="3" t="s">
        <v>103</v>
      </c>
      <c r="E25" s="3">
        <f>-MAX(-5,MIN(5,ROUND((G$42-G$42)*100,0)))</f>
        <v>0</v>
      </c>
      <c r="F25" s="3">
        <f>-MAX(-5,MIN(5,ROUND((G$50-G$42)*100,0)))</f>
        <v>0</v>
      </c>
      <c r="G25" s="7">
        <f>-MAX(-5,MIN(5,ROUND((G$58-G$42)*100,0)))</f>
        <v>0</v>
      </c>
      <c r="H25" s="3"/>
      <c r="I25" s="65"/>
      <c r="J25" s="3" t="s">
        <v>103</v>
      </c>
      <c r="K25" s="3">
        <f>-MAX(-5,MIN(5,ROUND((L$42-L$42)*100,0)))</f>
        <v>0</v>
      </c>
      <c r="L25" s="3">
        <f>-MAX(-5,MIN(5,ROUND((L$50-L$42)*100,0)))</f>
        <v>0</v>
      </c>
      <c r="M25" s="7">
        <f>-MAX(-5,MIN(5,ROUND((L$58-L$42)*100,0)))</f>
        <v>0</v>
      </c>
      <c r="O25" s="74"/>
      <c r="P25" s="12" t="s">
        <v>103</v>
      </c>
      <c r="Q25" s="3">
        <f>-MAX(-5,MIN(5,ROUND((Q$42-Q$42)*100,0)))</f>
        <v>0</v>
      </c>
      <c r="R25" s="3">
        <f>-MAX(-5,MIN(5,ROUND((Q$50-Q$42)*100,0)))</f>
        <v>0</v>
      </c>
      <c r="S25" s="7">
        <f>-MAX(-5,MIN(5,ROUND((Q$58-Q$42)*100,0)))</f>
        <v>0</v>
      </c>
      <c r="V25" s="59"/>
      <c r="W25" s="60"/>
      <c r="X25" s="60"/>
      <c r="Y25" s="60"/>
      <c r="Z25" s="60"/>
      <c r="AA25" s="60"/>
      <c r="AB25" s="60"/>
      <c r="AC25" s="60"/>
      <c r="AD25" s="61"/>
    </row>
    <row r="26" spans="3:30" ht="15.75" thickBot="1" x14ac:dyDescent="0.3">
      <c r="C26" s="66"/>
      <c r="D26" s="9" t="s">
        <v>104</v>
      </c>
      <c r="E26" s="9">
        <f>-MAX(-5,MIN(5,ROUND((H$42-H$42)*100,0)))</f>
        <v>0</v>
      </c>
      <c r="F26" s="9">
        <f>-MAX(-5,MIN(5,ROUND((H$50-H$42)*100,0)))</f>
        <v>0</v>
      </c>
      <c r="G26" s="11">
        <f>-MAX(-5,MIN(5,ROUND((H$58-H$42)*100,0)))</f>
        <v>0</v>
      </c>
      <c r="H26" s="3"/>
      <c r="I26" s="66"/>
      <c r="J26" s="9" t="s">
        <v>104</v>
      </c>
      <c r="K26" s="9">
        <f>-MAX(-5,MIN(5,ROUND((M$42-M$42)*100,0)))</f>
        <v>0</v>
      </c>
      <c r="L26" s="9">
        <f>-MAX(-5,MIN(5,ROUND((M$50-M$42)*100,0)))</f>
        <v>0</v>
      </c>
      <c r="M26" s="11">
        <f>-MAX(-5,MIN(5,ROUND((M$58-M$42)*100,0)))</f>
        <v>0</v>
      </c>
      <c r="O26" s="76"/>
      <c r="P26" s="18" t="s">
        <v>104</v>
      </c>
      <c r="Q26" s="9">
        <f>-MAX(-5,MIN(5,ROUND((R$42-R$42)*100,0)))</f>
        <v>0</v>
      </c>
      <c r="R26" s="9">
        <f>-MAX(-5,MIN(5,ROUND((R$50-R$42)*100,0)))</f>
        <v>0</v>
      </c>
      <c r="S26" s="11">
        <f>-MAX(-5,MIN(5,ROUND((R$58-R$42)*100,0)))</f>
        <v>0</v>
      </c>
      <c r="V26" s="62"/>
      <c r="W26" s="63"/>
      <c r="X26" s="63"/>
      <c r="Y26" s="63"/>
      <c r="Z26" s="63"/>
      <c r="AA26" s="63"/>
      <c r="AB26" s="63"/>
      <c r="AC26" s="63"/>
      <c r="AD26" s="64"/>
    </row>
    <row r="28" spans="3:30" ht="15" customHeight="1" x14ac:dyDescent="0.25"/>
    <row r="35" spans="3:39" ht="15.75" thickBot="1" x14ac:dyDescent="0.3"/>
    <row r="36" spans="3:39" ht="15" customHeight="1" thickBot="1" x14ac:dyDescent="0.3">
      <c r="C36" s="119" t="s">
        <v>81</v>
      </c>
      <c r="D36" s="120"/>
      <c r="E36" s="120"/>
      <c r="F36" s="120"/>
      <c r="G36" s="120"/>
      <c r="H36" s="120"/>
      <c r="I36" s="120"/>
      <c r="J36" s="120"/>
      <c r="K36" s="120"/>
      <c r="L36" s="120"/>
      <c r="M36" s="120"/>
      <c r="N36" s="120"/>
      <c r="O36" s="120"/>
      <c r="P36" s="120"/>
      <c r="Q36" s="120"/>
      <c r="R36" s="121"/>
    </row>
    <row r="37" spans="3:39" ht="15" customHeight="1" thickBot="1" x14ac:dyDescent="0.3">
      <c r="C37" s="44" t="s">
        <v>118</v>
      </c>
      <c r="D37" s="122" t="s">
        <v>78</v>
      </c>
      <c r="E37" s="122"/>
      <c r="F37" s="122"/>
      <c r="G37" s="122"/>
      <c r="H37" s="122"/>
      <c r="I37" s="123" t="s">
        <v>79</v>
      </c>
      <c r="J37" s="123"/>
      <c r="K37" s="123"/>
      <c r="L37" s="123"/>
      <c r="M37" s="123"/>
      <c r="N37" s="124" t="s">
        <v>80</v>
      </c>
      <c r="O37" s="124"/>
      <c r="P37" s="124"/>
      <c r="Q37" s="124"/>
      <c r="R37" s="125"/>
      <c r="AB37" s="115" t="s">
        <v>118</v>
      </c>
      <c r="AC37" s="116"/>
      <c r="AD37" s="134" t="s">
        <v>79</v>
      </c>
      <c r="AE37" s="134"/>
      <c r="AF37" s="134"/>
      <c r="AG37" s="134"/>
      <c r="AH37" s="134"/>
      <c r="AI37" s="113" t="s">
        <v>80</v>
      </c>
      <c r="AJ37" s="113"/>
      <c r="AK37" s="113"/>
      <c r="AL37" s="113"/>
      <c r="AM37" s="114"/>
    </row>
    <row r="38" spans="3:39" ht="15.75" thickBot="1" x14ac:dyDescent="0.3">
      <c r="C38" s="44"/>
      <c r="D38" s="45" t="s">
        <v>51</v>
      </c>
      <c r="E38" s="45" t="s">
        <v>33</v>
      </c>
      <c r="F38" s="45" t="s">
        <v>34</v>
      </c>
      <c r="G38" s="45" t="s">
        <v>35</v>
      </c>
      <c r="H38" s="45" t="s">
        <v>36</v>
      </c>
      <c r="I38" s="46" t="s">
        <v>51</v>
      </c>
      <c r="J38" s="46" t="s">
        <v>33</v>
      </c>
      <c r="K38" s="46" t="s">
        <v>34</v>
      </c>
      <c r="L38" s="46" t="s">
        <v>35</v>
      </c>
      <c r="M38" s="46" t="s">
        <v>36</v>
      </c>
      <c r="N38" s="47" t="s">
        <v>51</v>
      </c>
      <c r="O38" s="47" t="s">
        <v>33</v>
      </c>
      <c r="P38" s="47" t="s">
        <v>34</v>
      </c>
      <c r="Q38" s="47" t="s">
        <v>35</v>
      </c>
      <c r="R38" s="48" t="s">
        <v>36</v>
      </c>
      <c r="T38" s="130" t="s">
        <v>118</v>
      </c>
      <c r="U38" s="131"/>
      <c r="V38" s="41" t="s">
        <v>51</v>
      </c>
      <c r="W38" s="41" t="s">
        <v>33</v>
      </c>
      <c r="X38" s="41" t="s">
        <v>34</v>
      </c>
      <c r="Y38" s="41" t="s">
        <v>35</v>
      </c>
      <c r="Z38" s="42" t="s">
        <v>36</v>
      </c>
      <c r="AB38" s="117"/>
      <c r="AC38" s="118"/>
      <c r="AD38" s="38" t="s">
        <v>51</v>
      </c>
      <c r="AE38" s="38" t="s">
        <v>33</v>
      </c>
      <c r="AF38" s="38" t="s">
        <v>34</v>
      </c>
      <c r="AG38" s="38" t="s">
        <v>35</v>
      </c>
      <c r="AH38" s="38" t="s">
        <v>36</v>
      </c>
      <c r="AI38" s="38" t="s">
        <v>51</v>
      </c>
      <c r="AJ38" s="38" t="s">
        <v>33</v>
      </c>
      <c r="AK38" s="38" t="s">
        <v>34</v>
      </c>
      <c r="AL38" s="38" t="s">
        <v>35</v>
      </c>
      <c r="AM38" s="43" t="s">
        <v>36</v>
      </c>
    </row>
    <row r="39" spans="3:39" ht="15.75" x14ac:dyDescent="0.25">
      <c r="C39" s="51" t="s">
        <v>44</v>
      </c>
      <c r="D39" s="52">
        <f>'Run 15'!AK527</f>
        <v>0.46138261296660116</v>
      </c>
      <c r="E39" s="52">
        <f>'Run 15'!AL527</f>
        <v>0.99803536345776034</v>
      </c>
      <c r="F39" s="52">
        <f>'Run 15'!AM527</f>
        <v>0.71556428727352106</v>
      </c>
      <c r="G39" s="52">
        <f>'Run 15'!AN527</f>
        <v>2.1283562540929928E-2</v>
      </c>
      <c r="H39" s="52">
        <f>'Run 15'!AO527</f>
        <v>2.3575638506876228E-2</v>
      </c>
      <c r="I39" s="52">
        <f>'Run 15'!AS527</f>
        <v>0.44363636363636366</v>
      </c>
      <c r="J39" s="52">
        <f>'Run 15'!AT527</f>
        <v>0.99636363636363634</v>
      </c>
      <c r="K39" s="52">
        <f>'Run 15'!AU527</f>
        <v>0.66424242424242419</v>
      </c>
      <c r="L39" s="52">
        <f>'Run 15'!AV527</f>
        <v>1.8181818181818182E-3</v>
      </c>
      <c r="M39" s="52">
        <f>'Run 15'!AW527</f>
        <v>2.6262626262626262E-2</v>
      </c>
      <c r="N39" s="52">
        <f>'Run 15'!BA527</f>
        <v>0.48223824786324787</v>
      </c>
      <c r="O39" s="52">
        <f>'Run 15'!BB527</f>
        <v>1</v>
      </c>
      <c r="P39" s="52">
        <f>'Run 15'!BC527</f>
        <v>0.77587844254510918</v>
      </c>
      <c r="Q39" s="52">
        <f>'Run 15'!BD527</f>
        <v>4.4159544159544158E-2</v>
      </c>
      <c r="R39" s="53">
        <f>'Run 15'!BE527</f>
        <v>2.0417853751187084E-2</v>
      </c>
      <c r="T39" s="128" t="s">
        <v>105</v>
      </c>
      <c r="U39" t="s">
        <v>44</v>
      </c>
      <c r="V39" s="36">
        <v>0.46138261296660116</v>
      </c>
      <c r="W39" s="36">
        <v>0.99803536345776034</v>
      </c>
      <c r="X39" s="36">
        <v>0.71556428727352106</v>
      </c>
      <c r="Y39" s="36">
        <v>2.1283562540929928E-2</v>
      </c>
      <c r="Z39" s="37">
        <v>2.3575638506876228E-2</v>
      </c>
      <c r="AB39" s="132" t="s">
        <v>105</v>
      </c>
      <c r="AC39" t="s">
        <v>44</v>
      </c>
      <c r="AD39" s="36">
        <v>0.44363636363636366</v>
      </c>
      <c r="AE39" s="36">
        <v>0.99636363636363634</v>
      </c>
      <c r="AF39" s="36">
        <v>0.66424242424242419</v>
      </c>
      <c r="AG39" s="36">
        <v>1.8181818181818182E-3</v>
      </c>
      <c r="AH39" s="36">
        <v>2.6262626262626262E-2</v>
      </c>
      <c r="AI39" s="36">
        <v>0.48223824786324787</v>
      </c>
      <c r="AJ39" s="36">
        <v>1</v>
      </c>
      <c r="AK39" s="36">
        <v>0.77587844254510918</v>
      </c>
      <c r="AL39" s="36">
        <v>4.4159544159544158E-2</v>
      </c>
      <c r="AM39" s="37">
        <v>2.0417853751187084E-2</v>
      </c>
    </row>
    <row r="40" spans="3:39" x14ac:dyDescent="0.25">
      <c r="C40" s="44" t="s">
        <v>66</v>
      </c>
      <c r="D40" s="52">
        <f>'Run 15'!AK544</f>
        <v>0.34381139489194501</v>
      </c>
      <c r="E40" s="52">
        <f>'Run 15'!AL544</f>
        <v>0.99189587426326131</v>
      </c>
      <c r="F40" s="52">
        <f>'Run 15'!AM544</f>
        <v>0.34075529360401657</v>
      </c>
      <c r="G40" s="52">
        <f>'Run 15'!AN544</f>
        <v>0</v>
      </c>
      <c r="H40" s="52">
        <f>'Run 15'!AO544</f>
        <v>0</v>
      </c>
      <c r="I40" s="52">
        <f>'Run 15'!AS544</f>
        <v>0.33602272727272725</v>
      </c>
      <c r="J40" s="52">
        <f>'Run 15'!AT544</f>
        <v>0.98499999999999999</v>
      </c>
      <c r="K40" s="52">
        <f>'Run 15'!AU544</f>
        <v>0.31919191919191919</v>
      </c>
      <c r="L40" s="52">
        <f>'Run 15'!AV544</f>
        <v>0</v>
      </c>
      <c r="M40" s="52">
        <f>'Run 15'!AW544</f>
        <v>0</v>
      </c>
      <c r="N40" s="52">
        <f>'Run 15'!BA544</f>
        <v>0.35296474358974361</v>
      </c>
      <c r="O40" s="52">
        <f>'Run 15'!BB544</f>
        <v>1</v>
      </c>
      <c r="P40" s="52">
        <f>'Run 15'!BC544</f>
        <v>0.36609686609686609</v>
      </c>
      <c r="Q40" s="52">
        <f>'Run 15'!BD544</f>
        <v>0</v>
      </c>
      <c r="R40" s="53">
        <f>'Run 15'!BE544</f>
        <v>0</v>
      </c>
      <c r="T40" s="129"/>
      <c r="U40" t="s">
        <v>66</v>
      </c>
      <c r="V40" s="36">
        <v>0.34381139489194501</v>
      </c>
      <c r="W40" s="36">
        <v>0.99189587426326131</v>
      </c>
      <c r="X40" s="36">
        <v>0.34075529360401657</v>
      </c>
      <c r="Y40" s="36">
        <v>0</v>
      </c>
      <c r="Z40" s="37">
        <v>0</v>
      </c>
      <c r="AB40" s="132"/>
      <c r="AC40" t="s">
        <v>66</v>
      </c>
      <c r="AD40" s="36">
        <v>0.33602272727272725</v>
      </c>
      <c r="AE40" s="36">
        <v>0.98499999999999999</v>
      </c>
      <c r="AF40" s="36">
        <v>0.31919191919191919</v>
      </c>
      <c r="AG40" s="36">
        <v>0</v>
      </c>
      <c r="AH40" s="36">
        <v>0</v>
      </c>
      <c r="AI40" s="36">
        <v>0.35296474358974361</v>
      </c>
      <c r="AJ40" s="36">
        <v>1</v>
      </c>
      <c r="AK40" s="36">
        <v>0.36609686609686609</v>
      </c>
      <c r="AL40" s="36">
        <v>0</v>
      </c>
      <c r="AM40" s="37">
        <v>0</v>
      </c>
    </row>
    <row r="41" spans="3:39" x14ac:dyDescent="0.25">
      <c r="C41" s="44" t="s">
        <v>69</v>
      </c>
      <c r="D41" s="52">
        <f>'Run 15'!AK561</f>
        <v>0.32680500982318272</v>
      </c>
      <c r="E41" s="52">
        <f>'Run 15'!AL561</f>
        <v>0.98870333988212178</v>
      </c>
      <c r="F41" s="52">
        <f>'Run 15'!AM561</f>
        <v>0.2831259550316525</v>
      </c>
      <c r="G41" s="52">
        <f>'Run 15'!AN561</f>
        <v>0</v>
      </c>
      <c r="H41" s="52">
        <f>'Run 15'!AO561</f>
        <v>0</v>
      </c>
      <c r="I41" s="52">
        <f>'Run 15'!AS561</f>
        <v>0.31795454545454543</v>
      </c>
      <c r="J41" s="52">
        <f>'Run 15'!AT561</f>
        <v>0.97909090909090912</v>
      </c>
      <c r="K41" s="52">
        <f>'Run 15'!AU561</f>
        <v>0.26020202020202021</v>
      </c>
      <c r="L41" s="52">
        <f>'Run 15'!AV561</f>
        <v>0</v>
      </c>
      <c r="M41" s="52">
        <f>'Run 15'!AW561</f>
        <v>0</v>
      </c>
      <c r="N41" s="52">
        <f>'Run 15'!BA561</f>
        <v>0.3372061965811966</v>
      </c>
      <c r="O41" s="52">
        <f>'Run 15'!BB561</f>
        <v>1</v>
      </c>
      <c r="P41" s="52">
        <f>'Run 15'!BC561</f>
        <v>0.31006647673314341</v>
      </c>
      <c r="Q41" s="52">
        <f>'Run 15'!BD561</f>
        <v>0</v>
      </c>
      <c r="R41" s="53">
        <f>'Run 15'!BE561</f>
        <v>0</v>
      </c>
      <c r="T41" s="129"/>
      <c r="U41" t="s">
        <v>69</v>
      </c>
      <c r="V41" s="36">
        <v>0.32680500982318272</v>
      </c>
      <c r="W41" s="36">
        <v>0.98870333988212178</v>
      </c>
      <c r="X41" s="36">
        <v>0.2831259550316525</v>
      </c>
      <c r="Y41" s="36">
        <v>0</v>
      </c>
      <c r="Z41" s="37">
        <v>0</v>
      </c>
      <c r="AB41" s="132"/>
      <c r="AC41" t="s">
        <v>69</v>
      </c>
      <c r="AD41" s="36">
        <v>0.31795454545454543</v>
      </c>
      <c r="AE41" s="36">
        <v>0.97909090909090912</v>
      </c>
      <c r="AF41" s="36">
        <v>0.26020202020202021</v>
      </c>
      <c r="AG41" s="36">
        <v>0</v>
      </c>
      <c r="AH41" s="36">
        <v>0</v>
      </c>
      <c r="AI41" s="36">
        <v>0.3372061965811966</v>
      </c>
      <c r="AJ41" s="36">
        <v>1</v>
      </c>
      <c r="AK41" s="36">
        <v>0.31006647673314341</v>
      </c>
      <c r="AL41" s="36">
        <v>0</v>
      </c>
      <c r="AM41" s="37">
        <v>0</v>
      </c>
    </row>
    <row r="42" spans="3:39" ht="15.75" thickBot="1" x14ac:dyDescent="0.3">
      <c r="C42" s="50" t="s">
        <v>71</v>
      </c>
      <c r="D42" s="54">
        <f>'Run 15'!AK578</f>
        <v>0.25994597249508838</v>
      </c>
      <c r="E42" s="54">
        <f>'Run 15'!AL578</f>
        <v>0.85019646365422397</v>
      </c>
      <c r="F42" s="54">
        <f>'Run 15'!AM578</f>
        <v>0.16852215673433749</v>
      </c>
      <c r="G42" s="54">
        <f>'Run 15'!AN578</f>
        <v>0</v>
      </c>
      <c r="H42" s="54">
        <f>'Run 15'!AO578</f>
        <v>0</v>
      </c>
      <c r="I42" s="54">
        <f>'Run 15'!AS578</f>
        <v>0.23852272727272728</v>
      </c>
      <c r="J42" s="54">
        <f>'Run 15'!AT578</f>
        <v>0.79136363636363638</v>
      </c>
      <c r="K42" s="54">
        <f>'Run 15'!AU578</f>
        <v>0.14464646464646463</v>
      </c>
      <c r="L42" s="54">
        <f>'Run 15'!AV578</f>
        <v>0</v>
      </c>
      <c r="M42" s="54">
        <f>'Run 15'!AW578</f>
        <v>0</v>
      </c>
      <c r="N42" s="54">
        <f>'Run 15'!BA578</f>
        <v>0.28512286324786323</v>
      </c>
      <c r="O42" s="54">
        <f>'Run 15'!BB578</f>
        <v>0.91933760683760679</v>
      </c>
      <c r="P42" s="54">
        <f>'Run 15'!BC578</f>
        <v>0.19658119658119658</v>
      </c>
      <c r="Q42" s="54">
        <f>'Run 15'!BD578</f>
        <v>0</v>
      </c>
      <c r="R42" s="55">
        <f>'Run 15'!BE578</f>
        <v>0</v>
      </c>
      <c r="T42" s="129"/>
      <c r="U42" t="s">
        <v>71</v>
      </c>
      <c r="V42" s="36">
        <v>0.25994597249508838</v>
      </c>
      <c r="W42" s="36">
        <v>0.85019646365422397</v>
      </c>
      <c r="X42" s="36">
        <v>0.16852215673433749</v>
      </c>
      <c r="Y42" s="36">
        <v>0</v>
      </c>
      <c r="Z42" s="37">
        <v>0</v>
      </c>
      <c r="AB42" s="132"/>
      <c r="AC42" t="s">
        <v>71</v>
      </c>
      <c r="AD42" s="36">
        <v>0.23852272727272728</v>
      </c>
      <c r="AE42" s="36">
        <v>0.79136363636363638</v>
      </c>
      <c r="AF42" s="36">
        <v>0.14464646464646463</v>
      </c>
      <c r="AG42" s="36">
        <v>0</v>
      </c>
      <c r="AH42" s="36">
        <v>0</v>
      </c>
      <c r="AI42" s="36">
        <v>0.28512286324786323</v>
      </c>
      <c r="AJ42" s="36">
        <v>0.91933760683760679</v>
      </c>
      <c r="AK42" s="36">
        <v>0.19658119658119658</v>
      </c>
      <c r="AL42" s="36">
        <v>0</v>
      </c>
      <c r="AM42" s="37">
        <v>0</v>
      </c>
    </row>
    <row r="43" spans="3:39" ht="15.75" thickBot="1" x14ac:dyDescent="0.3">
      <c r="T43" s="126" t="s">
        <v>119</v>
      </c>
      <c r="U43" t="s">
        <v>44</v>
      </c>
      <c r="V43" s="36">
        <v>0.35768664047151277</v>
      </c>
      <c r="W43" s="36">
        <v>0.98968565815324161</v>
      </c>
      <c r="X43" s="36">
        <v>0.38746998471949357</v>
      </c>
      <c r="Y43" s="36">
        <v>0</v>
      </c>
      <c r="Z43" s="37">
        <v>4.5841519318926003E-3</v>
      </c>
      <c r="AB43" s="132" t="s">
        <v>119</v>
      </c>
      <c r="AC43" t="s">
        <v>44</v>
      </c>
      <c r="AD43" s="36">
        <v>0.34647727272727274</v>
      </c>
      <c r="AE43" s="36">
        <v>0.98090909090909095</v>
      </c>
      <c r="AF43" s="36">
        <v>0.3515151515151515</v>
      </c>
      <c r="AG43" s="36">
        <v>0</v>
      </c>
      <c r="AH43" s="36">
        <v>8.4848484848484857E-3</v>
      </c>
      <c r="AI43" s="36">
        <v>0.37086004273504275</v>
      </c>
      <c r="AJ43" s="36">
        <v>1</v>
      </c>
      <c r="AK43" s="36">
        <v>0.42972459639126304</v>
      </c>
      <c r="AL43" s="36">
        <v>0</v>
      </c>
      <c r="AM43" s="37">
        <v>0</v>
      </c>
    </row>
    <row r="44" spans="3:39" ht="15.75" thickBot="1" x14ac:dyDescent="0.3">
      <c r="C44" s="119" t="s">
        <v>82</v>
      </c>
      <c r="D44" s="120"/>
      <c r="E44" s="120"/>
      <c r="F44" s="120"/>
      <c r="G44" s="120"/>
      <c r="H44" s="120"/>
      <c r="I44" s="120"/>
      <c r="J44" s="120"/>
      <c r="K44" s="120"/>
      <c r="L44" s="120"/>
      <c r="M44" s="120"/>
      <c r="N44" s="120"/>
      <c r="O44" s="120"/>
      <c r="P44" s="120"/>
      <c r="Q44" s="120"/>
      <c r="R44" s="121"/>
      <c r="T44" s="126"/>
      <c r="U44" t="s">
        <v>66</v>
      </c>
      <c r="V44" s="36">
        <v>0.30279960707269155</v>
      </c>
      <c r="W44" s="36">
        <v>0.95849705304518662</v>
      </c>
      <c r="X44" s="36">
        <v>0.2246234446627374</v>
      </c>
      <c r="Y44" s="36">
        <v>0</v>
      </c>
      <c r="Z44" s="37">
        <v>0</v>
      </c>
      <c r="AB44" s="132"/>
      <c r="AC44" t="s">
        <v>66</v>
      </c>
      <c r="AD44" s="36">
        <v>0.28625</v>
      </c>
      <c r="AE44" s="36">
        <v>0.92500000000000004</v>
      </c>
      <c r="AF44" s="36">
        <v>0.19555555555555557</v>
      </c>
      <c r="AG44" s="36">
        <v>0</v>
      </c>
      <c r="AH44" s="36">
        <v>0</v>
      </c>
      <c r="AI44" s="36">
        <v>0.32224893162393164</v>
      </c>
      <c r="AJ44" s="36">
        <v>0.99786324786324787</v>
      </c>
      <c r="AK44" s="36">
        <v>0.25878442545109209</v>
      </c>
      <c r="AL44" s="36">
        <v>0</v>
      </c>
      <c r="AM44" s="37">
        <v>0</v>
      </c>
    </row>
    <row r="45" spans="3:39" x14ac:dyDescent="0.25">
      <c r="C45" s="44"/>
      <c r="D45" s="122" t="s">
        <v>78</v>
      </c>
      <c r="E45" s="122"/>
      <c r="F45" s="122"/>
      <c r="G45" s="122"/>
      <c r="H45" s="122"/>
      <c r="I45" s="123" t="s">
        <v>79</v>
      </c>
      <c r="J45" s="123"/>
      <c r="K45" s="123"/>
      <c r="L45" s="123"/>
      <c r="M45" s="123"/>
      <c r="N45" s="124" t="s">
        <v>80</v>
      </c>
      <c r="O45" s="124"/>
      <c r="P45" s="124"/>
      <c r="Q45" s="124"/>
      <c r="R45" s="125"/>
      <c r="T45" s="126"/>
      <c r="U45" t="s">
        <v>69</v>
      </c>
      <c r="V45" s="36">
        <v>0.28554764243614933</v>
      </c>
      <c r="W45" s="36">
        <v>0.92264243614931241</v>
      </c>
      <c r="X45" s="36">
        <v>0.19515389652914211</v>
      </c>
      <c r="Y45" s="36">
        <v>0</v>
      </c>
      <c r="Z45" s="37">
        <v>0</v>
      </c>
      <c r="AB45" s="132"/>
      <c r="AC45" t="s">
        <v>69</v>
      </c>
      <c r="AD45" s="36">
        <v>0.2665909090909091</v>
      </c>
      <c r="AE45" s="36">
        <v>0.87590909090909086</v>
      </c>
      <c r="AF45" s="36">
        <v>0.1692929292929293</v>
      </c>
      <c r="AG45" s="36">
        <v>0</v>
      </c>
      <c r="AH45" s="36">
        <v>0</v>
      </c>
      <c r="AI45" s="36">
        <v>0.30782585470085472</v>
      </c>
      <c r="AJ45" s="36">
        <v>0.97756410256410253</v>
      </c>
      <c r="AK45" s="36">
        <v>0.22554605887939222</v>
      </c>
      <c r="AL45" s="36">
        <v>0</v>
      </c>
      <c r="AM45" s="37">
        <v>0</v>
      </c>
    </row>
    <row r="46" spans="3:39" x14ac:dyDescent="0.25">
      <c r="C46" s="44"/>
      <c r="D46" s="45" t="s">
        <v>51</v>
      </c>
      <c r="E46" s="45" t="s">
        <v>33</v>
      </c>
      <c r="F46" s="45" t="s">
        <v>34</v>
      </c>
      <c r="G46" s="45" t="s">
        <v>35</v>
      </c>
      <c r="H46" s="45" t="s">
        <v>36</v>
      </c>
      <c r="I46" s="46" t="s">
        <v>51</v>
      </c>
      <c r="J46" s="46" t="s">
        <v>33</v>
      </c>
      <c r="K46" s="46" t="s">
        <v>34</v>
      </c>
      <c r="L46" s="46" t="s">
        <v>35</v>
      </c>
      <c r="M46" s="46" t="s">
        <v>36</v>
      </c>
      <c r="N46" s="47" t="s">
        <v>51</v>
      </c>
      <c r="O46" s="47" t="s">
        <v>33</v>
      </c>
      <c r="P46" s="47" t="s">
        <v>34</v>
      </c>
      <c r="Q46" s="47" t="s">
        <v>35</v>
      </c>
      <c r="R46" s="48" t="s">
        <v>36</v>
      </c>
      <c r="T46" s="126"/>
      <c r="U46" t="s">
        <v>71</v>
      </c>
      <c r="V46" s="36">
        <v>0.15913555992141454</v>
      </c>
      <c r="W46" s="36">
        <v>0.57637524557956776</v>
      </c>
      <c r="X46" s="36">
        <v>5.3481772538746995E-2</v>
      </c>
      <c r="Y46" s="36">
        <v>0</v>
      </c>
      <c r="Z46" s="37">
        <v>0</v>
      </c>
      <c r="AB46" s="132"/>
      <c r="AC46" t="s">
        <v>71</v>
      </c>
      <c r="AD46" s="36">
        <v>0.12977272727272726</v>
      </c>
      <c r="AE46" s="36">
        <v>0.46181818181818179</v>
      </c>
      <c r="AF46" s="36">
        <v>5.0909090909090911E-2</v>
      </c>
      <c r="AG46" s="36">
        <v>0</v>
      </c>
      <c r="AH46" s="36">
        <v>0</v>
      </c>
      <c r="AI46" s="36">
        <v>0.1936431623931624</v>
      </c>
      <c r="AJ46" s="36">
        <v>0.71100427350427353</v>
      </c>
      <c r="AK46" s="36">
        <v>5.6505223171889836E-2</v>
      </c>
      <c r="AL46" s="36">
        <v>0</v>
      </c>
      <c r="AM46" s="37">
        <v>0</v>
      </c>
    </row>
    <row r="47" spans="3:39" x14ac:dyDescent="0.25">
      <c r="C47" s="49" t="s">
        <v>44</v>
      </c>
      <c r="D47" s="52">
        <f>'Run 16'!AK527</f>
        <v>0.35768664047151277</v>
      </c>
      <c r="E47" s="52">
        <f>'Run 16'!AL527</f>
        <v>0.98968565815324161</v>
      </c>
      <c r="F47" s="52">
        <f>'Run 16'!AM527</f>
        <v>0.38746998471949357</v>
      </c>
      <c r="G47" s="52">
        <f>'Run 16'!AN527</f>
        <v>0</v>
      </c>
      <c r="H47" s="52">
        <f>'Run 16'!AO527</f>
        <v>4.5841519318926003E-3</v>
      </c>
      <c r="I47" s="52">
        <f>'Run 16'!AS527</f>
        <v>0.34647727272727274</v>
      </c>
      <c r="J47" s="52">
        <f>'Run 16'!AT527</f>
        <v>0.98090909090909095</v>
      </c>
      <c r="K47" s="52">
        <f>'Run 16'!AU527</f>
        <v>0.3515151515151515</v>
      </c>
      <c r="L47" s="52">
        <f>'Run 16'!AV527</f>
        <v>0</v>
      </c>
      <c r="M47" s="52">
        <f>'Run 16'!AW527</f>
        <v>8.4848484848484857E-3</v>
      </c>
      <c r="N47" s="52">
        <f>'Run 16'!BA527</f>
        <v>0.37086004273504275</v>
      </c>
      <c r="O47" s="52">
        <f>'Run 16'!BB527</f>
        <v>1</v>
      </c>
      <c r="P47" s="52">
        <f>'Run 16'!BC527</f>
        <v>0.42972459639126304</v>
      </c>
      <c r="Q47" s="52">
        <f>'Run 16'!BD527</f>
        <v>0</v>
      </c>
      <c r="R47" s="53">
        <f>'Run 16'!BE527</f>
        <v>0</v>
      </c>
      <c r="T47" s="126" t="s">
        <v>120</v>
      </c>
      <c r="U47" t="s">
        <v>44</v>
      </c>
      <c r="V47" s="36">
        <v>0.5289783889980354</v>
      </c>
      <c r="W47" s="36">
        <v>0.99877210216110024</v>
      </c>
      <c r="X47" s="36">
        <v>0.8417376118751364</v>
      </c>
      <c r="Y47" s="36">
        <v>5.304518664047151E-2</v>
      </c>
      <c r="Z47" s="37">
        <v>0.11591355599214145</v>
      </c>
      <c r="AB47" s="132" t="s">
        <v>120</v>
      </c>
      <c r="AC47" t="s">
        <v>44</v>
      </c>
      <c r="AD47" s="36">
        <v>0.52613636363636362</v>
      </c>
      <c r="AE47" s="36">
        <v>0.99772727272727268</v>
      </c>
      <c r="AF47" s="36">
        <v>0.83393939393939398</v>
      </c>
      <c r="AG47" s="36">
        <v>1.7575757575757574E-2</v>
      </c>
      <c r="AH47" s="36">
        <v>0.13818181818181818</v>
      </c>
      <c r="AI47" s="36">
        <v>0.53231837606837606</v>
      </c>
      <c r="AJ47" s="36">
        <v>1</v>
      </c>
      <c r="AK47" s="36">
        <v>0.85090218423551756</v>
      </c>
      <c r="AL47" s="36">
        <v>9.472934472934473E-2</v>
      </c>
      <c r="AM47" s="37">
        <v>8.9743589743589744E-2</v>
      </c>
    </row>
    <row r="48" spans="3:39" x14ac:dyDescent="0.25">
      <c r="C48" s="44" t="s">
        <v>66</v>
      </c>
      <c r="D48" s="52">
        <f>'Run 16'!AK544</f>
        <v>0.30279960707269155</v>
      </c>
      <c r="E48" s="52">
        <f>'Run 16'!AL544</f>
        <v>0.95849705304518662</v>
      </c>
      <c r="F48" s="52">
        <f>'Run 16'!AM544</f>
        <v>0.2246234446627374</v>
      </c>
      <c r="G48" s="52">
        <f>'Run 16'!AN544</f>
        <v>0</v>
      </c>
      <c r="H48" s="52">
        <f>'Run 16'!AO544</f>
        <v>0</v>
      </c>
      <c r="I48" s="52">
        <f>'Run 16'!AS544</f>
        <v>0.28625</v>
      </c>
      <c r="J48" s="52">
        <f>'Run 16'!AT544</f>
        <v>0.92500000000000004</v>
      </c>
      <c r="K48" s="52">
        <f>'Run 16'!AU544</f>
        <v>0.19555555555555557</v>
      </c>
      <c r="L48" s="52">
        <f>'Run 16'!AV544</f>
        <v>0</v>
      </c>
      <c r="M48" s="52">
        <f>'Run 16'!AW544</f>
        <v>0</v>
      </c>
      <c r="N48" s="52">
        <f>'Run 16'!BA544</f>
        <v>0.32224893162393164</v>
      </c>
      <c r="O48" s="52">
        <f>'Run 16'!BB544</f>
        <v>0.99786324786324787</v>
      </c>
      <c r="P48" s="52">
        <f>'Run 16'!BC544</f>
        <v>0.25878442545109209</v>
      </c>
      <c r="Q48" s="52">
        <f>'Run 16'!BD544</f>
        <v>0</v>
      </c>
      <c r="R48" s="53">
        <f>'Run 16'!BE544</f>
        <v>0</v>
      </c>
      <c r="T48" s="126"/>
      <c r="U48" t="s">
        <v>66</v>
      </c>
      <c r="V48" s="36">
        <v>0.37604371316306484</v>
      </c>
      <c r="W48" s="36">
        <v>0.9941060903732809</v>
      </c>
      <c r="X48" s="36">
        <v>0.4533944553590919</v>
      </c>
      <c r="Y48" s="36">
        <v>0</v>
      </c>
      <c r="Z48" s="37">
        <v>0</v>
      </c>
      <c r="AB48" s="132"/>
      <c r="AC48" t="s">
        <v>66</v>
      </c>
      <c r="AD48" s="36">
        <v>0.36738636363636362</v>
      </c>
      <c r="AE48" s="36">
        <v>0.98909090909090913</v>
      </c>
      <c r="AF48" s="36">
        <v>0.42707070707070705</v>
      </c>
      <c r="AG48" s="36">
        <v>0</v>
      </c>
      <c r="AH48" s="36">
        <v>0</v>
      </c>
      <c r="AI48" s="36">
        <v>0.38621794871794873</v>
      </c>
      <c r="AJ48" s="36">
        <v>1</v>
      </c>
      <c r="AK48" s="36">
        <v>0.48433048433048431</v>
      </c>
      <c r="AL48" s="36">
        <v>0</v>
      </c>
      <c r="AM48" s="37">
        <v>0</v>
      </c>
    </row>
    <row r="49" spans="3:39" x14ac:dyDescent="0.25">
      <c r="C49" s="44" t="s">
        <v>69</v>
      </c>
      <c r="D49" s="52">
        <f>'Run 16'!AK561</f>
        <v>0.28554764243614933</v>
      </c>
      <c r="E49" s="52">
        <f>'Run 16'!AL561</f>
        <v>0.92264243614931241</v>
      </c>
      <c r="F49" s="52">
        <f>'Run 16'!AM561</f>
        <v>0.19515389652914211</v>
      </c>
      <c r="G49" s="52">
        <f>'Run 16'!AN561</f>
        <v>0</v>
      </c>
      <c r="H49" s="52">
        <f>'Run 16'!AO561</f>
        <v>0</v>
      </c>
      <c r="I49" s="52">
        <f>'Run 16'!AS561</f>
        <v>0.2665909090909091</v>
      </c>
      <c r="J49" s="52">
        <f>'Run 16'!AT561</f>
        <v>0.87590909090909086</v>
      </c>
      <c r="K49" s="52">
        <f>'Run 16'!AU561</f>
        <v>0.1692929292929293</v>
      </c>
      <c r="L49" s="52">
        <f>'Run 16'!AV561</f>
        <v>0</v>
      </c>
      <c r="M49" s="52">
        <f>'Run 16'!AW561</f>
        <v>0</v>
      </c>
      <c r="N49" s="52">
        <f>'Run 16'!BA561</f>
        <v>0.30782585470085472</v>
      </c>
      <c r="O49" s="52">
        <f>'Run 16'!BB561</f>
        <v>0.97756410256410253</v>
      </c>
      <c r="P49" s="52">
        <f>'Run 16'!BC561</f>
        <v>0.22554605887939222</v>
      </c>
      <c r="Q49" s="52">
        <f>'Run 16'!BD561</f>
        <v>0</v>
      </c>
      <c r="R49" s="53">
        <f>'Run 16'!BE561</f>
        <v>0</v>
      </c>
      <c r="T49" s="126"/>
      <c r="U49" t="s">
        <v>69</v>
      </c>
      <c r="V49" s="36">
        <v>0.33761051080550097</v>
      </c>
      <c r="W49" s="36">
        <v>0.99165029469548138</v>
      </c>
      <c r="X49" s="36">
        <v>0.3189259986902423</v>
      </c>
      <c r="Y49" s="36">
        <v>0</v>
      </c>
      <c r="Z49" s="37">
        <v>0</v>
      </c>
      <c r="AB49" s="132"/>
      <c r="AC49" t="s">
        <v>69</v>
      </c>
      <c r="AD49" s="36">
        <v>0.3315909090909091</v>
      </c>
      <c r="AE49" s="36">
        <v>0.9845454545454545</v>
      </c>
      <c r="AF49" s="36">
        <v>0.30383838383838385</v>
      </c>
      <c r="AG49" s="36">
        <v>0</v>
      </c>
      <c r="AH49" s="36">
        <v>0</v>
      </c>
      <c r="AI49" s="36">
        <v>0.34468482905982906</v>
      </c>
      <c r="AJ49" s="36">
        <v>1</v>
      </c>
      <c r="AK49" s="36">
        <v>0.33665716999050332</v>
      </c>
      <c r="AL49" s="36">
        <v>0</v>
      </c>
      <c r="AM49" s="37">
        <v>0</v>
      </c>
    </row>
    <row r="50" spans="3:39" ht="15.75" thickBot="1" x14ac:dyDescent="0.3">
      <c r="C50" s="50" t="s">
        <v>71</v>
      </c>
      <c r="D50" s="54">
        <f>'Run 16'!AK578</f>
        <v>0.15913555992141454</v>
      </c>
      <c r="E50" s="54">
        <f>'Run 16'!AL578</f>
        <v>0.57637524557956776</v>
      </c>
      <c r="F50" s="54">
        <f>'Run 16'!AM578</f>
        <v>5.3481772538746995E-2</v>
      </c>
      <c r="G50" s="54">
        <f>'Run 16'!AN578</f>
        <v>0</v>
      </c>
      <c r="H50" s="54">
        <f>'Run 16'!AO578</f>
        <v>0</v>
      </c>
      <c r="I50" s="54">
        <f>'Run 16'!AS578</f>
        <v>0.12977272727272726</v>
      </c>
      <c r="J50" s="54">
        <f>'Run 16'!AT578</f>
        <v>0.46181818181818179</v>
      </c>
      <c r="K50" s="54">
        <f>'Run 16'!AU578</f>
        <v>5.0909090909090911E-2</v>
      </c>
      <c r="L50" s="54">
        <f>'Run 16'!AV578</f>
        <v>0</v>
      </c>
      <c r="M50" s="54">
        <f>'Run 16'!AW578</f>
        <v>0</v>
      </c>
      <c r="N50" s="54">
        <f>'Run 16'!BA578</f>
        <v>0.1936431623931624</v>
      </c>
      <c r="O50" s="54">
        <f>'Run 16'!BB578</f>
        <v>0.71100427350427353</v>
      </c>
      <c r="P50" s="54">
        <f>'Run 16'!BC578</f>
        <v>5.6505223171889836E-2</v>
      </c>
      <c r="Q50" s="54">
        <f>'Run 16'!BD578</f>
        <v>0</v>
      </c>
      <c r="R50" s="55">
        <f>'Run 16'!BE578</f>
        <v>0</v>
      </c>
      <c r="T50" s="127"/>
      <c r="U50" s="38" t="s">
        <v>71</v>
      </c>
      <c r="V50" s="39">
        <v>0.26516453831041259</v>
      </c>
      <c r="W50" s="39">
        <v>0.86591355599214148</v>
      </c>
      <c r="X50" s="39">
        <v>0.17310630866623009</v>
      </c>
      <c r="Y50" s="39">
        <v>0</v>
      </c>
      <c r="Z50" s="40">
        <v>0</v>
      </c>
      <c r="AB50" s="133"/>
      <c r="AC50" s="38" t="s">
        <v>71</v>
      </c>
      <c r="AD50" s="39">
        <v>0.24659090909090908</v>
      </c>
      <c r="AE50" s="39">
        <v>0.8163636363636364</v>
      </c>
      <c r="AF50" s="39">
        <v>0.15111111111111111</v>
      </c>
      <c r="AG50" s="39">
        <v>0</v>
      </c>
      <c r="AH50" s="39">
        <v>0</v>
      </c>
      <c r="AI50" s="39">
        <v>0.28699252136752135</v>
      </c>
      <c r="AJ50" s="39">
        <v>0.92414529914529919</v>
      </c>
      <c r="AK50" s="39">
        <v>0.19895536562203228</v>
      </c>
      <c r="AL50" s="39">
        <v>0</v>
      </c>
      <c r="AM50" s="40">
        <v>0</v>
      </c>
    </row>
    <row r="51" spans="3:39" ht="15.75" thickBot="1" x14ac:dyDescent="0.3">
      <c r="T51" t="s">
        <v>121</v>
      </c>
      <c r="AB51" t="s">
        <v>122</v>
      </c>
    </row>
    <row r="52" spans="3:39" ht="15.75" thickBot="1" x14ac:dyDescent="0.3">
      <c r="C52" s="119" t="s">
        <v>108</v>
      </c>
      <c r="D52" s="120"/>
      <c r="E52" s="120"/>
      <c r="F52" s="120"/>
      <c r="G52" s="120"/>
      <c r="H52" s="120"/>
      <c r="I52" s="120"/>
      <c r="J52" s="120"/>
      <c r="K52" s="120"/>
      <c r="L52" s="120"/>
      <c r="M52" s="120"/>
      <c r="N52" s="120"/>
      <c r="O52" s="120"/>
      <c r="P52" s="120"/>
      <c r="Q52" s="120"/>
      <c r="R52" s="121"/>
    </row>
    <row r="53" spans="3:39" x14ac:dyDescent="0.25">
      <c r="C53" s="44"/>
      <c r="D53" s="122" t="s">
        <v>78</v>
      </c>
      <c r="E53" s="122"/>
      <c r="F53" s="122"/>
      <c r="G53" s="122"/>
      <c r="H53" s="122"/>
      <c r="I53" s="123" t="s">
        <v>79</v>
      </c>
      <c r="J53" s="123"/>
      <c r="K53" s="123"/>
      <c r="L53" s="123"/>
      <c r="M53" s="123"/>
      <c r="N53" s="124" t="s">
        <v>80</v>
      </c>
      <c r="O53" s="124"/>
      <c r="P53" s="124"/>
      <c r="Q53" s="124"/>
      <c r="R53" s="125"/>
    </row>
    <row r="54" spans="3:39" x14ac:dyDescent="0.25">
      <c r="C54" s="44"/>
      <c r="D54" s="45" t="s">
        <v>51</v>
      </c>
      <c r="E54" s="45" t="s">
        <v>33</v>
      </c>
      <c r="F54" s="45" t="s">
        <v>34</v>
      </c>
      <c r="G54" s="45" t="s">
        <v>35</v>
      </c>
      <c r="H54" s="45" t="s">
        <v>36</v>
      </c>
      <c r="I54" s="46" t="s">
        <v>51</v>
      </c>
      <c r="J54" s="46" t="s">
        <v>33</v>
      </c>
      <c r="K54" s="46" t="s">
        <v>34</v>
      </c>
      <c r="L54" s="46" t="s">
        <v>35</v>
      </c>
      <c r="M54" s="46" t="s">
        <v>36</v>
      </c>
      <c r="N54" s="47" t="s">
        <v>51</v>
      </c>
      <c r="O54" s="47" t="s">
        <v>33</v>
      </c>
      <c r="P54" s="47" t="s">
        <v>34</v>
      </c>
      <c r="Q54" s="47" t="s">
        <v>35</v>
      </c>
      <c r="R54" s="48" t="s">
        <v>36</v>
      </c>
    </row>
    <row r="55" spans="3:39" x14ac:dyDescent="0.25">
      <c r="C55" s="49" t="s">
        <v>44</v>
      </c>
      <c r="D55" s="52">
        <f>'Run 17'!AK527</f>
        <v>0.5289783889980354</v>
      </c>
      <c r="E55" s="52">
        <f>'Run 17'!AL527</f>
        <v>0.99877210216110024</v>
      </c>
      <c r="F55" s="52">
        <f>'Run 17'!AM527</f>
        <v>0.8417376118751364</v>
      </c>
      <c r="G55" s="52">
        <f>'Run 17'!AN527</f>
        <v>5.304518664047151E-2</v>
      </c>
      <c r="H55" s="52">
        <f>'Run 17'!AO527</f>
        <v>0.11591355599214145</v>
      </c>
      <c r="I55" s="52">
        <f>'Run 17'!AS527</f>
        <v>0.52613636363636362</v>
      </c>
      <c r="J55" s="52">
        <f>'Run 17'!AT527</f>
        <v>0.99772727272727268</v>
      </c>
      <c r="K55" s="52">
        <f>'Run 17'!AU527</f>
        <v>0.83393939393939398</v>
      </c>
      <c r="L55" s="52">
        <f>'Run 17'!AV527</f>
        <v>1.7575757575757574E-2</v>
      </c>
      <c r="M55" s="52">
        <f>'Run 17'!AW527</f>
        <v>0.13818181818181818</v>
      </c>
      <c r="N55" s="52">
        <f>'Run 17'!BA527</f>
        <v>0.53231837606837606</v>
      </c>
      <c r="O55" s="52">
        <f>'Run 17'!BB527</f>
        <v>1</v>
      </c>
      <c r="P55" s="52">
        <f>'Run 17'!BC527</f>
        <v>0.85090218423551756</v>
      </c>
      <c r="Q55" s="52">
        <f>'Run 17'!BD527</f>
        <v>9.472934472934473E-2</v>
      </c>
      <c r="R55" s="53">
        <f>'Run 17'!BE527</f>
        <v>8.9743589743589744E-2</v>
      </c>
      <c r="V55" s="2"/>
      <c r="W55" s="2"/>
      <c r="X55" s="2"/>
      <c r="Y55" s="2"/>
      <c r="Z55" s="2"/>
    </row>
    <row r="56" spans="3:39" x14ac:dyDescent="0.25">
      <c r="C56" s="44" t="s">
        <v>66</v>
      </c>
      <c r="D56" s="52">
        <f>'Run 17'!AK544</f>
        <v>0.37604371316306484</v>
      </c>
      <c r="E56" s="52">
        <f>'Run 17'!AL544</f>
        <v>0.9941060903732809</v>
      </c>
      <c r="F56" s="52">
        <f>'Run 17'!AM544</f>
        <v>0.4533944553590919</v>
      </c>
      <c r="G56" s="52">
        <f>'Run 17'!AN544</f>
        <v>0</v>
      </c>
      <c r="H56" s="52">
        <f>'Run 17'!AO544</f>
        <v>0</v>
      </c>
      <c r="I56" s="52">
        <f>'Run 17'!AS544</f>
        <v>0.36738636363636362</v>
      </c>
      <c r="J56" s="52">
        <f>'Run 17'!AT544</f>
        <v>0.98909090909090913</v>
      </c>
      <c r="K56" s="52">
        <f>'Run 17'!AU544</f>
        <v>0.42707070707070705</v>
      </c>
      <c r="L56" s="52">
        <f>'Run 17'!AV544</f>
        <v>0</v>
      </c>
      <c r="M56" s="52">
        <f>'Run 17'!AW544</f>
        <v>0</v>
      </c>
      <c r="N56" s="52">
        <f>'Run 17'!BA544</f>
        <v>0.38621794871794873</v>
      </c>
      <c r="O56" s="52">
        <f>'Run 17'!BB544</f>
        <v>1</v>
      </c>
      <c r="P56" s="52">
        <f>'Run 17'!BC544</f>
        <v>0.48433048433048431</v>
      </c>
      <c r="Q56" s="52">
        <f>'Run 17'!BD544</f>
        <v>0</v>
      </c>
      <c r="R56" s="53">
        <f>'Run 17'!BE544</f>
        <v>0</v>
      </c>
      <c r="V56" s="2"/>
      <c r="W56" s="2"/>
      <c r="X56" s="2"/>
      <c r="Y56" s="2"/>
      <c r="Z56" s="2"/>
    </row>
    <row r="57" spans="3:39" x14ac:dyDescent="0.25">
      <c r="C57" s="44" t="s">
        <v>69</v>
      </c>
      <c r="D57" s="52">
        <f>'Run 17'!AK561</f>
        <v>0.33761051080550097</v>
      </c>
      <c r="E57" s="52">
        <f>'Run 17'!AL561</f>
        <v>0.99165029469548138</v>
      </c>
      <c r="F57" s="52">
        <f>'Run 17'!AM561</f>
        <v>0.3189259986902423</v>
      </c>
      <c r="G57" s="52">
        <f>'Run 17'!AN561</f>
        <v>0</v>
      </c>
      <c r="H57" s="52">
        <f>'Run 17'!AO561</f>
        <v>0</v>
      </c>
      <c r="I57" s="52">
        <f>'Run 17'!AS561</f>
        <v>0.3315909090909091</v>
      </c>
      <c r="J57" s="52">
        <f>'Run 17'!AT561</f>
        <v>0.9845454545454545</v>
      </c>
      <c r="K57" s="52">
        <f>'Run 17'!AU561</f>
        <v>0.30383838383838385</v>
      </c>
      <c r="L57" s="52">
        <f>'Run 17'!AV561</f>
        <v>0</v>
      </c>
      <c r="M57" s="52">
        <f>'Run 17'!AW561</f>
        <v>0</v>
      </c>
      <c r="N57" s="52">
        <f>'Run 17'!BA561</f>
        <v>0.34468482905982906</v>
      </c>
      <c r="O57" s="52">
        <f>'Run 17'!BB561</f>
        <v>1</v>
      </c>
      <c r="P57" s="52">
        <f>'Run 17'!BC561</f>
        <v>0.33665716999050332</v>
      </c>
      <c r="Q57" s="52">
        <f>'Run 17'!BD561</f>
        <v>0</v>
      </c>
      <c r="R57" s="53">
        <f>'Run 17'!BE561</f>
        <v>0</v>
      </c>
      <c r="V57" s="2"/>
      <c r="W57" s="2"/>
      <c r="X57" s="2"/>
      <c r="Y57" s="2"/>
      <c r="Z57" s="2"/>
    </row>
    <row r="58" spans="3:39" ht="15.75" thickBot="1" x14ac:dyDescent="0.3">
      <c r="C58" s="50" t="s">
        <v>71</v>
      </c>
      <c r="D58" s="54">
        <f>'Run 17'!AK578</f>
        <v>0.26516453831041259</v>
      </c>
      <c r="E58" s="54">
        <f>'Run 17'!AL578</f>
        <v>0.86591355599214148</v>
      </c>
      <c r="F58" s="54">
        <f>'Run 17'!AM578</f>
        <v>0.17310630866623009</v>
      </c>
      <c r="G58" s="54">
        <f>'Run 17'!AN578</f>
        <v>0</v>
      </c>
      <c r="H58" s="54">
        <f>'Run 17'!AO578</f>
        <v>0</v>
      </c>
      <c r="I58" s="54">
        <f>'Run 17'!AS578</f>
        <v>0.24659090909090908</v>
      </c>
      <c r="J58" s="54">
        <f>'Run 17'!AT578</f>
        <v>0.8163636363636364</v>
      </c>
      <c r="K58" s="54">
        <f>'Run 17'!AU578</f>
        <v>0.15111111111111111</v>
      </c>
      <c r="L58" s="54">
        <f>'Run 17'!AV578</f>
        <v>0</v>
      </c>
      <c r="M58" s="54">
        <f>'Run 17'!AW578</f>
        <v>0</v>
      </c>
      <c r="N58" s="54">
        <f>'Run 17'!BA578</f>
        <v>0.28699252136752135</v>
      </c>
      <c r="O58" s="54">
        <f>'Run 17'!BB578</f>
        <v>0.92414529914529919</v>
      </c>
      <c r="P58" s="54">
        <f>'Run 17'!BC578</f>
        <v>0.19895536562203228</v>
      </c>
      <c r="Q58" s="54">
        <f>'Run 17'!BD578</f>
        <v>0</v>
      </c>
      <c r="R58" s="55">
        <f>'Run 17'!BE578</f>
        <v>0</v>
      </c>
      <c r="V58" s="2"/>
      <c r="W58" s="2"/>
      <c r="X58" s="2"/>
      <c r="Y58" s="2"/>
      <c r="Z58" s="2"/>
    </row>
    <row r="62" spans="3:39" ht="15.75" thickBot="1" x14ac:dyDescent="0.3"/>
    <row r="63" spans="3:39" ht="15.75" thickBot="1" x14ac:dyDescent="0.3">
      <c r="C63" s="110" t="s">
        <v>44</v>
      </c>
      <c r="D63" s="111"/>
      <c r="E63" s="111"/>
      <c r="F63" s="111"/>
      <c r="G63" s="111"/>
      <c r="H63" s="111"/>
      <c r="I63" s="111"/>
      <c r="J63" s="111"/>
      <c r="K63" s="111"/>
      <c r="L63" s="111"/>
      <c r="M63" s="111"/>
      <c r="N63" s="111"/>
      <c r="O63" s="111"/>
      <c r="P63" s="111"/>
      <c r="Q63" s="111"/>
      <c r="R63" s="111"/>
      <c r="S63" s="111"/>
      <c r="T63" s="111"/>
      <c r="U63" s="112"/>
    </row>
    <row r="64" spans="3:39" ht="15.75" thickBot="1" x14ac:dyDescent="0.3">
      <c r="C64" s="104" t="s">
        <v>78</v>
      </c>
      <c r="D64" s="105"/>
      <c r="E64" s="105"/>
      <c r="F64" s="105"/>
      <c r="G64" s="105"/>
      <c r="H64" s="105"/>
      <c r="I64" s="105"/>
      <c r="J64" s="105"/>
      <c r="K64" s="105"/>
      <c r="L64" s="105"/>
      <c r="M64" s="105"/>
      <c r="N64" s="105"/>
      <c r="O64" s="105"/>
      <c r="P64" s="105"/>
      <c r="Q64" s="105"/>
      <c r="R64" s="105"/>
      <c r="S64" s="105"/>
      <c r="T64" s="105"/>
      <c r="U64" s="106"/>
    </row>
    <row r="65" spans="3:21" ht="15.75" thickBot="1" x14ac:dyDescent="0.3">
      <c r="C65" s="98" t="s">
        <v>51</v>
      </c>
      <c r="D65" s="99"/>
      <c r="E65" s="100"/>
      <c r="F65" s="3"/>
      <c r="G65" s="98" t="s">
        <v>33</v>
      </c>
      <c r="H65" s="99"/>
      <c r="I65" s="100"/>
      <c r="J65" s="3"/>
      <c r="K65" s="98" t="s">
        <v>34</v>
      </c>
      <c r="L65" s="99"/>
      <c r="M65" s="100"/>
      <c r="N65" s="3"/>
      <c r="O65" s="98" t="s">
        <v>35</v>
      </c>
      <c r="P65" s="99"/>
      <c r="Q65" s="100"/>
      <c r="R65" s="3"/>
      <c r="S65" s="98" t="s">
        <v>36</v>
      </c>
      <c r="T65" s="99"/>
      <c r="U65" s="100"/>
    </row>
    <row r="66" spans="3:21" x14ac:dyDescent="0.25">
      <c r="C66" s="4" t="s">
        <v>84</v>
      </c>
      <c r="D66" s="3" t="s">
        <v>85</v>
      </c>
      <c r="E66" s="3" t="s">
        <v>86</v>
      </c>
      <c r="F66" s="3"/>
      <c r="G66" s="3" t="s">
        <v>84</v>
      </c>
      <c r="H66" s="3" t="s">
        <v>85</v>
      </c>
      <c r="I66" s="3" t="s">
        <v>86</v>
      </c>
      <c r="J66" s="3"/>
      <c r="K66" s="3" t="s">
        <v>84</v>
      </c>
      <c r="L66" s="3" t="s">
        <v>85</v>
      </c>
      <c r="M66" s="3" t="s">
        <v>86</v>
      </c>
      <c r="N66" s="3"/>
      <c r="O66" s="3" t="s">
        <v>84</v>
      </c>
      <c r="P66" s="3" t="s">
        <v>85</v>
      </c>
      <c r="Q66" s="3" t="s">
        <v>86</v>
      </c>
      <c r="R66" s="3"/>
      <c r="S66" s="3" t="s">
        <v>84</v>
      </c>
      <c r="T66" s="3" t="s">
        <v>85</v>
      </c>
      <c r="U66" s="5" t="s">
        <v>86</v>
      </c>
    </row>
    <row r="67" spans="3:21" ht="45" x14ac:dyDescent="0.25">
      <c r="C67" s="8" t="str">
        <f t="shared" ref="C67:C77" si="0">_xlfn.TEXTJOIN(", ",TRUE,IF($E$4=D67,$E$3&amp;" ("&amp;TEXT($D$39,"0%")&amp;")",""),IF($F$4=D67,$F$3,""),IF($G$4=D67,$G$3,""))</f>
        <v>+30% Outflow</v>
      </c>
      <c r="D67" s="3">
        <v>5</v>
      </c>
      <c r="E67" s="6" t="s">
        <v>87</v>
      </c>
      <c r="F67" s="3"/>
      <c r="G67" s="6" t="str">
        <f t="shared" ref="G67:G77" si="1">_xlfn.TEXTJOIN(", ",TRUE,IF($E$5=H67,$E$3&amp;" ("&amp;TEXT($E$39,"0%")&amp;")",""),IF($F$5=H67,$F$3,""),IF($G$5=H67,$G$3,""))</f>
        <v/>
      </c>
      <c r="H67" s="3">
        <v>5</v>
      </c>
      <c r="I67" s="6" t="s">
        <v>87</v>
      </c>
      <c r="J67" s="3"/>
      <c r="K67" s="6" t="str">
        <f t="shared" ref="K67:K77" si="2">_xlfn.TEXTJOIN(", ",TRUE,IF($E$6=L67,$E$3&amp;" ("&amp;TEXT($F$39,"0%")&amp;")",""),IF($F$6=L67,$F$3,""),IF($G$6=L67,$G$3,""))</f>
        <v>+30% Outflow</v>
      </c>
      <c r="L67" s="3">
        <v>5</v>
      </c>
      <c r="M67" s="6" t="s">
        <v>87</v>
      </c>
      <c r="N67" s="3"/>
      <c r="O67" s="6" t="str">
        <f t="shared" ref="O67:O77" si="3">_xlfn.TEXTJOIN(", ",TRUE,IF($E$7=P67,$E$3&amp;" ("&amp;TEXT($G$39,"0%")&amp;")",""),IF($F$7=P67,$F$3,""),IF($G$7=P67,$G$3,""))</f>
        <v/>
      </c>
      <c r="P67" s="3">
        <v>5</v>
      </c>
      <c r="Q67" s="6" t="s">
        <v>87</v>
      </c>
      <c r="R67" s="3"/>
      <c r="S67" s="6" t="str">
        <f t="shared" ref="S67:S77" si="4">_xlfn.TEXTJOIN(", ",TRUE,IF($E$8=T67,$E$3&amp;" ("&amp;TEXT($H$39,"0%")&amp;")",""),IF($F$8=T67,$F$3,""),IF($G$8=T67,$G$3,""))</f>
        <v/>
      </c>
      <c r="T67" s="3">
        <v>5</v>
      </c>
      <c r="U67" s="7" t="s">
        <v>87</v>
      </c>
    </row>
    <row r="68" spans="3:21" x14ac:dyDescent="0.25">
      <c r="C68" s="8" t="str">
        <f t="shared" si="0"/>
        <v/>
      </c>
      <c r="D68" s="3">
        <v>4</v>
      </c>
      <c r="E68" s="6" t="s">
        <v>88</v>
      </c>
      <c r="F68" s="3"/>
      <c r="G68" s="6" t="str">
        <f t="shared" si="1"/>
        <v/>
      </c>
      <c r="H68" s="3">
        <v>4</v>
      </c>
      <c r="I68" s="6" t="s">
        <v>88</v>
      </c>
      <c r="J68" s="3"/>
      <c r="K68" s="6" t="str">
        <f t="shared" si="2"/>
        <v/>
      </c>
      <c r="L68" s="3">
        <v>4</v>
      </c>
      <c r="M68" s="6" t="s">
        <v>88</v>
      </c>
      <c r="N68" s="3"/>
      <c r="O68" s="6" t="str">
        <f t="shared" si="3"/>
        <v/>
      </c>
      <c r="P68" s="3">
        <v>4</v>
      </c>
      <c r="Q68" s="6" t="s">
        <v>88</v>
      </c>
      <c r="R68" s="3"/>
      <c r="S68" s="6" t="str">
        <f t="shared" si="4"/>
        <v/>
      </c>
      <c r="T68" s="3">
        <v>4</v>
      </c>
      <c r="U68" s="7" t="s">
        <v>88</v>
      </c>
    </row>
    <row r="69" spans="3:21" x14ac:dyDescent="0.25">
      <c r="C69" s="8" t="str">
        <f t="shared" si="0"/>
        <v/>
      </c>
      <c r="D69" s="3">
        <v>3</v>
      </c>
      <c r="E69" s="6" t="s">
        <v>89</v>
      </c>
      <c r="F69" s="3"/>
      <c r="G69" s="6" t="str">
        <f t="shared" si="1"/>
        <v/>
      </c>
      <c r="H69" s="3">
        <v>3</v>
      </c>
      <c r="I69" s="6" t="s">
        <v>89</v>
      </c>
      <c r="J69" s="3"/>
      <c r="K69" s="6" t="str">
        <f t="shared" si="2"/>
        <v/>
      </c>
      <c r="L69" s="3">
        <v>3</v>
      </c>
      <c r="M69" s="6" t="s">
        <v>89</v>
      </c>
      <c r="N69" s="3"/>
      <c r="O69" s="6" t="str">
        <f t="shared" si="3"/>
        <v/>
      </c>
      <c r="P69" s="3">
        <v>3</v>
      </c>
      <c r="Q69" s="6" t="s">
        <v>89</v>
      </c>
      <c r="R69" s="3"/>
      <c r="S69" s="6" t="str">
        <f t="shared" si="4"/>
        <v/>
      </c>
      <c r="T69" s="3">
        <v>3</v>
      </c>
      <c r="U69" s="7" t="s">
        <v>89</v>
      </c>
    </row>
    <row r="70" spans="3:21" x14ac:dyDescent="0.25">
      <c r="C70" s="8" t="str">
        <f t="shared" si="0"/>
        <v/>
      </c>
      <c r="D70" s="3">
        <v>2</v>
      </c>
      <c r="E70" s="6" t="s">
        <v>90</v>
      </c>
      <c r="F70" s="3"/>
      <c r="G70" s="6" t="str">
        <f t="shared" si="1"/>
        <v/>
      </c>
      <c r="H70" s="3">
        <v>2</v>
      </c>
      <c r="I70" s="6" t="s">
        <v>90</v>
      </c>
      <c r="J70" s="3"/>
      <c r="K70" s="6" t="str">
        <f t="shared" si="2"/>
        <v/>
      </c>
      <c r="L70" s="3">
        <v>2</v>
      </c>
      <c r="M70" s="6" t="s">
        <v>90</v>
      </c>
      <c r="N70" s="3"/>
      <c r="O70" s="6" t="str">
        <f t="shared" si="3"/>
        <v>+30% Outflow</v>
      </c>
      <c r="P70" s="3">
        <v>2</v>
      </c>
      <c r="Q70" s="6" t="s">
        <v>90</v>
      </c>
      <c r="R70" s="3"/>
      <c r="S70" s="6" t="str">
        <f t="shared" si="4"/>
        <v>+30% Outflow</v>
      </c>
      <c r="T70" s="3">
        <v>2</v>
      </c>
      <c r="U70" s="7" t="s">
        <v>90</v>
      </c>
    </row>
    <row r="71" spans="3:21" x14ac:dyDescent="0.25">
      <c r="C71" s="8" t="str">
        <f t="shared" si="0"/>
        <v/>
      </c>
      <c r="D71" s="3">
        <v>1</v>
      </c>
      <c r="E71" s="6" t="s">
        <v>91</v>
      </c>
      <c r="F71" s="3"/>
      <c r="G71" s="6" t="str">
        <f t="shared" si="1"/>
        <v>+30% Outflow</v>
      </c>
      <c r="H71" s="3">
        <v>1</v>
      </c>
      <c r="I71" s="6" t="s">
        <v>91</v>
      </c>
      <c r="J71" s="3"/>
      <c r="K71" s="6" t="str">
        <f t="shared" si="2"/>
        <v/>
      </c>
      <c r="L71" s="3">
        <v>1</v>
      </c>
      <c r="M71" s="6" t="s">
        <v>91</v>
      </c>
      <c r="N71" s="3"/>
      <c r="O71" s="6" t="str">
        <f t="shared" si="3"/>
        <v/>
      </c>
      <c r="P71" s="3">
        <v>1</v>
      </c>
      <c r="Q71" s="6" t="s">
        <v>91</v>
      </c>
      <c r="R71" s="3"/>
      <c r="S71" s="6" t="str">
        <f t="shared" si="4"/>
        <v/>
      </c>
      <c r="T71" s="3">
        <v>1</v>
      </c>
      <c r="U71" s="7" t="s">
        <v>91</v>
      </c>
    </row>
    <row r="72" spans="3:21" ht="60" x14ac:dyDescent="0.25">
      <c r="C72" s="8" t="str">
        <f t="shared" si="0"/>
        <v>Historical Baseline (46%)</v>
      </c>
      <c r="D72" s="3">
        <v>0</v>
      </c>
      <c r="E72" s="6" t="s">
        <v>92</v>
      </c>
      <c r="F72" s="3"/>
      <c r="G72" s="6" t="str">
        <f t="shared" si="1"/>
        <v>Historical Baseline (100%), -10% Outflow</v>
      </c>
      <c r="H72" s="3">
        <v>0</v>
      </c>
      <c r="I72" s="6" t="s">
        <v>92</v>
      </c>
      <c r="J72" s="3"/>
      <c r="K72" s="6" t="str">
        <f t="shared" si="2"/>
        <v>Historical Baseline (72%)</v>
      </c>
      <c r="L72" s="3">
        <v>0</v>
      </c>
      <c r="M72" s="6" t="s">
        <v>92</v>
      </c>
      <c r="N72" s="3"/>
      <c r="O72" s="6" t="str">
        <f t="shared" si="3"/>
        <v>Historical Baseline (2%)</v>
      </c>
      <c r="P72" s="3">
        <v>0</v>
      </c>
      <c r="Q72" s="6" t="s">
        <v>92</v>
      </c>
      <c r="R72" s="3"/>
      <c r="S72" s="6" t="str">
        <f t="shared" si="4"/>
        <v>Historical Baseline (2%)</v>
      </c>
      <c r="T72" s="3">
        <v>0</v>
      </c>
      <c r="U72" s="7" t="s">
        <v>92</v>
      </c>
    </row>
    <row r="73" spans="3:21" ht="30" x14ac:dyDescent="0.25">
      <c r="C73" s="8" t="str">
        <f t="shared" si="0"/>
        <v/>
      </c>
      <c r="D73" s="3">
        <v>-1</v>
      </c>
      <c r="E73" s="6" t="s">
        <v>93</v>
      </c>
      <c r="F73" s="3"/>
      <c r="G73" s="6" t="str">
        <f t="shared" si="1"/>
        <v/>
      </c>
      <c r="H73" s="3">
        <v>-1</v>
      </c>
      <c r="I73" s="6" t="s">
        <v>93</v>
      </c>
      <c r="J73" s="3"/>
      <c r="K73" s="6" t="str">
        <f t="shared" si="2"/>
        <v/>
      </c>
      <c r="L73" s="3">
        <v>-1</v>
      </c>
      <c r="M73" s="6" t="s">
        <v>93</v>
      </c>
      <c r="N73" s="3"/>
      <c r="O73" s="6" t="str">
        <f t="shared" si="3"/>
        <v/>
      </c>
      <c r="P73" s="3">
        <v>-1</v>
      </c>
      <c r="Q73" s="6" t="s">
        <v>93</v>
      </c>
      <c r="R73" s="3"/>
      <c r="S73" s="6" t="str">
        <f t="shared" si="4"/>
        <v/>
      </c>
      <c r="T73" s="3">
        <v>-1</v>
      </c>
      <c r="U73" s="7" t="s">
        <v>93</v>
      </c>
    </row>
    <row r="74" spans="3:21" x14ac:dyDescent="0.25">
      <c r="C74" s="8" t="str">
        <f t="shared" si="0"/>
        <v/>
      </c>
      <c r="D74" s="3">
        <v>-2</v>
      </c>
      <c r="E74" s="6" t="s">
        <v>94</v>
      </c>
      <c r="F74" s="3"/>
      <c r="G74" s="6" t="str">
        <f t="shared" si="1"/>
        <v/>
      </c>
      <c r="H74" s="3">
        <v>-2</v>
      </c>
      <c r="I74" s="6" t="s">
        <v>94</v>
      </c>
      <c r="J74" s="3"/>
      <c r="K74" s="6" t="str">
        <f t="shared" si="2"/>
        <v/>
      </c>
      <c r="L74" s="3">
        <v>-2</v>
      </c>
      <c r="M74" s="6" t="s">
        <v>94</v>
      </c>
      <c r="N74" s="3"/>
      <c r="O74" s="6" t="str">
        <f t="shared" si="3"/>
        <v/>
      </c>
      <c r="P74" s="3">
        <v>-2</v>
      </c>
      <c r="Q74" s="6" t="s">
        <v>94</v>
      </c>
      <c r="R74" s="3"/>
      <c r="S74" s="6" t="str">
        <f t="shared" si="4"/>
        <v/>
      </c>
      <c r="T74" s="3">
        <v>-2</v>
      </c>
      <c r="U74" s="7" t="s">
        <v>94</v>
      </c>
    </row>
    <row r="75" spans="3:21" x14ac:dyDescent="0.25">
      <c r="C75" s="8" t="str">
        <f t="shared" si="0"/>
        <v/>
      </c>
      <c r="D75" s="3">
        <v>-3</v>
      </c>
      <c r="E75" s="6" t="s">
        <v>95</v>
      </c>
      <c r="F75" s="3"/>
      <c r="G75" s="6" t="str">
        <f t="shared" si="1"/>
        <v/>
      </c>
      <c r="H75" s="3">
        <v>-3</v>
      </c>
      <c r="I75" s="6" t="s">
        <v>95</v>
      </c>
      <c r="J75" s="3"/>
      <c r="K75" s="6" t="str">
        <f t="shared" si="2"/>
        <v/>
      </c>
      <c r="L75" s="3">
        <v>-3</v>
      </c>
      <c r="M75" s="6" t="s">
        <v>95</v>
      </c>
      <c r="N75" s="3"/>
      <c r="O75" s="6" t="str">
        <f t="shared" si="3"/>
        <v>-10% Outflow</v>
      </c>
      <c r="P75" s="3">
        <v>-3</v>
      </c>
      <c r="Q75" s="6" t="s">
        <v>95</v>
      </c>
      <c r="R75" s="3"/>
      <c r="S75" s="6" t="str">
        <f t="shared" si="4"/>
        <v/>
      </c>
      <c r="T75" s="3">
        <v>-3</v>
      </c>
      <c r="U75" s="7" t="s">
        <v>95</v>
      </c>
    </row>
    <row r="76" spans="3:21" x14ac:dyDescent="0.25">
      <c r="C76" s="8" t="str">
        <f t="shared" si="0"/>
        <v/>
      </c>
      <c r="D76" s="3">
        <v>-4</v>
      </c>
      <c r="E76" s="6" t="s">
        <v>96</v>
      </c>
      <c r="F76" s="3"/>
      <c r="G76" s="6" t="str">
        <f t="shared" si="1"/>
        <v/>
      </c>
      <c r="H76" s="3">
        <v>-4</v>
      </c>
      <c r="I76" s="6" t="s">
        <v>96</v>
      </c>
      <c r="J76" s="3"/>
      <c r="K76" s="6" t="str">
        <f t="shared" si="2"/>
        <v/>
      </c>
      <c r="L76" s="3">
        <v>-4</v>
      </c>
      <c r="M76" s="6" t="s">
        <v>96</v>
      </c>
      <c r="N76" s="3"/>
      <c r="O76" s="6" t="str">
        <f t="shared" si="3"/>
        <v/>
      </c>
      <c r="P76" s="3">
        <v>-4</v>
      </c>
      <c r="Q76" s="6" t="s">
        <v>96</v>
      </c>
      <c r="R76" s="3"/>
      <c r="S76" s="6" t="str">
        <f t="shared" si="4"/>
        <v/>
      </c>
      <c r="T76" s="3">
        <v>-4</v>
      </c>
      <c r="U76" s="7" t="s">
        <v>96</v>
      </c>
    </row>
    <row r="77" spans="3:21" ht="45.75" thickBot="1" x14ac:dyDescent="0.3">
      <c r="C77" s="34" t="str">
        <f t="shared" si="0"/>
        <v>-10% Outflow</v>
      </c>
      <c r="D77" s="9">
        <v>-5</v>
      </c>
      <c r="E77" s="10" t="s">
        <v>97</v>
      </c>
      <c r="F77" s="9"/>
      <c r="G77" s="10" t="str">
        <f t="shared" si="1"/>
        <v/>
      </c>
      <c r="H77" s="9">
        <v>-5</v>
      </c>
      <c r="I77" s="10" t="s">
        <v>97</v>
      </c>
      <c r="J77" s="9"/>
      <c r="K77" s="10" t="str">
        <f t="shared" si="2"/>
        <v>-10% Outflow</v>
      </c>
      <c r="L77" s="9">
        <v>-5</v>
      </c>
      <c r="M77" s="10" t="s">
        <v>97</v>
      </c>
      <c r="N77" s="9"/>
      <c r="O77" s="10" t="str">
        <f t="shared" si="3"/>
        <v/>
      </c>
      <c r="P77" s="9">
        <v>-5</v>
      </c>
      <c r="Q77" s="10" t="s">
        <v>97</v>
      </c>
      <c r="R77" s="9"/>
      <c r="S77" s="10" t="str">
        <f t="shared" si="4"/>
        <v>-10% Outflow</v>
      </c>
      <c r="T77" s="9">
        <v>-5</v>
      </c>
      <c r="U77" s="11" t="s">
        <v>97</v>
      </c>
    </row>
    <row r="78" spans="3:21" ht="15.75" thickBot="1" x14ac:dyDescent="0.3"/>
    <row r="79" spans="3:21" ht="15.75" thickBot="1" x14ac:dyDescent="0.3">
      <c r="C79" s="110" t="s">
        <v>44</v>
      </c>
      <c r="D79" s="111"/>
      <c r="E79" s="111"/>
      <c r="F79" s="111"/>
      <c r="G79" s="111"/>
      <c r="H79" s="111"/>
      <c r="I79" s="111"/>
      <c r="J79" s="111"/>
      <c r="K79" s="111"/>
      <c r="L79" s="111"/>
      <c r="M79" s="111"/>
      <c r="N79" s="111"/>
      <c r="O79" s="111"/>
      <c r="P79" s="111"/>
      <c r="Q79" s="111"/>
      <c r="R79" s="111"/>
      <c r="S79" s="111"/>
      <c r="T79" s="111"/>
      <c r="U79" s="112"/>
    </row>
    <row r="80" spans="3:21" ht="15.75" thickBot="1" x14ac:dyDescent="0.3">
      <c r="C80" s="101" t="s">
        <v>79</v>
      </c>
      <c r="D80" s="102"/>
      <c r="E80" s="102"/>
      <c r="F80" s="102"/>
      <c r="G80" s="102"/>
      <c r="H80" s="102"/>
      <c r="I80" s="102"/>
      <c r="J80" s="102"/>
      <c r="K80" s="102"/>
      <c r="L80" s="102"/>
      <c r="M80" s="102"/>
      <c r="N80" s="102"/>
      <c r="O80" s="102"/>
      <c r="P80" s="102"/>
      <c r="Q80" s="102"/>
      <c r="R80" s="102"/>
      <c r="S80" s="102"/>
      <c r="T80" s="102"/>
      <c r="U80" s="103"/>
    </row>
    <row r="81" spans="3:21" ht="15.75" thickBot="1" x14ac:dyDescent="0.3">
      <c r="C81" s="98" t="s">
        <v>51</v>
      </c>
      <c r="D81" s="99"/>
      <c r="E81" s="100"/>
      <c r="F81" s="3"/>
      <c r="G81" s="98" t="s">
        <v>33</v>
      </c>
      <c r="H81" s="99"/>
      <c r="I81" s="100"/>
      <c r="J81" s="3"/>
      <c r="K81" s="98" t="s">
        <v>34</v>
      </c>
      <c r="L81" s="99"/>
      <c r="M81" s="100"/>
      <c r="N81" s="3"/>
      <c r="O81" s="98" t="s">
        <v>35</v>
      </c>
      <c r="P81" s="99"/>
      <c r="Q81" s="100"/>
      <c r="R81" s="3"/>
      <c r="S81" s="98" t="s">
        <v>36</v>
      </c>
      <c r="T81" s="99"/>
      <c r="U81" s="100"/>
    </row>
    <row r="82" spans="3:21" x14ac:dyDescent="0.25">
      <c r="C82" s="4" t="s">
        <v>84</v>
      </c>
      <c r="D82" s="3" t="s">
        <v>85</v>
      </c>
      <c r="E82" s="3" t="s">
        <v>86</v>
      </c>
      <c r="F82" s="3"/>
      <c r="G82" s="3" t="s">
        <v>84</v>
      </c>
      <c r="H82" s="3" t="s">
        <v>85</v>
      </c>
      <c r="I82" s="3" t="s">
        <v>86</v>
      </c>
      <c r="J82" s="3"/>
      <c r="K82" s="3" t="s">
        <v>84</v>
      </c>
      <c r="L82" s="3" t="s">
        <v>85</v>
      </c>
      <c r="M82" s="3" t="s">
        <v>86</v>
      </c>
      <c r="N82" s="3"/>
      <c r="O82" s="3" t="s">
        <v>84</v>
      </c>
      <c r="P82" s="3" t="s">
        <v>85</v>
      </c>
      <c r="Q82" s="3" t="s">
        <v>86</v>
      </c>
      <c r="R82" s="3"/>
      <c r="S82" s="3" t="s">
        <v>84</v>
      </c>
      <c r="T82" s="3" t="s">
        <v>85</v>
      </c>
      <c r="U82" s="5" t="s">
        <v>86</v>
      </c>
    </row>
    <row r="83" spans="3:21" ht="45" x14ac:dyDescent="0.25">
      <c r="C83" s="8" t="str">
        <f t="shared" ref="C83:C93" si="5">_xlfn.TEXTJOIN(", ",TRUE,IF($K$4=D83,$K$3&amp;" ("&amp;TEXT($I$39,"0%")&amp;")",""),IF($L$4=D83,$L$3,""),IF($M$4=D83,$M$3,""))</f>
        <v>+30% Outflow</v>
      </c>
      <c r="D83" s="3">
        <v>5</v>
      </c>
      <c r="E83" s="6" t="s">
        <v>87</v>
      </c>
      <c r="F83" s="3"/>
      <c r="G83" s="6" t="str">
        <f t="shared" ref="G83:G93" si="6">_xlfn.TEXTJOIN(", ",TRUE,IF($K$5=H83,$K$3&amp;" ("&amp;TEXT($J$39,"0%")&amp;")",""),IF($L$5=H83,$L$3,""),IF($M$5=H83,$M$3,""))</f>
        <v/>
      </c>
      <c r="H83" s="3">
        <v>5</v>
      </c>
      <c r="I83" s="6" t="s">
        <v>87</v>
      </c>
      <c r="J83" s="3"/>
      <c r="K83" s="6" t="str">
        <f t="shared" ref="K83:K93" si="7">_xlfn.TEXTJOIN(", ",TRUE,IF($K$6=L83,$K$3&amp;" ("&amp;TEXT($K$39,"0%")&amp;")",""),IF($L$6=L83,$L$3,""),IF($M$6=L83,$M$3,""))</f>
        <v>+30% Outflow</v>
      </c>
      <c r="L83" s="3">
        <v>5</v>
      </c>
      <c r="M83" s="6" t="s">
        <v>87</v>
      </c>
      <c r="N83" s="3"/>
      <c r="O83" s="6" t="str">
        <f t="shared" ref="O83:O93" si="8">_xlfn.TEXTJOIN(", ",TRUE,IF($K$7=P83,$K$3&amp;" ("&amp;TEXT($L$39,"0%")&amp;")",""),IF($L$7=P83,$L$3,""),IF($M$7=P83,$M$3,""))</f>
        <v/>
      </c>
      <c r="P83" s="3">
        <v>5</v>
      </c>
      <c r="Q83" s="6" t="s">
        <v>87</v>
      </c>
      <c r="R83" s="3"/>
      <c r="S83" s="6" t="str">
        <f t="shared" ref="S83:S93" si="9">_xlfn.TEXTJOIN(", ",TRUE,IF($K$8=T83,$K$3&amp;" ("&amp;TEXT($M$39,"0%")&amp;")",""),IF($L$8=T83,$L$3,""),IF($M$8=T83,$M$3,""))</f>
        <v/>
      </c>
      <c r="T83" s="3">
        <v>5</v>
      </c>
      <c r="U83" s="7" t="s">
        <v>87</v>
      </c>
    </row>
    <row r="84" spans="3:21" x14ac:dyDescent="0.25">
      <c r="C84" s="8" t="str">
        <f t="shared" si="5"/>
        <v/>
      </c>
      <c r="D84" s="3">
        <v>4</v>
      </c>
      <c r="E84" s="6" t="s">
        <v>88</v>
      </c>
      <c r="F84" s="3"/>
      <c r="G84" s="6" t="str">
        <f t="shared" si="6"/>
        <v/>
      </c>
      <c r="H84" s="3">
        <v>4</v>
      </c>
      <c r="I84" s="6" t="s">
        <v>88</v>
      </c>
      <c r="J84" s="3"/>
      <c r="K84" s="6" t="str">
        <f t="shared" si="7"/>
        <v/>
      </c>
      <c r="L84" s="3">
        <v>4</v>
      </c>
      <c r="M84" s="6" t="s">
        <v>88</v>
      </c>
      <c r="N84" s="3"/>
      <c r="O84" s="6" t="str">
        <f t="shared" si="8"/>
        <v/>
      </c>
      <c r="P84" s="3">
        <v>4</v>
      </c>
      <c r="Q84" s="6" t="s">
        <v>88</v>
      </c>
      <c r="R84" s="3"/>
      <c r="S84" s="6" t="str">
        <f t="shared" si="9"/>
        <v/>
      </c>
      <c r="T84" s="3">
        <v>4</v>
      </c>
      <c r="U84" s="7" t="s">
        <v>88</v>
      </c>
    </row>
    <row r="85" spans="3:21" x14ac:dyDescent="0.25">
      <c r="C85" s="8" t="str">
        <f t="shared" si="5"/>
        <v/>
      </c>
      <c r="D85" s="3">
        <v>3</v>
      </c>
      <c r="E85" s="6" t="s">
        <v>89</v>
      </c>
      <c r="F85" s="3"/>
      <c r="G85" s="6" t="str">
        <f t="shared" si="6"/>
        <v/>
      </c>
      <c r="H85" s="3">
        <v>3</v>
      </c>
      <c r="I85" s="6" t="s">
        <v>89</v>
      </c>
      <c r="J85" s="3"/>
      <c r="K85" s="6" t="str">
        <f t="shared" si="7"/>
        <v/>
      </c>
      <c r="L85" s="3">
        <v>3</v>
      </c>
      <c r="M85" s="6" t="s">
        <v>89</v>
      </c>
      <c r="N85" s="3"/>
      <c r="O85" s="6" t="str">
        <f t="shared" si="8"/>
        <v/>
      </c>
      <c r="P85" s="3">
        <v>3</v>
      </c>
      <c r="Q85" s="6" t="s">
        <v>89</v>
      </c>
      <c r="R85" s="3"/>
      <c r="S85" s="6" t="str">
        <f t="shared" si="9"/>
        <v/>
      </c>
      <c r="T85" s="3">
        <v>3</v>
      </c>
      <c r="U85" s="7" t="s">
        <v>89</v>
      </c>
    </row>
    <row r="86" spans="3:21" x14ac:dyDescent="0.25">
      <c r="C86" s="8" t="str">
        <f t="shared" si="5"/>
        <v/>
      </c>
      <c r="D86" s="3">
        <v>2</v>
      </c>
      <c r="E86" s="6" t="s">
        <v>90</v>
      </c>
      <c r="F86" s="3"/>
      <c r="G86" s="6" t="str">
        <f t="shared" si="6"/>
        <v>+30% Outflow</v>
      </c>
      <c r="H86" s="3">
        <v>2</v>
      </c>
      <c r="I86" s="6" t="s">
        <v>90</v>
      </c>
      <c r="J86" s="3"/>
      <c r="K86" s="6" t="str">
        <f t="shared" si="7"/>
        <v/>
      </c>
      <c r="L86" s="3">
        <v>2</v>
      </c>
      <c r="M86" s="6" t="s">
        <v>90</v>
      </c>
      <c r="N86" s="3"/>
      <c r="O86" s="6" t="str">
        <f t="shared" si="8"/>
        <v/>
      </c>
      <c r="P86" s="3">
        <v>2</v>
      </c>
      <c r="Q86" s="6" t="s">
        <v>90</v>
      </c>
      <c r="R86" s="3"/>
      <c r="S86" s="6" t="str">
        <f t="shared" si="9"/>
        <v>+30% Outflow</v>
      </c>
      <c r="T86" s="3">
        <v>2</v>
      </c>
      <c r="U86" s="7" t="s">
        <v>90</v>
      </c>
    </row>
    <row r="87" spans="3:21" x14ac:dyDescent="0.25">
      <c r="C87" s="8" t="str">
        <f t="shared" si="5"/>
        <v/>
      </c>
      <c r="D87" s="3">
        <v>1</v>
      </c>
      <c r="E87" s="6" t="s">
        <v>91</v>
      </c>
      <c r="F87" s="3"/>
      <c r="G87" s="6" t="str">
        <f t="shared" si="6"/>
        <v/>
      </c>
      <c r="H87" s="3">
        <v>1</v>
      </c>
      <c r="I87" s="6" t="s">
        <v>91</v>
      </c>
      <c r="J87" s="3"/>
      <c r="K87" s="6" t="str">
        <f t="shared" si="7"/>
        <v/>
      </c>
      <c r="L87" s="3">
        <v>1</v>
      </c>
      <c r="M87" s="6" t="s">
        <v>91</v>
      </c>
      <c r="N87" s="3"/>
      <c r="O87" s="6" t="str">
        <f t="shared" si="8"/>
        <v/>
      </c>
      <c r="P87" s="3">
        <v>1</v>
      </c>
      <c r="Q87" s="6" t="s">
        <v>91</v>
      </c>
      <c r="R87" s="3"/>
      <c r="S87" s="6" t="str">
        <f t="shared" si="9"/>
        <v/>
      </c>
      <c r="T87" s="3">
        <v>1</v>
      </c>
      <c r="U87" s="7" t="s">
        <v>91</v>
      </c>
    </row>
    <row r="88" spans="3:21" ht="60" x14ac:dyDescent="0.25">
      <c r="C88" s="8" t="str">
        <f t="shared" si="5"/>
        <v>Historical Baseline (44%)</v>
      </c>
      <c r="D88" s="3">
        <v>0</v>
      </c>
      <c r="E88" s="6" t="s">
        <v>92</v>
      </c>
      <c r="F88" s="3"/>
      <c r="G88" s="6" t="str">
        <f t="shared" si="6"/>
        <v>Historical Baseline (100%), -10% Outflow</v>
      </c>
      <c r="H88" s="3">
        <v>0</v>
      </c>
      <c r="I88" s="6" t="s">
        <v>92</v>
      </c>
      <c r="J88" s="3"/>
      <c r="K88" s="6" t="str">
        <f t="shared" si="7"/>
        <v>Historical Baseline (66%)</v>
      </c>
      <c r="L88" s="3">
        <v>0</v>
      </c>
      <c r="M88" s="6" t="s">
        <v>92</v>
      </c>
      <c r="N88" s="3"/>
      <c r="O88" s="6" t="str">
        <f t="shared" si="8"/>
        <v>Historical Baseline (0%), +30% Outflow</v>
      </c>
      <c r="P88" s="3">
        <v>0</v>
      </c>
      <c r="Q88" s="6" t="s">
        <v>92</v>
      </c>
      <c r="R88" s="3"/>
      <c r="S88" s="6" t="str">
        <f t="shared" si="9"/>
        <v>Historical Baseline (3%)</v>
      </c>
      <c r="T88" s="3">
        <v>0</v>
      </c>
      <c r="U88" s="7" t="s">
        <v>92</v>
      </c>
    </row>
    <row r="89" spans="3:21" ht="30" x14ac:dyDescent="0.25">
      <c r="C89" s="8" t="str">
        <f t="shared" si="5"/>
        <v/>
      </c>
      <c r="D89" s="3">
        <v>-1</v>
      </c>
      <c r="E89" s="6" t="s">
        <v>93</v>
      </c>
      <c r="F89" s="3"/>
      <c r="G89" s="6" t="str">
        <f t="shared" si="6"/>
        <v/>
      </c>
      <c r="H89" s="3">
        <v>-1</v>
      </c>
      <c r="I89" s="6" t="s">
        <v>93</v>
      </c>
      <c r="J89" s="3"/>
      <c r="K89" s="6" t="str">
        <f t="shared" si="7"/>
        <v/>
      </c>
      <c r="L89" s="3">
        <v>-1</v>
      </c>
      <c r="M89" s="6" t="s">
        <v>93</v>
      </c>
      <c r="N89" s="3"/>
      <c r="O89" s="6" t="str">
        <f t="shared" si="8"/>
        <v/>
      </c>
      <c r="P89" s="3">
        <v>-1</v>
      </c>
      <c r="Q89" s="6" t="s">
        <v>93</v>
      </c>
      <c r="R89" s="3"/>
      <c r="S89" s="6" t="str">
        <f t="shared" si="9"/>
        <v/>
      </c>
      <c r="T89" s="3">
        <v>-1</v>
      </c>
      <c r="U89" s="7" t="s">
        <v>93</v>
      </c>
    </row>
    <row r="90" spans="3:21" x14ac:dyDescent="0.25">
      <c r="C90" s="8" t="str">
        <f t="shared" si="5"/>
        <v/>
      </c>
      <c r="D90" s="3">
        <v>-2</v>
      </c>
      <c r="E90" s="6" t="s">
        <v>94</v>
      </c>
      <c r="F90" s="3"/>
      <c r="G90" s="6" t="str">
        <f t="shared" si="6"/>
        <v/>
      </c>
      <c r="H90" s="3">
        <v>-2</v>
      </c>
      <c r="I90" s="6" t="s">
        <v>94</v>
      </c>
      <c r="J90" s="3"/>
      <c r="K90" s="6" t="str">
        <f t="shared" si="7"/>
        <v/>
      </c>
      <c r="L90" s="3">
        <v>-2</v>
      </c>
      <c r="M90" s="6" t="s">
        <v>94</v>
      </c>
      <c r="N90" s="3"/>
      <c r="O90" s="6" t="str">
        <f t="shared" si="8"/>
        <v>-10% Outflow</v>
      </c>
      <c r="P90" s="3">
        <v>-2</v>
      </c>
      <c r="Q90" s="6" t="s">
        <v>94</v>
      </c>
      <c r="R90" s="3"/>
      <c r="S90" s="6" t="str">
        <f t="shared" si="9"/>
        <v/>
      </c>
      <c r="T90" s="3">
        <v>-2</v>
      </c>
      <c r="U90" s="7" t="s">
        <v>94</v>
      </c>
    </row>
    <row r="91" spans="3:21" x14ac:dyDescent="0.25">
      <c r="C91" s="8" t="str">
        <f t="shared" si="5"/>
        <v/>
      </c>
      <c r="D91" s="3">
        <v>-3</v>
      </c>
      <c r="E91" s="6" t="s">
        <v>95</v>
      </c>
      <c r="F91" s="3"/>
      <c r="G91" s="6" t="str">
        <f t="shared" si="6"/>
        <v/>
      </c>
      <c r="H91" s="3">
        <v>-3</v>
      </c>
      <c r="I91" s="6" t="s">
        <v>95</v>
      </c>
      <c r="J91" s="3"/>
      <c r="K91" s="6" t="str">
        <f t="shared" si="7"/>
        <v/>
      </c>
      <c r="L91" s="3">
        <v>-3</v>
      </c>
      <c r="M91" s="6" t="s">
        <v>95</v>
      </c>
      <c r="N91" s="3"/>
      <c r="O91" s="6" t="str">
        <f t="shared" si="8"/>
        <v/>
      </c>
      <c r="P91" s="3">
        <v>-3</v>
      </c>
      <c r="Q91" s="6" t="s">
        <v>95</v>
      </c>
      <c r="R91" s="3"/>
      <c r="S91" s="6" t="str">
        <f t="shared" si="9"/>
        <v/>
      </c>
      <c r="T91" s="3">
        <v>-3</v>
      </c>
      <c r="U91" s="7" t="s">
        <v>95</v>
      </c>
    </row>
    <row r="92" spans="3:21" x14ac:dyDescent="0.25">
      <c r="C92" s="8" t="str">
        <f t="shared" si="5"/>
        <v/>
      </c>
      <c r="D92" s="3">
        <v>-4</v>
      </c>
      <c r="E92" s="6" t="s">
        <v>96</v>
      </c>
      <c r="F92" s="3"/>
      <c r="G92" s="6" t="str">
        <f t="shared" si="6"/>
        <v/>
      </c>
      <c r="H92" s="3">
        <v>-4</v>
      </c>
      <c r="I92" s="6" t="s">
        <v>96</v>
      </c>
      <c r="J92" s="3"/>
      <c r="K92" s="6" t="str">
        <f t="shared" si="7"/>
        <v/>
      </c>
      <c r="L92" s="3">
        <v>-4</v>
      </c>
      <c r="M92" s="6" t="s">
        <v>96</v>
      </c>
      <c r="N92" s="3"/>
      <c r="O92" s="6" t="str">
        <f t="shared" si="8"/>
        <v/>
      </c>
      <c r="P92" s="3">
        <v>-4</v>
      </c>
      <c r="Q92" s="6" t="s">
        <v>96</v>
      </c>
      <c r="R92" s="3"/>
      <c r="S92" s="6" t="str">
        <f t="shared" si="9"/>
        <v/>
      </c>
      <c r="T92" s="3">
        <v>-4</v>
      </c>
      <c r="U92" s="7" t="s">
        <v>96</v>
      </c>
    </row>
    <row r="93" spans="3:21" ht="45.75" thickBot="1" x14ac:dyDescent="0.3">
      <c r="C93" s="34" t="str">
        <f t="shared" si="5"/>
        <v>-10% Outflow</v>
      </c>
      <c r="D93" s="9">
        <v>-5</v>
      </c>
      <c r="E93" s="10" t="s">
        <v>97</v>
      </c>
      <c r="F93" s="9"/>
      <c r="G93" s="10" t="str">
        <f t="shared" si="6"/>
        <v/>
      </c>
      <c r="H93" s="9">
        <v>-5</v>
      </c>
      <c r="I93" s="10" t="s">
        <v>97</v>
      </c>
      <c r="J93" s="9"/>
      <c r="K93" s="10" t="str">
        <f t="shared" si="7"/>
        <v>-10% Outflow</v>
      </c>
      <c r="L93" s="9">
        <v>-5</v>
      </c>
      <c r="M93" s="10" t="s">
        <v>97</v>
      </c>
      <c r="N93" s="9"/>
      <c r="O93" s="10" t="str">
        <f t="shared" si="8"/>
        <v/>
      </c>
      <c r="P93" s="9">
        <v>-5</v>
      </c>
      <c r="Q93" s="10" t="s">
        <v>97</v>
      </c>
      <c r="R93" s="9"/>
      <c r="S93" s="10" t="str">
        <f t="shared" si="9"/>
        <v>-10% Outflow</v>
      </c>
      <c r="T93" s="9">
        <v>-5</v>
      </c>
      <c r="U93" s="11" t="s">
        <v>97</v>
      </c>
    </row>
    <row r="94" spans="3:21" ht="15.75" thickBot="1" x14ac:dyDescent="0.3"/>
    <row r="95" spans="3:21" ht="15.75" thickBot="1" x14ac:dyDescent="0.3">
      <c r="C95" s="110" t="s">
        <v>44</v>
      </c>
      <c r="D95" s="111"/>
      <c r="E95" s="111"/>
      <c r="F95" s="111"/>
      <c r="G95" s="111"/>
      <c r="H95" s="111"/>
      <c r="I95" s="111"/>
      <c r="J95" s="111"/>
      <c r="K95" s="111"/>
      <c r="L95" s="111"/>
      <c r="M95" s="111"/>
      <c r="N95" s="111"/>
      <c r="O95" s="111"/>
      <c r="P95" s="111"/>
      <c r="Q95" s="111"/>
      <c r="R95" s="111"/>
      <c r="S95" s="111"/>
      <c r="T95" s="111"/>
      <c r="U95" s="112"/>
    </row>
    <row r="96" spans="3:21" ht="15.75" thickBot="1" x14ac:dyDescent="0.3">
      <c r="C96" s="95" t="s">
        <v>80</v>
      </c>
      <c r="D96" s="96"/>
      <c r="E96" s="96"/>
      <c r="F96" s="96"/>
      <c r="G96" s="96"/>
      <c r="H96" s="96"/>
      <c r="I96" s="96"/>
      <c r="J96" s="96"/>
      <c r="K96" s="96"/>
      <c r="L96" s="96"/>
      <c r="M96" s="96"/>
      <c r="N96" s="96"/>
      <c r="O96" s="96"/>
      <c r="P96" s="96"/>
      <c r="Q96" s="96"/>
      <c r="R96" s="96"/>
      <c r="S96" s="96"/>
      <c r="T96" s="96"/>
      <c r="U96" s="97"/>
    </row>
    <row r="97" spans="3:21" ht="15.75" thickBot="1" x14ac:dyDescent="0.3">
      <c r="C97" s="98" t="s">
        <v>51</v>
      </c>
      <c r="D97" s="99"/>
      <c r="E97" s="100"/>
      <c r="F97" s="3"/>
      <c r="G97" s="98" t="s">
        <v>33</v>
      </c>
      <c r="H97" s="99"/>
      <c r="I97" s="100"/>
      <c r="J97" s="3"/>
      <c r="K97" s="98" t="s">
        <v>34</v>
      </c>
      <c r="L97" s="99"/>
      <c r="M97" s="100"/>
      <c r="N97" s="3"/>
      <c r="O97" s="98" t="s">
        <v>35</v>
      </c>
      <c r="P97" s="99"/>
      <c r="Q97" s="100"/>
      <c r="R97" s="3"/>
      <c r="S97" s="98" t="s">
        <v>36</v>
      </c>
      <c r="T97" s="99"/>
      <c r="U97" s="100"/>
    </row>
    <row r="98" spans="3:21" x14ac:dyDescent="0.25">
      <c r="C98" s="4" t="s">
        <v>84</v>
      </c>
      <c r="D98" s="3" t="s">
        <v>85</v>
      </c>
      <c r="E98" s="3" t="s">
        <v>86</v>
      </c>
      <c r="F98" s="3"/>
      <c r="G98" s="3" t="s">
        <v>84</v>
      </c>
      <c r="H98" s="3" t="s">
        <v>85</v>
      </c>
      <c r="I98" s="3" t="s">
        <v>86</v>
      </c>
      <c r="J98" s="3"/>
      <c r="K98" s="3" t="s">
        <v>84</v>
      </c>
      <c r="L98" s="3" t="s">
        <v>85</v>
      </c>
      <c r="M98" s="3" t="s">
        <v>86</v>
      </c>
      <c r="N98" s="3"/>
      <c r="O98" s="3" t="s">
        <v>84</v>
      </c>
      <c r="P98" s="3" t="s">
        <v>85</v>
      </c>
      <c r="Q98" s="3" t="s">
        <v>86</v>
      </c>
      <c r="R98" s="3"/>
      <c r="S98" s="3" t="s">
        <v>84</v>
      </c>
      <c r="T98" s="3" t="s">
        <v>85</v>
      </c>
      <c r="U98" s="5" t="s">
        <v>86</v>
      </c>
    </row>
    <row r="99" spans="3:21" ht="45" x14ac:dyDescent="0.25">
      <c r="C99" s="8" t="str">
        <f t="shared" ref="C99:C109" si="10">_xlfn.TEXTJOIN(", ",TRUE,IF($Q$4=D99,$Q$3&amp;" ("&amp;TEXT($N$39,"0%")&amp;")",""),IF($R$4=D99,$R$3,""),IF($S$4=D99,$S$3,""))</f>
        <v>+30% Outflow</v>
      </c>
      <c r="D99" s="3">
        <v>5</v>
      </c>
      <c r="E99" s="6" t="s">
        <v>87</v>
      </c>
      <c r="F99" s="3"/>
      <c r="G99" s="6" t="str">
        <f t="shared" ref="G99:G109" si="11">_xlfn.TEXTJOIN(", ",TRUE,IF($Q$5=H99,$Q$3&amp;" ("&amp;TEXT($O$39,"0%")&amp;")",""),IF($R$5=H99,$R$3,""),IF($S$5=H99,$S$3,""))</f>
        <v/>
      </c>
      <c r="H99" s="3">
        <v>5</v>
      </c>
      <c r="I99" s="6" t="s">
        <v>87</v>
      </c>
      <c r="J99" s="3"/>
      <c r="K99" s="6" t="str">
        <f t="shared" ref="K99:K109" si="12">_xlfn.TEXTJOIN(", ",TRUE,IF($Q$6=L99,$Q$3&amp;" ("&amp;TEXT($P$39,"0%")&amp;")",""),IF($R$6=L99,$R$3,""),IF($S$6=L99,$S$3,""))</f>
        <v>+30% Outflow</v>
      </c>
      <c r="L99" s="3">
        <v>5</v>
      </c>
      <c r="M99" s="6" t="s">
        <v>87</v>
      </c>
      <c r="N99" s="3"/>
      <c r="O99" s="6" t="str">
        <f t="shared" ref="O99:O109" si="13">_xlfn.TEXTJOIN(", ",TRUE,IF($Q$7=P99,$Q$3&amp;" ("&amp;TEXT($Q$39,"0%")&amp;")",""),IF($R$7=P99,$R$3,""),IF($S$7=P99,$S$3,""))</f>
        <v/>
      </c>
      <c r="P99" s="3">
        <v>5</v>
      </c>
      <c r="Q99" s="6" t="s">
        <v>87</v>
      </c>
      <c r="R99" s="3"/>
      <c r="S99" s="6" t="str">
        <f t="shared" ref="S99:S109" si="14">_xlfn.TEXTJOIN(", ",TRUE,IF($Q$8=T99,$Q$3&amp;" ("&amp;TEXT($R$39,"0%")&amp;")",""),IF($R$8=T99,$R$3,""),IF($S$8=T99,$S$3,""))</f>
        <v/>
      </c>
      <c r="T99" s="3">
        <v>5</v>
      </c>
      <c r="U99" s="7" t="s">
        <v>87</v>
      </c>
    </row>
    <row r="100" spans="3:21" x14ac:dyDescent="0.25">
      <c r="C100" s="8" t="str">
        <f t="shared" si="10"/>
        <v/>
      </c>
      <c r="D100" s="3">
        <v>4</v>
      </c>
      <c r="E100" s="6" t="s">
        <v>88</v>
      </c>
      <c r="F100" s="3"/>
      <c r="G100" s="6" t="str">
        <f t="shared" si="11"/>
        <v/>
      </c>
      <c r="H100" s="3">
        <v>4</v>
      </c>
      <c r="I100" s="6" t="s">
        <v>88</v>
      </c>
      <c r="J100" s="3"/>
      <c r="K100" s="6" t="str">
        <f t="shared" si="12"/>
        <v/>
      </c>
      <c r="L100" s="3">
        <v>4</v>
      </c>
      <c r="M100" s="6" t="s">
        <v>88</v>
      </c>
      <c r="N100" s="3"/>
      <c r="O100" s="6" t="str">
        <f t="shared" si="13"/>
        <v>+30% Outflow</v>
      </c>
      <c r="P100" s="3">
        <v>4</v>
      </c>
      <c r="Q100" s="6" t="s">
        <v>88</v>
      </c>
      <c r="R100" s="3"/>
      <c r="S100" s="6" t="str">
        <f t="shared" si="14"/>
        <v/>
      </c>
      <c r="T100" s="3">
        <v>4</v>
      </c>
      <c r="U100" s="7" t="s">
        <v>88</v>
      </c>
    </row>
    <row r="101" spans="3:21" x14ac:dyDescent="0.25">
      <c r="C101" s="8" t="str">
        <f t="shared" si="10"/>
        <v/>
      </c>
      <c r="D101" s="3">
        <v>3</v>
      </c>
      <c r="E101" s="6" t="s">
        <v>89</v>
      </c>
      <c r="F101" s="3"/>
      <c r="G101" s="6" t="str">
        <f t="shared" si="11"/>
        <v/>
      </c>
      <c r="H101" s="3">
        <v>3</v>
      </c>
      <c r="I101" s="6" t="s">
        <v>89</v>
      </c>
      <c r="J101" s="3"/>
      <c r="K101" s="6" t="str">
        <f t="shared" si="12"/>
        <v/>
      </c>
      <c r="L101" s="3">
        <v>3</v>
      </c>
      <c r="M101" s="6" t="s">
        <v>89</v>
      </c>
      <c r="N101" s="3"/>
      <c r="O101" s="6" t="str">
        <f t="shared" si="13"/>
        <v/>
      </c>
      <c r="P101" s="3">
        <v>3</v>
      </c>
      <c r="Q101" s="6" t="s">
        <v>89</v>
      </c>
      <c r="R101" s="3"/>
      <c r="S101" s="6" t="str">
        <f t="shared" si="14"/>
        <v/>
      </c>
      <c r="T101" s="3">
        <v>3</v>
      </c>
      <c r="U101" s="7" t="s">
        <v>89</v>
      </c>
    </row>
    <row r="102" spans="3:21" x14ac:dyDescent="0.25">
      <c r="C102" s="8" t="str">
        <f t="shared" si="10"/>
        <v/>
      </c>
      <c r="D102" s="3">
        <v>2</v>
      </c>
      <c r="E102" s="6" t="s">
        <v>90</v>
      </c>
      <c r="F102" s="3"/>
      <c r="G102" s="6" t="str">
        <f t="shared" si="11"/>
        <v/>
      </c>
      <c r="H102" s="3">
        <v>2</v>
      </c>
      <c r="I102" s="6" t="s">
        <v>90</v>
      </c>
      <c r="J102" s="3"/>
      <c r="K102" s="6" t="str">
        <f t="shared" si="12"/>
        <v/>
      </c>
      <c r="L102" s="3">
        <v>2</v>
      </c>
      <c r="M102" s="6" t="s">
        <v>90</v>
      </c>
      <c r="N102" s="3"/>
      <c r="O102" s="6" t="str">
        <f t="shared" si="13"/>
        <v/>
      </c>
      <c r="P102" s="3">
        <v>2</v>
      </c>
      <c r="Q102" s="6" t="s">
        <v>90</v>
      </c>
      <c r="R102" s="3"/>
      <c r="S102" s="6" t="str">
        <f t="shared" si="14"/>
        <v>+30% Outflow</v>
      </c>
      <c r="T102" s="3">
        <v>2</v>
      </c>
      <c r="U102" s="7" t="s">
        <v>90</v>
      </c>
    </row>
    <row r="103" spans="3:21" x14ac:dyDescent="0.25">
      <c r="C103" s="8" t="str">
        <f t="shared" si="10"/>
        <v/>
      </c>
      <c r="D103" s="3">
        <v>1</v>
      </c>
      <c r="E103" s="6" t="s">
        <v>91</v>
      </c>
      <c r="F103" s="3"/>
      <c r="G103" s="6" t="str">
        <f t="shared" si="11"/>
        <v/>
      </c>
      <c r="H103" s="3">
        <v>1</v>
      </c>
      <c r="I103" s="6" t="s">
        <v>91</v>
      </c>
      <c r="J103" s="3"/>
      <c r="K103" s="6" t="str">
        <f t="shared" si="12"/>
        <v/>
      </c>
      <c r="L103" s="3">
        <v>1</v>
      </c>
      <c r="M103" s="6" t="s">
        <v>91</v>
      </c>
      <c r="N103" s="3"/>
      <c r="O103" s="6" t="str">
        <f t="shared" si="13"/>
        <v/>
      </c>
      <c r="P103" s="3">
        <v>1</v>
      </c>
      <c r="Q103" s="6" t="s">
        <v>91</v>
      </c>
      <c r="R103" s="3"/>
      <c r="S103" s="6" t="str">
        <f t="shared" si="14"/>
        <v/>
      </c>
      <c r="T103" s="3">
        <v>1</v>
      </c>
      <c r="U103" s="7" t="s">
        <v>91</v>
      </c>
    </row>
    <row r="104" spans="3:21" ht="75" x14ac:dyDescent="0.25">
      <c r="C104" s="8" t="str">
        <f t="shared" si="10"/>
        <v>Historical Baseline (48%)</v>
      </c>
      <c r="D104" s="3">
        <v>0</v>
      </c>
      <c r="E104" s="6" t="s">
        <v>92</v>
      </c>
      <c r="F104" s="3"/>
      <c r="G104" s="6" t="str">
        <f t="shared" si="11"/>
        <v>Historical Baseline (100%), +30% Outflow, -10% Outflow</v>
      </c>
      <c r="H104" s="3">
        <v>0</v>
      </c>
      <c r="I104" s="6" t="s">
        <v>92</v>
      </c>
      <c r="J104" s="3"/>
      <c r="K104" s="6" t="str">
        <f t="shared" si="12"/>
        <v>Historical Baseline (78%)</v>
      </c>
      <c r="L104" s="3">
        <v>0</v>
      </c>
      <c r="M104" s="6" t="s">
        <v>92</v>
      </c>
      <c r="N104" s="3"/>
      <c r="O104" s="6" t="str">
        <f t="shared" si="13"/>
        <v>Historical Baseline (4%)</v>
      </c>
      <c r="P104" s="3">
        <v>0</v>
      </c>
      <c r="Q104" s="6" t="s">
        <v>92</v>
      </c>
      <c r="R104" s="3"/>
      <c r="S104" s="6" t="str">
        <f t="shared" si="14"/>
        <v>Historical Baseline (2%)</v>
      </c>
      <c r="T104" s="3">
        <v>0</v>
      </c>
      <c r="U104" s="7" t="s">
        <v>92</v>
      </c>
    </row>
    <row r="105" spans="3:21" ht="30" x14ac:dyDescent="0.25">
      <c r="C105" s="8" t="str">
        <f t="shared" si="10"/>
        <v/>
      </c>
      <c r="D105" s="3">
        <v>-1</v>
      </c>
      <c r="E105" s="6" t="s">
        <v>93</v>
      </c>
      <c r="F105" s="3"/>
      <c r="G105" s="6" t="str">
        <f t="shared" si="11"/>
        <v/>
      </c>
      <c r="H105" s="3">
        <v>-1</v>
      </c>
      <c r="I105" s="6" t="s">
        <v>93</v>
      </c>
      <c r="J105" s="3"/>
      <c r="K105" s="6" t="str">
        <f t="shared" si="12"/>
        <v/>
      </c>
      <c r="L105" s="3">
        <v>-1</v>
      </c>
      <c r="M105" s="6" t="s">
        <v>93</v>
      </c>
      <c r="N105" s="3"/>
      <c r="O105" s="6" t="str">
        <f t="shared" si="13"/>
        <v/>
      </c>
      <c r="P105" s="3">
        <v>-1</v>
      </c>
      <c r="Q105" s="6" t="s">
        <v>93</v>
      </c>
      <c r="R105" s="3"/>
      <c r="S105" s="6" t="str">
        <f t="shared" si="14"/>
        <v/>
      </c>
      <c r="T105" s="3">
        <v>-1</v>
      </c>
      <c r="U105" s="7" t="s">
        <v>93</v>
      </c>
    </row>
    <row r="106" spans="3:21" x14ac:dyDescent="0.25">
      <c r="C106" s="8" t="str">
        <f t="shared" si="10"/>
        <v/>
      </c>
      <c r="D106" s="3">
        <v>-2</v>
      </c>
      <c r="E106" s="6" t="s">
        <v>94</v>
      </c>
      <c r="F106" s="3"/>
      <c r="G106" s="6" t="str">
        <f t="shared" si="11"/>
        <v/>
      </c>
      <c r="H106" s="3">
        <v>-2</v>
      </c>
      <c r="I106" s="6" t="s">
        <v>94</v>
      </c>
      <c r="J106" s="3"/>
      <c r="K106" s="6" t="str">
        <f t="shared" si="12"/>
        <v/>
      </c>
      <c r="L106" s="3">
        <v>-2</v>
      </c>
      <c r="M106" s="6" t="s">
        <v>94</v>
      </c>
      <c r="N106" s="3"/>
      <c r="O106" s="6" t="str">
        <f t="shared" si="13"/>
        <v/>
      </c>
      <c r="P106" s="3">
        <v>-2</v>
      </c>
      <c r="Q106" s="6" t="s">
        <v>94</v>
      </c>
      <c r="R106" s="3"/>
      <c r="S106" s="6" t="str">
        <f t="shared" si="14"/>
        <v/>
      </c>
      <c r="T106" s="3">
        <v>-2</v>
      </c>
      <c r="U106" s="7" t="s">
        <v>94</v>
      </c>
    </row>
    <row r="107" spans="3:21" x14ac:dyDescent="0.25">
      <c r="C107" s="8" t="str">
        <f t="shared" si="10"/>
        <v/>
      </c>
      <c r="D107" s="3">
        <v>-3</v>
      </c>
      <c r="E107" s="6" t="s">
        <v>95</v>
      </c>
      <c r="F107" s="3"/>
      <c r="G107" s="6" t="str">
        <f t="shared" si="11"/>
        <v/>
      </c>
      <c r="H107" s="3">
        <v>-3</v>
      </c>
      <c r="I107" s="6" t="s">
        <v>95</v>
      </c>
      <c r="J107" s="3"/>
      <c r="K107" s="6" t="str">
        <f t="shared" si="12"/>
        <v/>
      </c>
      <c r="L107" s="3">
        <v>-3</v>
      </c>
      <c r="M107" s="6" t="s">
        <v>95</v>
      </c>
      <c r="N107" s="3"/>
      <c r="O107" s="6" t="str">
        <f t="shared" si="13"/>
        <v/>
      </c>
      <c r="P107" s="3">
        <v>-3</v>
      </c>
      <c r="Q107" s="6" t="s">
        <v>95</v>
      </c>
      <c r="R107" s="3"/>
      <c r="S107" s="6" t="str">
        <f t="shared" si="14"/>
        <v/>
      </c>
      <c r="T107" s="3">
        <v>-3</v>
      </c>
      <c r="U107" s="7" t="s">
        <v>95</v>
      </c>
    </row>
    <row r="108" spans="3:21" x14ac:dyDescent="0.25">
      <c r="C108" s="8" t="str">
        <f t="shared" si="10"/>
        <v/>
      </c>
      <c r="D108" s="3">
        <v>-4</v>
      </c>
      <c r="E108" s="6" t="s">
        <v>96</v>
      </c>
      <c r="F108" s="3"/>
      <c r="G108" s="6" t="str">
        <f t="shared" si="11"/>
        <v/>
      </c>
      <c r="H108" s="3">
        <v>-4</v>
      </c>
      <c r="I108" s="6" t="s">
        <v>96</v>
      </c>
      <c r="J108" s="3"/>
      <c r="K108" s="6" t="str">
        <f t="shared" si="12"/>
        <v/>
      </c>
      <c r="L108" s="3">
        <v>-4</v>
      </c>
      <c r="M108" s="6" t="s">
        <v>96</v>
      </c>
      <c r="N108" s="3"/>
      <c r="O108" s="6" t="str">
        <f t="shared" si="13"/>
        <v/>
      </c>
      <c r="P108" s="3">
        <v>-4</v>
      </c>
      <c r="Q108" s="6" t="s">
        <v>96</v>
      </c>
      <c r="R108" s="3"/>
      <c r="S108" s="6" t="str">
        <f t="shared" si="14"/>
        <v/>
      </c>
      <c r="T108" s="3">
        <v>-4</v>
      </c>
      <c r="U108" s="7" t="s">
        <v>96</v>
      </c>
    </row>
    <row r="109" spans="3:21" ht="45.75" thickBot="1" x14ac:dyDescent="0.3">
      <c r="C109" s="34" t="str">
        <f t="shared" si="10"/>
        <v>-10% Outflow</v>
      </c>
      <c r="D109" s="9">
        <v>-5</v>
      </c>
      <c r="E109" s="10" t="s">
        <v>97</v>
      </c>
      <c r="F109" s="9"/>
      <c r="G109" s="10" t="str">
        <f t="shared" si="11"/>
        <v/>
      </c>
      <c r="H109" s="9">
        <v>-5</v>
      </c>
      <c r="I109" s="10" t="s">
        <v>97</v>
      </c>
      <c r="J109" s="9"/>
      <c r="K109" s="10" t="str">
        <f t="shared" si="12"/>
        <v>-10% Outflow</v>
      </c>
      <c r="L109" s="9">
        <v>-5</v>
      </c>
      <c r="M109" s="10" t="s">
        <v>97</v>
      </c>
      <c r="N109" s="9"/>
      <c r="O109" s="10" t="str">
        <f t="shared" si="13"/>
        <v>-10% Outflow</v>
      </c>
      <c r="P109" s="9">
        <v>-5</v>
      </c>
      <c r="Q109" s="10" t="s">
        <v>97</v>
      </c>
      <c r="R109" s="9"/>
      <c r="S109" s="10" t="str">
        <f t="shared" si="14"/>
        <v>-10% Outflow</v>
      </c>
      <c r="T109" s="9">
        <v>-5</v>
      </c>
      <c r="U109" s="11" t="s">
        <v>97</v>
      </c>
    </row>
    <row r="112" spans="3:21" ht="15.75" thickBot="1" x14ac:dyDescent="0.3"/>
    <row r="113" spans="3:21" ht="15.75" thickBot="1" x14ac:dyDescent="0.3">
      <c r="C113" s="107" t="s">
        <v>66</v>
      </c>
      <c r="D113" s="108"/>
      <c r="E113" s="108"/>
      <c r="F113" s="108"/>
      <c r="G113" s="108"/>
      <c r="H113" s="108"/>
      <c r="I113" s="108"/>
      <c r="J113" s="108"/>
      <c r="K113" s="108"/>
      <c r="L113" s="108"/>
      <c r="M113" s="108"/>
      <c r="N113" s="108"/>
      <c r="O113" s="108"/>
      <c r="P113" s="108"/>
      <c r="Q113" s="108"/>
      <c r="R113" s="108"/>
      <c r="S113" s="108"/>
      <c r="T113" s="108"/>
      <c r="U113" s="109"/>
    </row>
    <row r="114" spans="3:21" ht="15.75" thickBot="1" x14ac:dyDescent="0.3">
      <c r="C114" s="104" t="s">
        <v>78</v>
      </c>
      <c r="D114" s="105"/>
      <c r="E114" s="105"/>
      <c r="F114" s="105"/>
      <c r="G114" s="105"/>
      <c r="H114" s="105"/>
      <c r="I114" s="105"/>
      <c r="J114" s="105"/>
      <c r="K114" s="105"/>
      <c r="L114" s="105"/>
      <c r="M114" s="105"/>
      <c r="N114" s="105"/>
      <c r="O114" s="105"/>
      <c r="P114" s="105"/>
      <c r="Q114" s="105"/>
      <c r="R114" s="105"/>
      <c r="S114" s="105"/>
      <c r="T114" s="105"/>
      <c r="U114" s="106"/>
    </row>
    <row r="115" spans="3:21" ht="15.75" thickBot="1" x14ac:dyDescent="0.3">
      <c r="C115" s="98" t="s">
        <v>51</v>
      </c>
      <c r="D115" s="99"/>
      <c r="E115" s="100"/>
      <c r="F115" s="3"/>
      <c r="G115" s="98" t="s">
        <v>33</v>
      </c>
      <c r="H115" s="99"/>
      <c r="I115" s="100"/>
      <c r="J115" s="3"/>
      <c r="K115" s="98" t="s">
        <v>34</v>
      </c>
      <c r="L115" s="99"/>
      <c r="M115" s="100"/>
      <c r="N115" s="3"/>
      <c r="O115" s="98" t="s">
        <v>35</v>
      </c>
      <c r="P115" s="99"/>
      <c r="Q115" s="100"/>
      <c r="R115" s="3"/>
      <c r="S115" s="98" t="s">
        <v>36</v>
      </c>
      <c r="T115" s="99"/>
      <c r="U115" s="100"/>
    </row>
    <row r="116" spans="3:21" x14ac:dyDescent="0.25">
      <c r="C116" s="4" t="s">
        <v>84</v>
      </c>
      <c r="D116" s="3" t="s">
        <v>85</v>
      </c>
      <c r="E116" s="3" t="s">
        <v>86</v>
      </c>
      <c r="F116" s="3"/>
      <c r="G116" s="3" t="s">
        <v>84</v>
      </c>
      <c r="H116" s="3" t="s">
        <v>85</v>
      </c>
      <c r="I116" s="3" t="s">
        <v>86</v>
      </c>
      <c r="J116" s="3"/>
      <c r="K116" s="3" t="s">
        <v>84</v>
      </c>
      <c r="L116" s="3" t="s">
        <v>85</v>
      </c>
      <c r="M116" s="3" t="s">
        <v>86</v>
      </c>
      <c r="N116" s="3"/>
      <c r="O116" s="3" t="s">
        <v>84</v>
      </c>
      <c r="P116" s="3" t="s">
        <v>85</v>
      </c>
      <c r="Q116" s="3" t="s">
        <v>86</v>
      </c>
      <c r="R116" s="3"/>
      <c r="S116" s="3" t="s">
        <v>84</v>
      </c>
      <c r="T116" s="3" t="s">
        <v>85</v>
      </c>
      <c r="U116" s="5" t="s">
        <v>86</v>
      </c>
    </row>
    <row r="117" spans="3:21" ht="45" x14ac:dyDescent="0.25">
      <c r="C117" s="8" t="str">
        <f t="shared" ref="C117:C127" si="15">_xlfn.TEXTJOIN(", ",TRUE,IF($E$10=D117,$E$9&amp;" ("&amp;TEXT($D$40,"0%")&amp;")",""),IF($F$10=D117,$F$9,""),IF($G$10=D117,$G$9,""))</f>
        <v/>
      </c>
      <c r="D117" s="3">
        <v>5</v>
      </c>
      <c r="E117" s="6" t="s">
        <v>87</v>
      </c>
      <c r="F117" s="3"/>
      <c r="G117" s="6" t="str">
        <f t="shared" ref="G117:G127" si="16">_xlfn.TEXTJOIN(", ",TRUE,IF($E$11=H117,$E$9&amp;" ("&amp;TEXT($E$40,"0%")&amp;")",""),IF($F$11=H117,$F$9,""),IF($G$11=H117,$G$9,""))</f>
        <v/>
      </c>
      <c r="H117" s="3">
        <v>5</v>
      </c>
      <c r="I117" s="6" t="s">
        <v>87</v>
      </c>
      <c r="J117" s="3"/>
      <c r="K117" s="6" t="str">
        <f t="shared" ref="K117:K127" si="17">_xlfn.TEXTJOIN(", ",TRUE,IF($E$12=L117,$E$9&amp;" ("&amp;TEXT($F$40,"0%")&amp;")",""),IF($F$12=L117,$F$9,""),IF($G$12=L117,$G$9,""))</f>
        <v>+30% Outflow</v>
      </c>
      <c r="L117" s="3">
        <v>5</v>
      </c>
      <c r="M117" s="6" t="s">
        <v>87</v>
      </c>
      <c r="N117" s="3"/>
      <c r="O117" s="6" t="str">
        <f t="shared" ref="O117:O127" si="18">_xlfn.TEXTJOIN(", ",TRUE,IF($E$13=P117,$E$9&amp;" ("&amp;TEXT($G$40,"0%")&amp;")",""),IF($F$13=P117,$F$9,""),IF($G$13=P117,$G$9,""))</f>
        <v/>
      </c>
      <c r="P117" s="3">
        <v>5</v>
      </c>
      <c r="Q117" s="6" t="s">
        <v>87</v>
      </c>
      <c r="R117" s="3"/>
      <c r="S117" s="6" t="str">
        <f t="shared" ref="S117:S127" si="19">_xlfn.TEXTJOIN(", ",TRUE,IF($E$14=T117,$E$9&amp;" ("&amp;TEXT($H$40,"0%")&amp;")",""),IF($F$14=T117,$F$9,""),IF($G$14=T117,$G$9,""))</f>
        <v/>
      </c>
      <c r="T117" s="3">
        <v>5</v>
      </c>
      <c r="U117" s="7" t="s">
        <v>87</v>
      </c>
    </row>
    <row r="118" spans="3:21" x14ac:dyDescent="0.25">
      <c r="C118" s="8" t="str">
        <f t="shared" si="15"/>
        <v>+30% Outflow</v>
      </c>
      <c r="D118" s="3">
        <v>4</v>
      </c>
      <c r="E118" s="6" t="s">
        <v>88</v>
      </c>
      <c r="F118" s="3"/>
      <c r="G118" s="6" t="str">
        <f t="shared" si="16"/>
        <v/>
      </c>
      <c r="H118" s="3">
        <v>4</v>
      </c>
      <c r="I118" s="6" t="s">
        <v>88</v>
      </c>
      <c r="J118" s="3"/>
      <c r="K118" s="6" t="str">
        <f t="shared" si="17"/>
        <v/>
      </c>
      <c r="L118" s="3">
        <v>4</v>
      </c>
      <c r="M118" s="6" t="s">
        <v>88</v>
      </c>
      <c r="N118" s="3"/>
      <c r="O118" s="6" t="str">
        <f t="shared" si="18"/>
        <v/>
      </c>
      <c r="P118" s="3">
        <v>4</v>
      </c>
      <c r="Q118" s="6" t="s">
        <v>88</v>
      </c>
      <c r="R118" s="3"/>
      <c r="S118" s="6" t="str">
        <f t="shared" si="19"/>
        <v/>
      </c>
      <c r="T118" s="3">
        <v>4</v>
      </c>
      <c r="U118" s="7" t="s">
        <v>88</v>
      </c>
    </row>
    <row r="119" spans="3:21" x14ac:dyDescent="0.25">
      <c r="C119" s="8" t="str">
        <f t="shared" si="15"/>
        <v/>
      </c>
      <c r="D119" s="3">
        <v>3</v>
      </c>
      <c r="E119" s="6" t="s">
        <v>89</v>
      </c>
      <c r="F119" s="3"/>
      <c r="G119" s="6" t="str">
        <f t="shared" si="16"/>
        <v>+30% Outflow</v>
      </c>
      <c r="H119" s="3">
        <v>3</v>
      </c>
      <c r="I119" s="6" t="s">
        <v>89</v>
      </c>
      <c r="J119" s="3"/>
      <c r="K119" s="6" t="str">
        <f t="shared" si="17"/>
        <v/>
      </c>
      <c r="L119" s="3">
        <v>3</v>
      </c>
      <c r="M119" s="6" t="s">
        <v>89</v>
      </c>
      <c r="N119" s="3"/>
      <c r="O119" s="6" t="str">
        <f t="shared" si="18"/>
        <v/>
      </c>
      <c r="P119" s="3">
        <v>3</v>
      </c>
      <c r="Q119" s="6" t="s">
        <v>89</v>
      </c>
      <c r="R119" s="3"/>
      <c r="S119" s="6" t="str">
        <f t="shared" si="19"/>
        <v/>
      </c>
      <c r="T119" s="3">
        <v>3</v>
      </c>
      <c r="U119" s="7" t="s">
        <v>89</v>
      </c>
    </row>
    <row r="120" spans="3:21" x14ac:dyDescent="0.25">
      <c r="C120" s="8" t="str">
        <f t="shared" si="15"/>
        <v/>
      </c>
      <c r="D120" s="3">
        <v>2</v>
      </c>
      <c r="E120" s="6" t="s">
        <v>90</v>
      </c>
      <c r="F120" s="3"/>
      <c r="G120" s="6" t="str">
        <f t="shared" si="16"/>
        <v/>
      </c>
      <c r="H120" s="3">
        <v>2</v>
      </c>
      <c r="I120" s="6" t="s">
        <v>90</v>
      </c>
      <c r="J120" s="3"/>
      <c r="K120" s="6" t="str">
        <f t="shared" si="17"/>
        <v/>
      </c>
      <c r="L120" s="3">
        <v>2</v>
      </c>
      <c r="M120" s="6" t="s">
        <v>90</v>
      </c>
      <c r="N120" s="3"/>
      <c r="O120" s="6" t="str">
        <f t="shared" si="18"/>
        <v/>
      </c>
      <c r="P120" s="3">
        <v>2</v>
      </c>
      <c r="Q120" s="6" t="s">
        <v>90</v>
      </c>
      <c r="R120" s="3"/>
      <c r="S120" s="6" t="str">
        <f t="shared" si="19"/>
        <v/>
      </c>
      <c r="T120" s="3">
        <v>2</v>
      </c>
      <c r="U120" s="7" t="s">
        <v>90</v>
      </c>
    </row>
    <row r="121" spans="3:21" x14ac:dyDescent="0.25">
      <c r="C121" s="8" t="str">
        <f t="shared" si="15"/>
        <v/>
      </c>
      <c r="D121" s="3">
        <v>1</v>
      </c>
      <c r="E121" s="6" t="s">
        <v>91</v>
      </c>
      <c r="F121" s="3"/>
      <c r="G121" s="6" t="str">
        <f t="shared" si="16"/>
        <v/>
      </c>
      <c r="H121" s="3">
        <v>1</v>
      </c>
      <c r="I121" s="6" t="s">
        <v>91</v>
      </c>
      <c r="J121" s="3"/>
      <c r="K121" s="6" t="str">
        <f t="shared" si="17"/>
        <v/>
      </c>
      <c r="L121" s="3">
        <v>1</v>
      </c>
      <c r="M121" s="6" t="s">
        <v>91</v>
      </c>
      <c r="N121" s="3"/>
      <c r="O121" s="6" t="str">
        <f t="shared" si="18"/>
        <v/>
      </c>
      <c r="P121" s="3">
        <v>1</v>
      </c>
      <c r="Q121" s="6" t="s">
        <v>91</v>
      </c>
      <c r="R121" s="3"/>
      <c r="S121" s="6" t="str">
        <f t="shared" si="19"/>
        <v/>
      </c>
      <c r="T121" s="3">
        <v>1</v>
      </c>
      <c r="U121" s="7" t="s">
        <v>91</v>
      </c>
    </row>
    <row r="122" spans="3:21" ht="60" x14ac:dyDescent="0.25">
      <c r="C122" s="8" t="str">
        <f t="shared" si="15"/>
        <v>Historical Baseline (34%)</v>
      </c>
      <c r="D122" s="3">
        <v>0</v>
      </c>
      <c r="E122" s="6" t="s">
        <v>92</v>
      </c>
      <c r="F122" s="3"/>
      <c r="G122" s="6" t="str">
        <f t="shared" si="16"/>
        <v>Historical Baseline (99%), -10% Outflow</v>
      </c>
      <c r="H122" s="3">
        <v>0</v>
      </c>
      <c r="I122" s="6" t="s">
        <v>92</v>
      </c>
      <c r="J122" s="3"/>
      <c r="K122" s="6" t="str">
        <f t="shared" si="17"/>
        <v>Historical Baseline (34%)</v>
      </c>
      <c r="L122" s="3">
        <v>0</v>
      </c>
      <c r="M122" s="6" t="s">
        <v>92</v>
      </c>
      <c r="N122" s="3"/>
      <c r="O122" s="6" t="str">
        <f t="shared" si="18"/>
        <v>Historical Baseline (0%), +30% Outflow, -10% Outflow</v>
      </c>
      <c r="P122" s="3">
        <v>0</v>
      </c>
      <c r="Q122" s="6" t="s">
        <v>92</v>
      </c>
      <c r="R122" s="3"/>
      <c r="S122" s="6" t="str">
        <f t="shared" si="19"/>
        <v>Historical Baseline (0%), +30% Outflow, -10% Outflow</v>
      </c>
      <c r="T122" s="3">
        <v>0</v>
      </c>
      <c r="U122" s="7" t="s">
        <v>92</v>
      </c>
    </row>
    <row r="123" spans="3:21" ht="30" x14ac:dyDescent="0.25">
      <c r="C123" s="8" t="str">
        <f t="shared" si="15"/>
        <v/>
      </c>
      <c r="D123" s="3">
        <v>-1</v>
      </c>
      <c r="E123" s="6" t="s">
        <v>93</v>
      </c>
      <c r="F123" s="3"/>
      <c r="G123" s="6" t="str">
        <f t="shared" si="16"/>
        <v/>
      </c>
      <c r="H123" s="3">
        <v>-1</v>
      </c>
      <c r="I123" s="6" t="s">
        <v>93</v>
      </c>
      <c r="J123" s="3"/>
      <c r="K123" s="6" t="str">
        <f t="shared" si="17"/>
        <v/>
      </c>
      <c r="L123" s="3">
        <v>-1</v>
      </c>
      <c r="M123" s="6" t="s">
        <v>93</v>
      </c>
      <c r="N123" s="3"/>
      <c r="O123" s="6" t="str">
        <f t="shared" si="18"/>
        <v/>
      </c>
      <c r="P123" s="3">
        <v>-1</v>
      </c>
      <c r="Q123" s="6" t="s">
        <v>93</v>
      </c>
      <c r="R123" s="3"/>
      <c r="S123" s="6" t="str">
        <f t="shared" si="19"/>
        <v/>
      </c>
      <c r="T123" s="3">
        <v>-1</v>
      </c>
      <c r="U123" s="7" t="s">
        <v>93</v>
      </c>
    </row>
    <row r="124" spans="3:21" x14ac:dyDescent="0.25">
      <c r="C124" s="8" t="str">
        <f t="shared" si="15"/>
        <v/>
      </c>
      <c r="D124" s="3">
        <v>-2</v>
      </c>
      <c r="E124" s="6" t="s">
        <v>94</v>
      </c>
      <c r="F124" s="3"/>
      <c r="G124" s="6" t="str">
        <f t="shared" si="16"/>
        <v/>
      </c>
      <c r="H124" s="3">
        <v>-2</v>
      </c>
      <c r="I124" s="6" t="s">
        <v>94</v>
      </c>
      <c r="J124" s="3"/>
      <c r="K124" s="6" t="str">
        <f t="shared" si="17"/>
        <v/>
      </c>
      <c r="L124" s="3">
        <v>-2</v>
      </c>
      <c r="M124" s="6" t="s">
        <v>94</v>
      </c>
      <c r="N124" s="3"/>
      <c r="O124" s="6" t="str">
        <f t="shared" si="18"/>
        <v/>
      </c>
      <c r="P124" s="3">
        <v>-2</v>
      </c>
      <c r="Q124" s="6" t="s">
        <v>94</v>
      </c>
      <c r="R124" s="3"/>
      <c r="S124" s="6" t="str">
        <f t="shared" si="19"/>
        <v/>
      </c>
      <c r="T124" s="3">
        <v>-2</v>
      </c>
      <c r="U124" s="7" t="s">
        <v>94</v>
      </c>
    </row>
    <row r="125" spans="3:21" x14ac:dyDescent="0.25">
      <c r="C125" s="8" t="str">
        <f t="shared" si="15"/>
        <v>-10% Outflow</v>
      </c>
      <c r="D125" s="3">
        <v>-3</v>
      </c>
      <c r="E125" s="6" t="s">
        <v>95</v>
      </c>
      <c r="F125" s="3"/>
      <c r="G125" s="6" t="str">
        <f t="shared" si="16"/>
        <v/>
      </c>
      <c r="H125" s="3">
        <v>-3</v>
      </c>
      <c r="I125" s="6" t="s">
        <v>95</v>
      </c>
      <c r="J125" s="3"/>
      <c r="K125" s="6" t="str">
        <f t="shared" si="17"/>
        <v/>
      </c>
      <c r="L125" s="3">
        <v>-3</v>
      </c>
      <c r="M125" s="6" t="s">
        <v>95</v>
      </c>
      <c r="N125" s="3"/>
      <c r="O125" s="6" t="str">
        <f t="shared" si="18"/>
        <v/>
      </c>
      <c r="P125" s="3">
        <v>-3</v>
      </c>
      <c r="Q125" s="6" t="s">
        <v>95</v>
      </c>
      <c r="R125" s="3"/>
      <c r="S125" s="6" t="str">
        <f t="shared" si="19"/>
        <v/>
      </c>
      <c r="T125" s="3">
        <v>-3</v>
      </c>
      <c r="U125" s="7" t="s">
        <v>95</v>
      </c>
    </row>
    <row r="126" spans="3:21" x14ac:dyDescent="0.25">
      <c r="C126" s="8" t="str">
        <f t="shared" si="15"/>
        <v/>
      </c>
      <c r="D126" s="3">
        <v>-4</v>
      </c>
      <c r="E126" s="6" t="s">
        <v>96</v>
      </c>
      <c r="F126" s="3"/>
      <c r="G126" s="6" t="str">
        <f t="shared" si="16"/>
        <v/>
      </c>
      <c r="H126" s="3">
        <v>-4</v>
      </c>
      <c r="I126" s="6" t="s">
        <v>96</v>
      </c>
      <c r="J126" s="3"/>
      <c r="K126" s="6" t="str">
        <f t="shared" si="17"/>
        <v/>
      </c>
      <c r="L126" s="3">
        <v>-4</v>
      </c>
      <c r="M126" s="6" t="s">
        <v>96</v>
      </c>
      <c r="N126" s="3"/>
      <c r="O126" s="6" t="str">
        <f t="shared" si="18"/>
        <v/>
      </c>
      <c r="P126" s="3">
        <v>-4</v>
      </c>
      <c r="Q126" s="6" t="s">
        <v>96</v>
      </c>
      <c r="R126" s="3"/>
      <c r="S126" s="6" t="str">
        <f t="shared" si="19"/>
        <v/>
      </c>
      <c r="T126" s="3">
        <v>-4</v>
      </c>
      <c r="U126" s="7" t="s">
        <v>96</v>
      </c>
    </row>
    <row r="127" spans="3:21" ht="45.75" thickBot="1" x14ac:dyDescent="0.3">
      <c r="C127" s="34" t="str">
        <f t="shared" si="15"/>
        <v/>
      </c>
      <c r="D127" s="9">
        <v>-5</v>
      </c>
      <c r="E127" s="10" t="s">
        <v>97</v>
      </c>
      <c r="F127" s="9"/>
      <c r="G127" s="10" t="str">
        <f t="shared" si="16"/>
        <v/>
      </c>
      <c r="H127" s="9">
        <v>-5</v>
      </c>
      <c r="I127" s="10" t="s">
        <v>97</v>
      </c>
      <c r="J127" s="9"/>
      <c r="K127" s="10" t="str">
        <f t="shared" si="17"/>
        <v>-10% Outflow</v>
      </c>
      <c r="L127" s="9">
        <v>-5</v>
      </c>
      <c r="M127" s="10" t="s">
        <v>97</v>
      </c>
      <c r="N127" s="9"/>
      <c r="O127" s="10" t="str">
        <f t="shared" si="18"/>
        <v/>
      </c>
      <c r="P127" s="9">
        <v>-5</v>
      </c>
      <c r="Q127" s="10" t="s">
        <v>97</v>
      </c>
      <c r="R127" s="9"/>
      <c r="S127" s="10" t="str">
        <f t="shared" si="19"/>
        <v/>
      </c>
      <c r="T127" s="9">
        <v>-5</v>
      </c>
      <c r="U127" s="11" t="s">
        <v>97</v>
      </c>
    </row>
    <row r="128" spans="3:21" ht="15.75" thickBot="1" x14ac:dyDescent="0.3"/>
    <row r="129" spans="3:21" ht="15.75" thickBot="1" x14ac:dyDescent="0.3">
      <c r="C129" s="107" t="s">
        <v>66</v>
      </c>
      <c r="D129" s="108"/>
      <c r="E129" s="108"/>
      <c r="F129" s="108"/>
      <c r="G129" s="108"/>
      <c r="H129" s="108"/>
      <c r="I129" s="108"/>
      <c r="J129" s="108"/>
      <c r="K129" s="108"/>
      <c r="L129" s="108"/>
      <c r="M129" s="108"/>
      <c r="N129" s="108"/>
      <c r="O129" s="108"/>
      <c r="P129" s="108"/>
      <c r="Q129" s="108"/>
      <c r="R129" s="108"/>
      <c r="S129" s="108"/>
      <c r="T129" s="108"/>
      <c r="U129" s="109"/>
    </row>
    <row r="130" spans="3:21" ht="15.75" thickBot="1" x14ac:dyDescent="0.3">
      <c r="C130" s="101" t="s">
        <v>79</v>
      </c>
      <c r="D130" s="102"/>
      <c r="E130" s="102"/>
      <c r="F130" s="102"/>
      <c r="G130" s="102"/>
      <c r="H130" s="102"/>
      <c r="I130" s="102"/>
      <c r="J130" s="102"/>
      <c r="K130" s="102"/>
      <c r="L130" s="102"/>
      <c r="M130" s="102"/>
      <c r="N130" s="102"/>
      <c r="O130" s="102"/>
      <c r="P130" s="102"/>
      <c r="Q130" s="102"/>
      <c r="R130" s="102"/>
      <c r="S130" s="102"/>
      <c r="T130" s="102"/>
      <c r="U130" s="103"/>
    </row>
    <row r="131" spans="3:21" ht="15.75" thickBot="1" x14ac:dyDescent="0.3">
      <c r="C131" s="98" t="s">
        <v>51</v>
      </c>
      <c r="D131" s="99"/>
      <c r="E131" s="100"/>
      <c r="F131" s="3"/>
      <c r="G131" s="98" t="s">
        <v>33</v>
      </c>
      <c r="H131" s="99"/>
      <c r="I131" s="100"/>
      <c r="J131" s="3"/>
      <c r="K131" s="98" t="s">
        <v>34</v>
      </c>
      <c r="L131" s="99"/>
      <c r="M131" s="100"/>
      <c r="N131" s="3"/>
      <c r="O131" s="98" t="s">
        <v>35</v>
      </c>
      <c r="P131" s="99"/>
      <c r="Q131" s="100"/>
      <c r="R131" s="3"/>
      <c r="S131" s="98" t="s">
        <v>36</v>
      </c>
      <c r="T131" s="99"/>
      <c r="U131" s="100"/>
    </row>
    <row r="132" spans="3:21" x14ac:dyDescent="0.25">
      <c r="C132" s="4" t="s">
        <v>84</v>
      </c>
      <c r="D132" s="3" t="s">
        <v>85</v>
      </c>
      <c r="E132" s="3" t="s">
        <v>86</v>
      </c>
      <c r="F132" s="3"/>
      <c r="G132" s="3" t="s">
        <v>84</v>
      </c>
      <c r="H132" s="3" t="s">
        <v>85</v>
      </c>
      <c r="I132" s="3" t="s">
        <v>86</v>
      </c>
      <c r="J132" s="3"/>
      <c r="K132" s="3" t="s">
        <v>84</v>
      </c>
      <c r="L132" s="3" t="s">
        <v>85</v>
      </c>
      <c r="M132" s="3" t="s">
        <v>86</v>
      </c>
      <c r="N132" s="3"/>
      <c r="O132" s="3" t="s">
        <v>84</v>
      </c>
      <c r="P132" s="3" t="s">
        <v>85</v>
      </c>
      <c r="Q132" s="3" t="s">
        <v>86</v>
      </c>
      <c r="R132" s="3"/>
      <c r="S132" s="3" t="s">
        <v>84</v>
      </c>
      <c r="T132" s="3" t="s">
        <v>85</v>
      </c>
      <c r="U132" s="5" t="s">
        <v>86</v>
      </c>
    </row>
    <row r="133" spans="3:21" ht="45" x14ac:dyDescent="0.25">
      <c r="C133" s="8" t="str">
        <f t="shared" ref="C133:C143" si="20">_xlfn.TEXTJOIN(", ",TRUE,IF($K$10=D133,$K$9&amp;" ("&amp;TEXT($I$40,"0%")&amp;")",""),IF($L$10=D133,$L$9,""),IF($M$10=D133,$M$9,""))</f>
        <v>+30% Outflow</v>
      </c>
      <c r="D133" s="3">
        <v>5</v>
      </c>
      <c r="E133" s="6" t="s">
        <v>87</v>
      </c>
      <c r="F133" s="3"/>
      <c r="G133" s="6" t="str">
        <f t="shared" ref="G133:G143" si="21">_xlfn.TEXTJOIN(", ",TRUE,IF($K$11=H133,$K$9&amp;" ("&amp;TEXT($J$40,"0%")&amp;")",""),IF($L$11=H133,$L$9,""),IF($M$11=H133,$M$9,""))</f>
        <v>+30% Outflow</v>
      </c>
      <c r="H133" s="3">
        <v>5</v>
      </c>
      <c r="I133" s="6" t="s">
        <v>87</v>
      </c>
      <c r="J133" s="3"/>
      <c r="K133" s="6" t="str">
        <f t="shared" ref="K133:K143" si="22">_xlfn.TEXTJOIN(", ",TRUE,IF($K$12=L133,$K$9&amp;" ("&amp;TEXT($K$40,"0%")&amp;")",""),IF($L$12=L133,$L$9,""),IF($M$12=L133,$M$9,""))</f>
        <v>+30% Outflow</v>
      </c>
      <c r="L133" s="3">
        <v>5</v>
      </c>
      <c r="M133" s="6" t="s">
        <v>87</v>
      </c>
      <c r="N133" s="3"/>
      <c r="O133" s="6" t="str">
        <f t="shared" ref="O133:O143" si="23">_xlfn.TEXTJOIN(", ",TRUE,IF($K$13=P133,$K$9&amp;" ("&amp;TEXT($L$40,"0%")&amp;")",""),IF($L$13=P133,$L$9,""),IF($M$13=P133,$M$9,""))</f>
        <v/>
      </c>
      <c r="P133" s="3">
        <v>5</v>
      </c>
      <c r="Q133" s="6" t="s">
        <v>87</v>
      </c>
      <c r="R133" s="3"/>
      <c r="S133" s="6" t="str">
        <f t="shared" ref="S133:S143" si="24">_xlfn.TEXTJOIN(", ",TRUE,IF($K$14=T133,$K$9&amp;" ("&amp;TEXT($M$40,"0%")&amp;")",""),IF($L$14=T133,$L$9,""),IF($M$14=T133,$M$9,""))</f>
        <v/>
      </c>
      <c r="T133" s="3">
        <v>5</v>
      </c>
      <c r="U133" s="7" t="s">
        <v>87</v>
      </c>
    </row>
    <row r="134" spans="3:21" x14ac:dyDescent="0.25">
      <c r="C134" s="8" t="str">
        <f t="shared" si="20"/>
        <v/>
      </c>
      <c r="D134" s="3">
        <v>4</v>
      </c>
      <c r="E134" s="6" t="s">
        <v>88</v>
      </c>
      <c r="F134" s="3"/>
      <c r="G134" s="6" t="str">
        <f t="shared" si="21"/>
        <v/>
      </c>
      <c r="H134" s="3">
        <v>4</v>
      </c>
      <c r="I134" s="6" t="s">
        <v>88</v>
      </c>
      <c r="J134" s="3"/>
      <c r="K134" s="6" t="str">
        <f t="shared" si="22"/>
        <v/>
      </c>
      <c r="L134" s="3">
        <v>4</v>
      </c>
      <c r="M134" s="6" t="s">
        <v>88</v>
      </c>
      <c r="N134" s="3"/>
      <c r="O134" s="6" t="str">
        <f t="shared" si="23"/>
        <v/>
      </c>
      <c r="P134" s="3">
        <v>4</v>
      </c>
      <c r="Q134" s="6" t="s">
        <v>88</v>
      </c>
      <c r="R134" s="3"/>
      <c r="S134" s="6" t="str">
        <f t="shared" si="24"/>
        <v/>
      </c>
      <c r="T134" s="3">
        <v>4</v>
      </c>
      <c r="U134" s="7" t="s">
        <v>88</v>
      </c>
    </row>
    <row r="135" spans="3:21" x14ac:dyDescent="0.25">
      <c r="C135" s="8" t="str">
        <f t="shared" si="20"/>
        <v/>
      </c>
      <c r="D135" s="3">
        <v>3</v>
      </c>
      <c r="E135" s="6" t="s">
        <v>89</v>
      </c>
      <c r="F135" s="3"/>
      <c r="G135" s="6" t="str">
        <f t="shared" si="21"/>
        <v/>
      </c>
      <c r="H135" s="3">
        <v>3</v>
      </c>
      <c r="I135" s="6" t="s">
        <v>89</v>
      </c>
      <c r="J135" s="3"/>
      <c r="K135" s="6" t="str">
        <f t="shared" si="22"/>
        <v/>
      </c>
      <c r="L135" s="3">
        <v>3</v>
      </c>
      <c r="M135" s="6" t="s">
        <v>89</v>
      </c>
      <c r="N135" s="3"/>
      <c r="O135" s="6" t="str">
        <f t="shared" si="23"/>
        <v/>
      </c>
      <c r="P135" s="3">
        <v>3</v>
      </c>
      <c r="Q135" s="6" t="s">
        <v>89</v>
      </c>
      <c r="R135" s="3"/>
      <c r="S135" s="6" t="str">
        <f t="shared" si="24"/>
        <v/>
      </c>
      <c r="T135" s="3">
        <v>3</v>
      </c>
      <c r="U135" s="7" t="s">
        <v>89</v>
      </c>
    </row>
    <row r="136" spans="3:21" x14ac:dyDescent="0.25">
      <c r="C136" s="8" t="str">
        <f t="shared" si="20"/>
        <v/>
      </c>
      <c r="D136" s="3">
        <v>2</v>
      </c>
      <c r="E136" s="6" t="s">
        <v>90</v>
      </c>
      <c r="F136" s="3"/>
      <c r="G136" s="6" t="str">
        <f t="shared" si="21"/>
        <v/>
      </c>
      <c r="H136" s="3">
        <v>2</v>
      </c>
      <c r="I136" s="6" t="s">
        <v>90</v>
      </c>
      <c r="J136" s="3"/>
      <c r="K136" s="6" t="str">
        <f t="shared" si="22"/>
        <v/>
      </c>
      <c r="L136" s="3">
        <v>2</v>
      </c>
      <c r="M136" s="6" t="s">
        <v>90</v>
      </c>
      <c r="N136" s="3"/>
      <c r="O136" s="6" t="str">
        <f t="shared" si="23"/>
        <v/>
      </c>
      <c r="P136" s="3">
        <v>2</v>
      </c>
      <c r="Q136" s="6" t="s">
        <v>90</v>
      </c>
      <c r="R136" s="3"/>
      <c r="S136" s="6" t="str">
        <f t="shared" si="24"/>
        <v/>
      </c>
      <c r="T136" s="3">
        <v>2</v>
      </c>
      <c r="U136" s="7" t="s">
        <v>90</v>
      </c>
    </row>
    <row r="137" spans="3:21" x14ac:dyDescent="0.25">
      <c r="C137" s="8" t="str">
        <f t="shared" si="20"/>
        <v/>
      </c>
      <c r="D137" s="3">
        <v>1</v>
      </c>
      <c r="E137" s="6" t="s">
        <v>91</v>
      </c>
      <c r="F137" s="3"/>
      <c r="G137" s="6" t="str">
        <f t="shared" si="21"/>
        <v/>
      </c>
      <c r="H137" s="3">
        <v>1</v>
      </c>
      <c r="I137" s="6" t="s">
        <v>91</v>
      </c>
      <c r="J137" s="3"/>
      <c r="K137" s="6" t="str">
        <f t="shared" si="22"/>
        <v/>
      </c>
      <c r="L137" s="3">
        <v>1</v>
      </c>
      <c r="M137" s="6" t="s">
        <v>91</v>
      </c>
      <c r="N137" s="3"/>
      <c r="O137" s="6" t="str">
        <f t="shared" si="23"/>
        <v/>
      </c>
      <c r="P137" s="3">
        <v>1</v>
      </c>
      <c r="Q137" s="6" t="s">
        <v>91</v>
      </c>
      <c r="R137" s="3"/>
      <c r="S137" s="6" t="str">
        <f t="shared" si="24"/>
        <v/>
      </c>
      <c r="T137" s="3">
        <v>1</v>
      </c>
      <c r="U137" s="7" t="s">
        <v>91</v>
      </c>
    </row>
    <row r="138" spans="3:21" ht="60" x14ac:dyDescent="0.25">
      <c r="C138" s="8" t="str">
        <f t="shared" si="20"/>
        <v>Historical Baseline (34%)</v>
      </c>
      <c r="D138" s="3">
        <v>0</v>
      </c>
      <c r="E138" s="6" t="s">
        <v>92</v>
      </c>
      <c r="F138" s="3"/>
      <c r="G138" s="6" t="str">
        <f t="shared" si="21"/>
        <v>Historical Baseline (99%), -10% Outflow</v>
      </c>
      <c r="H138" s="3">
        <v>0</v>
      </c>
      <c r="I138" s="6" t="s">
        <v>92</v>
      </c>
      <c r="J138" s="3"/>
      <c r="K138" s="6" t="str">
        <f t="shared" si="22"/>
        <v>Historical Baseline (32%)</v>
      </c>
      <c r="L138" s="3">
        <v>0</v>
      </c>
      <c r="M138" s="6" t="s">
        <v>92</v>
      </c>
      <c r="N138" s="3"/>
      <c r="O138" s="6" t="str">
        <f t="shared" si="23"/>
        <v>Historical Baseline (0%), +30% Outflow, -10% Outflow</v>
      </c>
      <c r="P138" s="3">
        <v>0</v>
      </c>
      <c r="Q138" s="6" t="s">
        <v>92</v>
      </c>
      <c r="R138" s="3"/>
      <c r="S138" s="6" t="str">
        <f t="shared" si="24"/>
        <v>Historical Baseline (0%), +30% Outflow, -10% Outflow</v>
      </c>
      <c r="T138" s="3">
        <v>0</v>
      </c>
      <c r="U138" s="7" t="s">
        <v>92</v>
      </c>
    </row>
    <row r="139" spans="3:21" ht="30" x14ac:dyDescent="0.25">
      <c r="C139" s="8" t="str">
        <f t="shared" si="20"/>
        <v/>
      </c>
      <c r="D139" s="3">
        <v>-1</v>
      </c>
      <c r="E139" s="6" t="s">
        <v>93</v>
      </c>
      <c r="F139" s="3"/>
      <c r="G139" s="6" t="str">
        <f t="shared" si="21"/>
        <v/>
      </c>
      <c r="H139" s="3">
        <v>-1</v>
      </c>
      <c r="I139" s="6" t="s">
        <v>93</v>
      </c>
      <c r="J139" s="3"/>
      <c r="K139" s="6" t="str">
        <f t="shared" si="22"/>
        <v/>
      </c>
      <c r="L139" s="3">
        <v>-1</v>
      </c>
      <c r="M139" s="6" t="s">
        <v>93</v>
      </c>
      <c r="N139" s="3"/>
      <c r="O139" s="6" t="str">
        <f t="shared" si="23"/>
        <v/>
      </c>
      <c r="P139" s="3">
        <v>-1</v>
      </c>
      <c r="Q139" s="6" t="s">
        <v>93</v>
      </c>
      <c r="R139" s="3"/>
      <c r="S139" s="6" t="str">
        <f t="shared" si="24"/>
        <v/>
      </c>
      <c r="T139" s="3">
        <v>-1</v>
      </c>
      <c r="U139" s="7" t="s">
        <v>93</v>
      </c>
    </row>
    <row r="140" spans="3:21" x14ac:dyDescent="0.25">
      <c r="C140" s="8" t="str">
        <f t="shared" si="20"/>
        <v/>
      </c>
      <c r="D140" s="3">
        <v>-2</v>
      </c>
      <c r="E140" s="6" t="s">
        <v>94</v>
      </c>
      <c r="F140" s="3"/>
      <c r="G140" s="6" t="str">
        <f t="shared" si="21"/>
        <v/>
      </c>
      <c r="H140" s="3">
        <v>-2</v>
      </c>
      <c r="I140" s="6" t="s">
        <v>94</v>
      </c>
      <c r="J140" s="3"/>
      <c r="K140" s="6" t="str">
        <f t="shared" si="22"/>
        <v/>
      </c>
      <c r="L140" s="3">
        <v>-2</v>
      </c>
      <c r="M140" s="6" t="s">
        <v>94</v>
      </c>
      <c r="N140" s="3"/>
      <c r="O140" s="6" t="str">
        <f t="shared" si="23"/>
        <v/>
      </c>
      <c r="P140" s="3">
        <v>-2</v>
      </c>
      <c r="Q140" s="6" t="s">
        <v>94</v>
      </c>
      <c r="R140" s="3"/>
      <c r="S140" s="6" t="str">
        <f t="shared" si="24"/>
        <v/>
      </c>
      <c r="T140" s="3">
        <v>-2</v>
      </c>
      <c r="U140" s="7" t="s">
        <v>94</v>
      </c>
    </row>
    <row r="141" spans="3:21" x14ac:dyDescent="0.25">
      <c r="C141" s="8" t="str">
        <f t="shared" si="20"/>
        <v>-10% Outflow</v>
      </c>
      <c r="D141" s="3">
        <v>-3</v>
      </c>
      <c r="E141" s="6" t="s">
        <v>95</v>
      </c>
      <c r="F141" s="3"/>
      <c r="G141" s="6" t="str">
        <f t="shared" si="21"/>
        <v/>
      </c>
      <c r="H141" s="3">
        <v>-3</v>
      </c>
      <c r="I141" s="6" t="s">
        <v>95</v>
      </c>
      <c r="J141" s="3"/>
      <c r="K141" s="6" t="str">
        <f t="shared" si="22"/>
        <v/>
      </c>
      <c r="L141" s="3">
        <v>-3</v>
      </c>
      <c r="M141" s="6" t="s">
        <v>95</v>
      </c>
      <c r="N141" s="3"/>
      <c r="O141" s="6" t="str">
        <f t="shared" si="23"/>
        <v/>
      </c>
      <c r="P141" s="3">
        <v>-3</v>
      </c>
      <c r="Q141" s="6" t="s">
        <v>95</v>
      </c>
      <c r="R141" s="3"/>
      <c r="S141" s="6" t="str">
        <f t="shared" si="24"/>
        <v/>
      </c>
      <c r="T141" s="3">
        <v>-3</v>
      </c>
      <c r="U141" s="7" t="s">
        <v>95</v>
      </c>
    </row>
    <row r="142" spans="3:21" x14ac:dyDescent="0.25">
      <c r="C142" s="8" t="str">
        <f t="shared" si="20"/>
        <v/>
      </c>
      <c r="D142" s="3">
        <v>-4</v>
      </c>
      <c r="E142" s="6" t="s">
        <v>96</v>
      </c>
      <c r="F142" s="3"/>
      <c r="G142" s="6" t="str">
        <f t="shared" si="21"/>
        <v/>
      </c>
      <c r="H142" s="3">
        <v>-4</v>
      </c>
      <c r="I142" s="6" t="s">
        <v>96</v>
      </c>
      <c r="J142" s="3"/>
      <c r="K142" s="6" t="str">
        <f t="shared" si="22"/>
        <v/>
      </c>
      <c r="L142" s="3">
        <v>-4</v>
      </c>
      <c r="M142" s="6" t="s">
        <v>96</v>
      </c>
      <c r="N142" s="3"/>
      <c r="O142" s="6" t="str">
        <f t="shared" si="23"/>
        <v/>
      </c>
      <c r="P142" s="3">
        <v>-4</v>
      </c>
      <c r="Q142" s="6" t="s">
        <v>96</v>
      </c>
      <c r="R142" s="3"/>
      <c r="S142" s="6" t="str">
        <f t="shared" si="24"/>
        <v/>
      </c>
      <c r="T142" s="3">
        <v>-4</v>
      </c>
      <c r="U142" s="7" t="s">
        <v>96</v>
      </c>
    </row>
    <row r="143" spans="3:21" ht="45.75" thickBot="1" x14ac:dyDescent="0.3">
      <c r="C143" s="34" t="str">
        <f t="shared" si="20"/>
        <v/>
      </c>
      <c r="D143" s="9">
        <v>-5</v>
      </c>
      <c r="E143" s="10" t="s">
        <v>97</v>
      </c>
      <c r="F143" s="9"/>
      <c r="G143" s="10" t="str">
        <f t="shared" si="21"/>
        <v/>
      </c>
      <c r="H143" s="9">
        <v>-5</v>
      </c>
      <c r="I143" s="10" t="s">
        <v>97</v>
      </c>
      <c r="J143" s="9"/>
      <c r="K143" s="10" t="str">
        <f t="shared" si="22"/>
        <v>-10% Outflow</v>
      </c>
      <c r="L143" s="9">
        <v>-5</v>
      </c>
      <c r="M143" s="10" t="s">
        <v>97</v>
      </c>
      <c r="N143" s="9"/>
      <c r="O143" s="10" t="str">
        <f t="shared" si="23"/>
        <v/>
      </c>
      <c r="P143" s="9">
        <v>-5</v>
      </c>
      <c r="Q143" s="10" t="s">
        <v>97</v>
      </c>
      <c r="R143" s="9"/>
      <c r="S143" s="10" t="str">
        <f t="shared" si="24"/>
        <v/>
      </c>
      <c r="T143" s="9">
        <v>-5</v>
      </c>
      <c r="U143" s="11" t="s">
        <v>97</v>
      </c>
    </row>
    <row r="144" spans="3:21" ht="15.75" thickBot="1" x14ac:dyDescent="0.3"/>
    <row r="145" spans="3:21" ht="15.75" thickBot="1" x14ac:dyDescent="0.3">
      <c r="C145" s="107" t="s">
        <v>66</v>
      </c>
      <c r="D145" s="108"/>
      <c r="E145" s="108"/>
      <c r="F145" s="108"/>
      <c r="G145" s="108"/>
      <c r="H145" s="108"/>
      <c r="I145" s="108"/>
      <c r="J145" s="108"/>
      <c r="K145" s="108"/>
      <c r="L145" s="108"/>
      <c r="M145" s="108"/>
      <c r="N145" s="108"/>
      <c r="O145" s="108"/>
      <c r="P145" s="108"/>
      <c r="Q145" s="108"/>
      <c r="R145" s="108"/>
      <c r="S145" s="108"/>
      <c r="T145" s="108"/>
      <c r="U145" s="109"/>
    </row>
    <row r="146" spans="3:21" ht="15.75" thickBot="1" x14ac:dyDescent="0.3">
      <c r="C146" s="95" t="s">
        <v>80</v>
      </c>
      <c r="D146" s="96"/>
      <c r="E146" s="96"/>
      <c r="F146" s="96"/>
      <c r="G146" s="96"/>
      <c r="H146" s="96"/>
      <c r="I146" s="96"/>
      <c r="J146" s="96"/>
      <c r="K146" s="96"/>
      <c r="L146" s="96"/>
      <c r="M146" s="96"/>
      <c r="N146" s="96"/>
      <c r="O146" s="96"/>
      <c r="P146" s="96"/>
      <c r="Q146" s="96"/>
      <c r="R146" s="96"/>
      <c r="S146" s="96"/>
      <c r="T146" s="96"/>
      <c r="U146" s="97"/>
    </row>
    <row r="147" spans="3:21" ht="15.75" thickBot="1" x14ac:dyDescent="0.3">
      <c r="C147" s="98" t="s">
        <v>51</v>
      </c>
      <c r="D147" s="99"/>
      <c r="E147" s="100"/>
      <c r="F147" s="3"/>
      <c r="G147" s="98" t="s">
        <v>33</v>
      </c>
      <c r="H147" s="99"/>
      <c r="I147" s="100"/>
      <c r="J147" s="3"/>
      <c r="K147" s="98" t="s">
        <v>34</v>
      </c>
      <c r="L147" s="99"/>
      <c r="M147" s="100"/>
      <c r="N147" s="3"/>
      <c r="O147" s="98" t="s">
        <v>35</v>
      </c>
      <c r="P147" s="99"/>
      <c r="Q147" s="100"/>
      <c r="R147" s="3"/>
      <c r="S147" s="98" t="s">
        <v>36</v>
      </c>
      <c r="T147" s="99"/>
      <c r="U147" s="100"/>
    </row>
    <row r="148" spans="3:21" x14ac:dyDescent="0.25">
      <c r="C148" s="4" t="s">
        <v>84</v>
      </c>
      <c r="D148" s="3" t="s">
        <v>85</v>
      </c>
      <c r="E148" s="3" t="s">
        <v>86</v>
      </c>
      <c r="F148" s="3"/>
      <c r="G148" s="3" t="s">
        <v>84</v>
      </c>
      <c r="H148" s="3" t="s">
        <v>85</v>
      </c>
      <c r="I148" s="3" t="s">
        <v>86</v>
      </c>
      <c r="J148" s="3"/>
      <c r="K148" s="3" t="s">
        <v>84</v>
      </c>
      <c r="L148" s="3" t="s">
        <v>85</v>
      </c>
      <c r="M148" s="3" t="s">
        <v>86</v>
      </c>
      <c r="N148" s="3"/>
      <c r="O148" s="3" t="s">
        <v>84</v>
      </c>
      <c r="P148" s="3" t="s">
        <v>85</v>
      </c>
      <c r="Q148" s="3" t="s">
        <v>86</v>
      </c>
      <c r="R148" s="3"/>
      <c r="S148" s="3" t="s">
        <v>84</v>
      </c>
      <c r="T148" s="3" t="s">
        <v>85</v>
      </c>
      <c r="U148" s="5" t="s">
        <v>86</v>
      </c>
    </row>
    <row r="149" spans="3:21" ht="45" x14ac:dyDescent="0.25">
      <c r="C149" s="8" t="str">
        <f t="shared" ref="C149:C159" si="25">_xlfn.TEXTJOIN(", ",TRUE,IF($Q$10=D149,$Q$9&amp;" ("&amp;TEXT($N$40,"0%")&amp;")",""),IF($R$10=D149,$R$9,""),IF($S$10=D149,$S$9,""))</f>
        <v/>
      </c>
      <c r="D149" s="3">
        <v>5</v>
      </c>
      <c r="E149" s="6" t="s">
        <v>87</v>
      </c>
      <c r="F149" s="3"/>
      <c r="G149" s="6" t="str">
        <f t="shared" ref="G149:G159" si="26">_xlfn.TEXTJOIN(", ",TRUE,IF($Q$11=H149,$Q$9&amp;" ("&amp;TEXT($O$40,"0%")&amp;")",""),IF($R$11=H149,$R$9,""),IF($S$11=H149,$S$9,""))</f>
        <v/>
      </c>
      <c r="H149" s="3">
        <v>5</v>
      </c>
      <c r="I149" s="6" t="s">
        <v>87</v>
      </c>
      <c r="J149" s="3"/>
      <c r="K149" s="6" t="str">
        <f t="shared" ref="K149:K159" si="27">_xlfn.TEXTJOIN(", ",TRUE,IF($Q$12=L149,$Q$9&amp;" ("&amp;TEXT($P$40,"0%")&amp;")",""),IF($R$12=L149,$R$9,""),IF($S$12=L149,$S$9,""))</f>
        <v>+30% Outflow</v>
      </c>
      <c r="L149" s="3">
        <v>5</v>
      </c>
      <c r="M149" s="6" t="s">
        <v>87</v>
      </c>
      <c r="N149" s="3"/>
      <c r="O149" s="6" t="str">
        <f t="shared" ref="O149:O159" si="28">_xlfn.TEXTJOIN(", ",TRUE,IF($Q$13=P149,$Q$9&amp;" ("&amp;TEXT($Q$40,"0%")&amp;")",""),IF($R$13=P149,$R$9,""),IF($S$13=P149,$S$9,""))</f>
        <v/>
      </c>
      <c r="P149" s="3">
        <v>5</v>
      </c>
      <c r="Q149" s="6" t="s">
        <v>87</v>
      </c>
      <c r="R149" s="3"/>
      <c r="S149" s="6" t="str">
        <f t="shared" ref="S149:S159" si="29">_xlfn.TEXTJOIN(", ",TRUE,IF($Q$14=T149,$Q$9&amp;" ("&amp;TEXT($R$40,"0%")&amp;")",""),IF($R$14=T149,$R$9,""),IF($S$14=T149,$S$9,""))</f>
        <v/>
      </c>
      <c r="T149" s="3">
        <v>5</v>
      </c>
      <c r="U149" s="7" t="s">
        <v>87</v>
      </c>
    </row>
    <row r="150" spans="3:21" x14ac:dyDescent="0.25">
      <c r="C150" s="8" t="str">
        <f t="shared" si="25"/>
        <v/>
      </c>
      <c r="D150" s="3">
        <v>4</v>
      </c>
      <c r="E150" s="6" t="s">
        <v>88</v>
      </c>
      <c r="F150" s="3"/>
      <c r="G150" s="6" t="str">
        <f t="shared" si="26"/>
        <v/>
      </c>
      <c r="H150" s="3">
        <v>4</v>
      </c>
      <c r="I150" s="6" t="s">
        <v>88</v>
      </c>
      <c r="J150" s="3"/>
      <c r="K150" s="6" t="str">
        <f t="shared" si="27"/>
        <v/>
      </c>
      <c r="L150" s="3">
        <v>4</v>
      </c>
      <c r="M150" s="6" t="s">
        <v>88</v>
      </c>
      <c r="N150" s="3"/>
      <c r="O150" s="6" t="str">
        <f t="shared" si="28"/>
        <v/>
      </c>
      <c r="P150" s="3">
        <v>4</v>
      </c>
      <c r="Q150" s="6" t="s">
        <v>88</v>
      </c>
      <c r="R150" s="3"/>
      <c r="S150" s="6" t="str">
        <f t="shared" si="29"/>
        <v/>
      </c>
      <c r="T150" s="3">
        <v>4</v>
      </c>
      <c r="U150" s="7" t="s">
        <v>88</v>
      </c>
    </row>
    <row r="151" spans="3:21" x14ac:dyDescent="0.25">
      <c r="C151" s="8" t="str">
        <f t="shared" si="25"/>
        <v>+30% Outflow</v>
      </c>
      <c r="D151" s="3">
        <v>3</v>
      </c>
      <c r="E151" s="6" t="s">
        <v>89</v>
      </c>
      <c r="F151" s="3"/>
      <c r="G151" s="6" t="str">
        <f t="shared" si="26"/>
        <v/>
      </c>
      <c r="H151" s="3">
        <v>3</v>
      </c>
      <c r="I151" s="6" t="s">
        <v>89</v>
      </c>
      <c r="J151" s="3"/>
      <c r="K151" s="6" t="str">
        <f t="shared" si="27"/>
        <v/>
      </c>
      <c r="L151" s="3">
        <v>3</v>
      </c>
      <c r="M151" s="6" t="s">
        <v>89</v>
      </c>
      <c r="N151" s="3"/>
      <c r="O151" s="6" t="str">
        <f t="shared" si="28"/>
        <v/>
      </c>
      <c r="P151" s="3">
        <v>3</v>
      </c>
      <c r="Q151" s="6" t="s">
        <v>89</v>
      </c>
      <c r="R151" s="3"/>
      <c r="S151" s="6" t="str">
        <f t="shared" si="29"/>
        <v/>
      </c>
      <c r="T151" s="3">
        <v>3</v>
      </c>
      <c r="U151" s="7" t="s">
        <v>89</v>
      </c>
    </row>
    <row r="152" spans="3:21" x14ac:dyDescent="0.25">
      <c r="C152" s="8" t="str">
        <f t="shared" si="25"/>
        <v/>
      </c>
      <c r="D152" s="3">
        <v>2</v>
      </c>
      <c r="E152" s="6" t="s">
        <v>90</v>
      </c>
      <c r="F152" s="3"/>
      <c r="G152" s="6" t="str">
        <f t="shared" si="26"/>
        <v/>
      </c>
      <c r="H152" s="3">
        <v>2</v>
      </c>
      <c r="I152" s="6" t="s">
        <v>90</v>
      </c>
      <c r="J152" s="3"/>
      <c r="K152" s="6" t="str">
        <f t="shared" si="27"/>
        <v/>
      </c>
      <c r="L152" s="3">
        <v>2</v>
      </c>
      <c r="M152" s="6" t="s">
        <v>90</v>
      </c>
      <c r="N152" s="3"/>
      <c r="O152" s="6" t="str">
        <f t="shared" si="28"/>
        <v/>
      </c>
      <c r="P152" s="3">
        <v>2</v>
      </c>
      <c r="Q152" s="6" t="s">
        <v>90</v>
      </c>
      <c r="R152" s="3"/>
      <c r="S152" s="6" t="str">
        <f t="shared" si="29"/>
        <v/>
      </c>
      <c r="T152" s="3">
        <v>2</v>
      </c>
      <c r="U152" s="7" t="s">
        <v>90</v>
      </c>
    </row>
    <row r="153" spans="3:21" x14ac:dyDescent="0.25">
      <c r="C153" s="8" t="str">
        <f t="shared" si="25"/>
        <v/>
      </c>
      <c r="D153" s="3">
        <v>1</v>
      </c>
      <c r="E153" s="6" t="s">
        <v>91</v>
      </c>
      <c r="F153" s="3"/>
      <c r="G153" s="6" t="str">
        <f t="shared" si="26"/>
        <v/>
      </c>
      <c r="H153" s="3">
        <v>1</v>
      </c>
      <c r="I153" s="6" t="s">
        <v>91</v>
      </c>
      <c r="J153" s="3"/>
      <c r="K153" s="6" t="str">
        <f t="shared" si="27"/>
        <v/>
      </c>
      <c r="L153" s="3">
        <v>1</v>
      </c>
      <c r="M153" s="6" t="s">
        <v>91</v>
      </c>
      <c r="N153" s="3"/>
      <c r="O153" s="6" t="str">
        <f t="shared" si="28"/>
        <v/>
      </c>
      <c r="P153" s="3">
        <v>1</v>
      </c>
      <c r="Q153" s="6" t="s">
        <v>91</v>
      </c>
      <c r="R153" s="3"/>
      <c r="S153" s="6" t="str">
        <f t="shared" si="29"/>
        <v/>
      </c>
      <c r="T153" s="3">
        <v>1</v>
      </c>
      <c r="U153" s="7" t="s">
        <v>91</v>
      </c>
    </row>
    <row r="154" spans="3:21" ht="75" x14ac:dyDescent="0.25">
      <c r="C154" s="8" t="str">
        <f t="shared" si="25"/>
        <v>Historical Baseline (35%)</v>
      </c>
      <c r="D154" s="3">
        <v>0</v>
      </c>
      <c r="E154" s="6" t="s">
        <v>92</v>
      </c>
      <c r="F154" s="3"/>
      <c r="G154" s="6" t="str">
        <f t="shared" si="26"/>
        <v>Historical Baseline (100%), +30% Outflow, -10% Outflow</v>
      </c>
      <c r="H154" s="3">
        <v>0</v>
      </c>
      <c r="I154" s="6" t="s">
        <v>92</v>
      </c>
      <c r="J154" s="3"/>
      <c r="K154" s="6" t="str">
        <f t="shared" si="27"/>
        <v>Historical Baseline (37%)</v>
      </c>
      <c r="L154" s="3">
        <v>0</v>
      </c>
      <c r="M154" s="6" t="s">
        <v>92</v>
      </c>
      <c r="N154" s="3"/>
      <c r="O154" s="6" t="str">
        <f t="shared" si="28"/>
        <v>Historical Baseline (0%), +30% Outflow, -10% Outflow</v>
      </c>
      <c r="P154" s="3">
        <v>0</v>
      </c>
      <c r="Q154" s="6" t="s">
        <v>92</v>
      </c>
      <c r="R154" s="3"/>
      <c r="S154" s="6" t="str">
        <f t="shared" si="29"/>
        <v>Historical Baseline (0%), +30% Outflow, -10% Outflow</v>
      </c>
      <c r="T154" s="3">
        <v>0</v>
      </c>
      <c r="U154" s="7" t="s">
        <v>92</v>
      </c>
    </row>
    <row r="155" spans="3:21" ht="30" x14ac:dyDescent="0.25">
      <c r="C155" s="8" t="str">
        <f t="shared" si="25"/>
        <v/>
      </c>
      <c r="D155" s="3">
        <v>-1</v>
      </c>
      <c r="E155" s="6" t="s">
        <v>93</v>
      </c>
      <c r="F155" s="3"/>
      <c r="G155" s="6" t="str">
        <f t="shared" si="26"/>
        <v/>
      </c>
      <c r="H155" s="3">
        <v>-1</v>
      </c>
      <c r="I155" s="6" t="s">
        <v>93</v>
      </c>
      <c r="J155" s="3"/>
      <c r="K155" s="6" t="str">
        <f t="shared" si="27"/>
        <v/>
      </c>
      <c r="L155" s="3">
        <v>-1</v>
      </c>
      <c r="M155" s="6" t="s">
        <v>93</v>
      </c>
      <c r="N155" s="3"/>
      <c r="O155" s="6" t="str">
        <f t="shared" si="28"/>
        <v/>
      </c>
      <c r="P155" s="3">
        <v>-1</v>
      </c>
      <c r="Q155" s="6" t="s">
        <v>93</v>
      </c>
      <c r="R155" s="3"/>
      <c r="S155" s="6" t="str">
        <f t="shared" si="29"/>
        <v/>
      </c>
      <c r="T155" s="3">
        <v>-1</v>
      </c>
      <c r="U155" s="7" t="s">
        <v>93</v>
      </c>
    </row>
    <row r="156" spans="3:21" x14ac:dyDescent="0.25">
      <c r="C156" s="8" t="str">
        <f t="shared" si="25"/>
        <v/>
      </c>
      <c r="D156" s="3">
        <v>-2</v>
      </c>
      <c r="E156" s="6" t="s">
        <v>94</v>
      </c>
      <c r="F156" s="3"/>
      <c r="G156" s="6" t="str">
        <f t="shared" si="26"/>
        <v/>
      </c>
      <c r="H156" s="3">
        <v>-2</v>
      </c>
      <c r="I156" s="6" t="s">
        <v>94</v>
      </c>
      <c r="J156" s="3"/>
      <c r="K156" s="6" t="str">
        <f t="shared" si="27"/>
        <v/>
      </c>
      <c r="L156" s="3">
        <v>-2</v>
      </c>
      <c r="M156" s="6" t="s">
        <v>94</v>
      </c>
      <c r="N156" s="3"/>
      <c r="O156" s="6" t="str">
        <f t="shared" si="28"/>
        <v/>
      </c>
      <c r="P156" s="3">
        <v>-2</v>
      </c>
      <c r="Q156" s="6" t="s">
        <v>94</v>
      </c>
      <c r="R156" s="3"/>
      <c r="S156" s="6" t="str">
        <f t="shared" si="29"/>
        <v/>
      </c>
      <c r="T156" s="3">
        <v>-2</v>
      </c>
      <c r="U156" s="7" t="s">
        <v>94</v>
      </c>
    </row>
    <row r="157" spans="3:21" x14ac:dyDescent="0.25">
      <c r="C157" s="8" t="str">
        <f t="shared" si="25"/>
        <v>-10% Outflow</v>
      </c>
      <c r="D157" s="3">
        <v>-3</v>
      </c>
      <c r="E157" s="6" t="s">
        <v>95</v>
      </c>
      <c r="F157" s="3"/>
      <c r="G157" s="6" t="str">
        <f t="shared" si="26"/>
        <v/>
      </c>
      <c r="H157" s="3">
        <v>-3</v>
      </c>
      <c r="I157" s="6" t="s">
        <v>95</v>
      </c>
      <c r="J157" s="3"/>
      <c r="K157" s="6" t="str">
        <f t="shared" si="27"/>
        <v/>
      </c>
      <c r="L157" s="3">
        <v>-3</v>
      </c>
      <c r="M157" s="6" t="s">
        <v>95</v>
      </c>
      <c r="N157" s="3"/>
      <c r="O157" s="6" t="str">
        <f t="shared" si="28"/>
        <v/>
      </c>
      <c r="P157" s="3">
        <v>-3</v>
      </c>
      <c r="Q157" s="6" t="s">
        <v>95</v>
      </c>
      <c r="R157" s="3"/>
      <c r="S157" s="6" t="str">
        <f t="shared" si="29"/>
        <v/>
      </c>
      <c r="T157" s="3">
        <v>-3</v>
      </c>
      <c r="U157" s="7" t="s">
        <v>95</v>
      </c>
    </row>
    <row r="158" spans="3:21" x14ac:dyDescent="0.25">
      <c r="C158" s="8" t="str">
        <f t="shared" si="25"/>
        <v/>
      </c>
      <c r="D158" s="3">
        <v>-4</v>
      </c>
      <c r="E158" s="6" t="s">
        <v>96</v>
      </c>
      <c r="F158" s="3"/>
      <c r="G158" s="6" t="str">
        <f t="shared" si="26"/>
        <v/>
      </c>
      <c r="H158" s="3">
        <v>-4</v>
      </c>
      <c r="I158" s="6" t="s">
        <v>96</v>
      </c>
      <c r="J158" s="3"/>
      <c r="K158" s="6" t="str">
        <f t="shared" si="27"/>
        <v/>
      </c>
      <c r="L158" s="3">
        <v>-4</v>
      </c>
      <c r="M158" s="6" t="s">
        <v>96</v>
      </c>
      <c r="N158" s="3"/>
      <c r="O158" s="6" t="str">
        <f t="shared" si="28"/>
        <v/>
      </c>
      <c r="P158" s="3">
        <v>-4</v>
      </c>
      <c r="Q158" s="6" t="s">
        <v>96</v>
      </c>
      <c r="R158" s="3"/>
      <c r="S158" s="6" t="str">
        <f t="shared" si="29"/>
        <v/>
      </c>
      <c r="T158" s="3">
        <v>-4</v>
      </c>
      <c r="U158" s="7" t="s">
        <v>96</v>
      </c>
    </row>
    <row r="159" spans="3:21" ht="45.75" thickBot="1" x14ac:dyDescent="0.3">
      <c r="C159" s="34" t="str">
        <f t="shared" si="25"/>
        <v/>
      </c>
      <c r="D159" s="9">
        <v>-5</v>
      </c>
      <c r="E159" s="10" t="s">
        <v>97</v>
      </c>
      <c r="F159" s="9"/>
      <c r="G159" s="10" t="str">
        <f t="shared" si="26"/>
        <v/>
      </c>
      <c r="H159" s="9">
        <v>-5</v>
      </c>
      <c r="I159" s="10" t="s">
        <v>97</v>
      </c>
      <c r="J159" s="9"/>
      <c r="K159" s="10" t="str">
        <f t="shared" si="27"/>
        <v>-10% Outflow</v>
      </c>
      <c r="L159" s="9">
        <v>-5</v>
      </c>
      <c r="M159" s="10" t="s">
        <v>97</v>
      </c>
      <c r="N159" s="9"/>
      <c r="O159" s="10" t="str">
        <f t="shared" si="28"/>
        <v/>
      </c>
      <c r="P159" s="9">
        <v>-5</v>
      </c>
      <c r="Q159" s="10" t="s">
        <v>97</v>
      </c>
      <c r="R159" s="9"/>
      <c r="S159" s="10" t="str">
        <f t="shared" si="29"/>
        <v/>
      </c>
      <c r="T159" s="9">
        <v>-5</v>
      </c>
      <c r="U159" s="11" t="s">
        <v>97</v>
      </c>
    </row>
    <row r="162" spans="3:21" ht="15.75" thickBot="1" x14ac:dyDescent="0.3"/>
    <row r="163" spans="3:21" ht="15.75" thickBot="1" x14ac:dyDescent="0.3">
      <c r="C163" s="92" t="s">
        <v>69</v>
      </c>
      <c r="D163" s="93"/>
      <c r="E163" s="93"/>
      <c r="F163" s="93"/>
      <c r="G163" s="93"/>
      <c r="H163" s="93"/>
      <c r="I163" s="93"/>
      <c r="J163" s="93"/>
      <c r="K163" s="93"/>
      <c r="L163" s="93"/>
      <c r="M163" s="93"/>
      <c r="N163" s="93"/>
      <c r="O163" s="93"/>
      <c r="P163" s="93"/>
      <c r="Q163" s="93"/>
      <c r="R163" s="93"/>
      <c r="S163" s="93"/>
      <c r="T163" s="93"/>
      <c r="U163" s="94"/>
    </row>
    <row r="164" spans="3:21" ht="15.75" thickBot="1" x14ac:dyDescent="0.3">
      <c r="C164" s="104" t="s">
        <v>78</v>
      </c>
      <c r="D164" s="105"/>
      <c r="E164" s="105"/>
      <c r="F164" s="105"/>
      <c r="G164" s="105"/>
      <c r="H164" s="105"/>
      <c r="I164" s="105"/>
      <c r="J164" s="105"/>
      <c r="K164" s="105"/>
      <c r="L164" s="105"/>
      <c r="M164" s="105"/>
      <c r="N164" s="105"/>
      <c r="O164" s="105"/>
      <c r="P164" s="105"/>
      <c r="Q164" s="105"/>
      <c r="R164" s="105"/>
      <c r="S164" s="105"/>
      <c r="T164" s="105"/>
      <c r="U164" s="106"/>
    </row>
    <row r="165" spans="3:21" ht="15.75" thickBot="1" x14ac:dyDescent="0.3">
      <c r="C165" s="98" t="s">
        <v>51</v>
      </c>
      <c r="D165" s="99"/>
      <c r="E165" s="100"/>
      <c r="F165" s="3"/>
      <c r="G165" s="98" t="s">
        <v>33</v>
      </c>
      <c r="H165" s="99"/>
      <c r="I165" s="100"/>
      <c r="J165" s="3"/>
      <c r="K165" s="98" t="s">
        <v>34</v>
      </c>
      <c r="L165" s="99"/>
      <c r="M165" s="100"/>
      <c r="N165" s="3"/>
      <c r="O165" s="98" t="s">
        <v>35</v>
      </c>
      <c r="P165" s="99"/>
      <c r="Q165" s="100"/>
      <c r="R165" s="3"/>
      <c r="S165" s="98" t="s">
        <v>36</v>
      </c>
      <c r="T165" s="99"/>
      <c r="U165" s="100"/>
    </row>
    <row r="166" spans="3:21" x14ac:dyDescent="0.25">
      <c r="C166" s="4" t="s">
        <v>84</v>
      </c>
      <c r="D166" s="3" t="s">
        <v>85</v>
      </c>
      <c r="E166" s="3" t="s">
        <v>86</v>
      </c>
      <c r="F166" s="3"/>
      <c r="G166" s="3" t="s">
        <v>84</v>
      </c>
      <c r="H166" s="3" t="s">
        <v>85</v>
      </c>
      <c r="I166" s="3" t="s">
        <v>86</v>
      </c>
      <c r="J166" s="3"/>
      <c r="K166" s="3" t="s">
        <v>84</v>
      </c>
      <c r="L166" s="3" t="s">
        <v>85</v>
      </c>
      <c r="M166" s="3" t="s">
        <v>86</v>
      </c>
      <c r="N166" s="3"/>
      <c r="O166" s="3" t="s">
        <v>84</v>
      </c>
      <c r="P166" s="3" t="s">
        <v>85</v>
      </c>
      <c r="Q166" s="3" t="s">
        <v>86</v>
      </c>
      <c r="R166" s="3"/>
      <c r="S166" s="3" t="s">
        <v>84</v>
      </c>
      <c r="T166" s="3" t="s">
        <v>85</v>
      </c>
      <c r="U166" s="5" t="s">
        <v>86</v>
      </c>
    </row>
    <row r="167" spans="3:21" ht="45" x14ac:dyDescent="0.25">
      <c r="C167" s="8" t="str">
        <f t="shared" ref="C167:C177" si="30">_xlfn.TEXTJOIN(", ",TRUE,IF($E$16=D167,$E$15&amp;" ("&amp;TEXT($D$41,"0%")&amp;")",""),IF($F$16=D167,$F$15,""),IF($G$16=D167,$G$15,""))</f>
        <v/>
      </c>
      <c r="D167" s="3">
        <v>5</v>
      </c>
      <c r="E167" s="6" t="s">
        <v>87</v>
      </c>
      <c r="F167" s="3"/>
      <c r="G167" s="6" t="str">
        <f t="shared" ref="G167:G177" si="31">_xlfn.TEXTJOIN(", ",TRUE,IF($E$17=H167,$E$15&amp;" ("&amp;TEXT($E$41,"0%")&amp;")",""),IF($F$17=H167,$F$15,""),IF($G$17=H167,$G$15,""))</f>
        <v>+30% Outflow</v>
      </c>
      <c r="H167" s="3">
        <v>5</v>
      </c>
      <c r="I167" s="6" t="s">
        <v>87</v>
      </c>
      <c r="J167" s="3"/>
      <c r="K167" s="6" t="str">
        <f t="shared" ref="K167:K177" si="32">_xlfn.TEXTJOIN(", ",TRUE,IF($E$18=L167,$E$15&amp;" ("&amp;TEXT($F$41,"0%")&amp;")",""),IF($F$18=L167,$F$15,""),IF($G$18=L167,$G$15,""))</f>
        <v>+30% Outflow</v>
      </c>
      <c r="L167" s="3">
        <v>5</v>
      </c>
      <c r="M167" s="6" t="s">
        <v>87</v>
      </c>
      <c r="N167" s="3"/>
      <c r="O167" s="6" t="str">
        <f t="shared" ref="O167:O177" si="33">_xlfn.TEXTJOIN(", ",TRUE,IF($E$19=P167,$E$15&amp;" ("&amp;TEXT($G$41,"0%")&amp;")",""),IF($F$19=P167,$F$15,""),IF($G$19=P167,$G$15,""))</f>
        <v/>
      </c>
      <c r="P167" s="3">
        <v>5</v>
      </c>
      <c r="Q167" s="6" t="s">
        <v>87</v>
      </c>
      <c r="R167" s="3"/>
      <c r="S167" s="6" t="str">
        <f t="shared" ref="S167:S177" si="34">_xlfn.TEXTJOIN(", ",TRUE,IF($E$20=T167,$E$15&amp;" ("&amp;TEXT($H$41,"0%")&amp;")",""),IF($F$20=T167,$F$15,""),IF($G$20=T167,$G$15,""))</f>
        <v/>
      </c>
      <c r="T167" s="3">
        <v>5</v>
      </c>
      <c r="U167" s="7" t="s">
        <v>87</v>
      </c>
    </row>
    <row r="168" spans="3:21" x14ac:dyDescent="0.25">
      <c r="C168" s="8" t="str">
        <f t="shared" si="30"/>
        <v>+30% Outflow</v>
      </c>
      <c r="D168" s="3">
        <v>4</v>
      </c>
      <c r="E168" s="6" t="s">
        <v>88</v>
      </c>
      <c r="F168" s="3"/>
      <c r="G168" s="6" t="str">
        <f t="shared" si="31"/>
        <v/>
      </c>
      <c r="H168" s="3">
        <v>4</v>
      </c>
      <c r="I168" s="6" t="s">
        <v>88</v>
      </c>
      <c r="J168" s="3"/>
      <c r="K168" s="6" t="str">
        <f t="shared" si="32"/>
        <v/>
      </c>
      <c r="L168" s="3">
        <v>4</v>
      </c>
      <c r="M168" s="6" t="s">
        <v>88</v>
      </c>
      <c r="N168" s="3"/>
      <c r="O168" s="6" t="str">
        <f t="shared" si="33"/>
        <v/>
      </c>
      <c r="P168" s="3">
        <v>4</v>
      </c>
      <c r="Q168" s="6" t="s">
        <v>88</v>
      </c>
      <c r="R168" s="3"/>
      <c r="S168" s="6" t="str">
        <f t="shared" si="34"/>
        <v/>
      </c>
      <c r="T168" s="3">
        <v>4</v>
      </c>
      <c r="U168" s="7" t="s">
        <v>88</v>
      </c>
    </row>
    <row r="169" spans="3:21" x14ac:dyDescent="0.25">
      <c r="C169" s="8" t="str">
        <f t="shared" si="30"/>
        <v/>
      </c>
      <c r="D169" s="3">
        <v>3</v>
      </c>
      <c r="E169" s="6" t="s">
        <v>89</v>
      </c>
      <c r="F169" s="3"/>
      <c r="G169" s="6" t="str">
        <f t="shared" si="31"/>
        <v/>
      </c>
      <c r="H169" s="3">
        <v>3</v>
      </c>
      <c r="I169" s="6" t="s">
        <v>89</v>
      </c>
      <c r="J169" s="3"/>
      <c r="K169" s="6" t="str">
        <f t="shared" si="32"/>
        <v/>
      </c>
      <c r="L169" s="3">
        <v>3</v>
      </c>
      <c r="M169" s="6" t="s">
        <v>89</v>
      </c>
      <c r="N169" s="3"/>
      <c r="O169" s="6" t="str">
        <f t="shared" si="33"/>
        <v/>
      </c>
      <c r="P169" s="3">
        <v>3</v>
      </c>
      <c r="Q169" s="6" t="s">
        <v>89</v>
      </c>
      <c r="R169" s="3"/>
      <c r="S169" s="6" t="str">
        <f t="shared" si="34"/>
        <v/>
      </c>
      <c r="T169" s="3">
        <v>3</v>
      </c>
      <c r="U169" s="7" t="s">
        <v>89</v>
      </c>
    </row>
    <row r="170" spans="3:21" x14ac:dyDescent="0.25">
      <c r="C170" s="8" t="str">
        <f t="shared" si="30"/>
        <v/>
      </c>
      <c r="D170" s="3">
        <v>2</v>
      </c>
      <c r="E170" s="6" t="s">
        <v>90</v>
      </c>
      <c r="F170" s="3"/>
      <c r="G170" s="6" t="str">
        <f t="shared" si="31"/>
        <v/>
      </c>
      <c r="H170" s="3">
        <v>2</v>
      </c>
      <c r="I170" s="6" t="s">
        <v>90</v>
      </c>
      <c r="J170" s="3"/>
      <c r="K170" s="6" t="str">
        <f t="shared" si="32"/>
        <v/>
      </c>
      <c r="L170" s="3">
        <v>2</v>
      </c>
      <c r="M170" s="6" t="s">
        <v>90</v>
      </c>
      <c r="N170" s="3"/>
      <c r="O170" s="6" t="str">
        <f t="shared" si="33"/>
        <v/>
      </c>
      <c r="P170" s="3">
        <v>2</v>
      </c>
      <c r="Q170" s="6" t="s">
        <v>90</v>
      </c>
      <c r="R170" s="3"/>
      <c r="S170" s="6" t="str">
        <f t="shared" si="34"/>
        <v/>
      </c>
      <c r="T170" s="3">
        <v>2</v>
      </c>
      <c r="U170" s="7" t="s">
        <v>90</v>
      </c>
    </row>
    <row r="171" spans="3:21" x14ac:dyDescent="0.25">
      <c r="C171" s="8" t="str">
        <f t="shared" si="30"/>
        <v/>
      </c>
      <c r="D171" s="3">
        <v>1</v>
      </c>
      <c r="E171" s="6" t="s">
        <v>91</v>
      </c>
      <c r="F171" s="3"/>
      <c r="G171" s="6" t="str">
        <f t="shared" si="31"/>
        <v/>
      </c>
      <c r="H171" s="3">
        <v>1</v>
      </c>
      <c r="I171" s="6" t="s">
        <v>91</v>
      </c>
      <c r="J171" s="3"/>
      <c r="K171" s="6" t="str">
        <f t="shared" si="32"/>
        <v/>
      </c>
      <c r="L171" s="3">
        <v>1</v>
      </c>
      <c r="M171" s="6" t="s">
        <v>91</v>
      </c>
      <c r="N171" s="3"/>
      <c r="O171" s="6" t="str">
        <f t="shared" si="33"/>
        <v/>
      </c>
      <c r="P171" s="3">
        <v>1</v>
      </c>
      <c r="Q171" s="6" t="s">
        <v>91</v>
      </c>
      <c r="R171" s="3"/>
      <c r="S171" s="6" t="str">
        <f t="shared" si="34"/>
        <v/>
      </c>
      <c r="T171" s="3">
        <v>1</v>
      </c>
      <c r="U171" s="7" t="s">
        <v>91</v>
      </c>
    </row>
    <row r="172" spans="3:21" ht="60" x14ac:dyDescent="0.25">
      <c r="C172" s="8" t="str">
        <f t="shared" si="30"/>
        <v>Historical Baseline (33%)</v>
      </c>
      <c r="D172" s="3">
        <v>0</v>
      </c>
      <c r="E172" s="6" t="s">
        <v>92</v>
      </c>
      <c r="F172" s="3"/>
      <c r="G172" s="6" t="str">
        <f t="shared" si="31"/>
        <v>Historical Baseline (99%), -10% Outflow</v>
      </c>
      <c r="H172" s="3">
        <v>0</v>
      </c>
      <c r="I172" s="6" t="s">
        <v>92</v>
      </c>
      <c r="J172" s="3"/>
      <c r="K172" s="6" t="str">
        <f t="shared" si="32"/>
        <v>Historical Baseline (28%)</v>
      </c>
      <c r="L172" s="3">
        <v>0</v>
      </c>
      <c r="M172" s="6" t="s">
        <v>92</v>
      </c>
      <c r="N172" s="3"/>
      <c r="O172" s="6" t="str">
        <f t="shared" si="33"/>
        <v>Historical Baseline (0%), +30% Outflow, -10% Outflow</v>
      </c>
      <c r="P172" s="3">
        <v>0</v>
      </c>
      <c r="Q172" s="6" t="s">
        <v>92</v>
      </c>
      <c r="R172" s="3"/>
      <c r="S172" s="6" t="str">
        <f t="shared" si="34"/>
        <v>Historical Baseline (0%), +30% Outflow, -10% Outflow</v>
      </c>
      <c r="T172" s="3">
        <v>0</v>
      </c>
      <c r="U172" s="7" t="s">
        <v>92</v>
      </c>
    </row>
    <row r="173" spans="3:21" ht="30" x14ac:dyDescent="0.25">
      <c r="C173" s="8" t="str">
        <f t="shared" si="30"/>
        <v>-10% Outflow</v>
      </c>
      <c r="D173" s="3">
        <v>-1</v>
      </c>
      <c r="E173" s="6" t="s">
        <v>93</v>
      </c>
      <c r="F173" s="3"/>
      <c r="G173" s="6" t="str">
        <f t="shared" si="31"/>
        <v/>
      </c>
      <c r="H173" s="3">
        <v>-1</v>
      </c>
      <c r="I173" s="6" t="s">
        <v>93</v>
      </c>
      <c r="J173" s="3"/>
      <c r="K173" s="6" t="str">
        <f t="shared" si="32"/>
        <v/>
      </c>
      <c r="L173" s="3">
        <v>-1</v>
      </c>
      <c r="M173" s="6" t="s">
        <v>93</v>
      </c>
      <c r="N173" s="3"/>
      <c r="O173" s="6" t="str">
        <f t="shared" si="33"/>
        <v/>
      </c>
      <c r="P173" s="3">
        <v>-1</v>
      </c>
      <c r="Q173" s="6" t="s">
        <v>93</v>
      </c>
      <c r="R173" s="3"/>
      <c r="S173" s="6" t="str">
        <f t="shared" si="34"/>
        <v/>
      </c>
      <c r="T173" s="3">
        <v>-1</v>
      </c>
      <c r="U173" s="7" t="s">
        <v>93</v>
      </c>
    </row>
    <row r="174" spans="3:21" x14ac:dyDescent="0.25">
      <c r="C174" s="8" t="str">
        <f t="shared" si="30"/>
        <v/>
      </c>
      <c r="D174" s="3">
        <v>-2</v>
      </c>
      <c r="E174" s="6" t="s">
        <v>94</v>
      </c>
      <c r="F174" s="3"/>
      <c r="G174" s="6" t="str">
        <f t="shared" si="31"/>
        <v/>
      </c>
      <c r="H174" s="3">
        <v>-2</v>
      </c>
      <c r="I174" s="6" t="s">
        <v>94</v>
      </c>
      <c r="J174" s="3"/>
      <c r="K174" s="6" t="str">
        <f t="shared" si="32"/>
        <v/>
      </c>
      <c r="L174" s="3">
        <v>-2</v>
      </c>
      <c r="M174" s="6" t="s">
        <v>94</v>
      </c>
      <c r="N174" s="3"/>
      <c r="O174" s="6" t="str">
        <f t="shared" si="33"/>
        <v/>
      </c>
      <c r="P174" s="3">
        <v>-2</v>
      </c>
      <c r="Q174" s="6" t="s">
        <v>94</v>
      </c>
      <c r="R174" s="3"/>
      <c r="S174" s="6" t="str">
        <f t="shared" si="34"/>
        <v/>
      </c>
      <c r="T174" s="3">
        <v>-2</v>
      </c>
      <c r="U174" s="7" t="s">
        <v>94</v>
      </c>
    </row>
    <row r="175" spans="3:21" x14ac:dyDescent="0.25">
      <c r="C175" s="8" t="str">
        <f t="shared" si="30"/>
        <v/>
      </c>
      <c r="D175" s="3">
        <v>-3</v>
      </c>
      <c r="E175" s="6" t="s">
        <v>95</v>
      </c>
      <c r="F175" s="3"/>
      <c r="G175" s="6" t="str">
        <f t="shared" si="31"/>
        <v/>
      </c>
      <c r="H175" s="3">
        <v>-3</v>
      </c>
      <c r="I175" s="6" t="s">
        <v>95</v>
      </c>
      <c r="J175" s="3"/>
      <c r="K175" s="6" t="str">
        <f t="shared" si="32"/>
        <v/>
      </c>
      <c r="L175" s="3">
        <v>-3</v>
      </c>
      <c r="M175" s="6" t="s">
        <v>95</v>
      </c>
      <c r="N175" s="3"/>
      <c r="O175" s="6" t="str">
        <f t="shared" si="33"/>
        <v/>
      </c>
      <c r="P175" s="3">
        <v>-3</v>
      </c>
      <c r="Q175" s="6" t="s">
        <v>95</v>
      </c>
      <c r="R175" s="3"/>
      <c r="S175" s="6" t="str">
        <f t="shared" si="34"/>
        <v/>
      </c>
      <c r="T175" s="3">
        <v>-3</v>
      </c>
      <c r="U175" s="7" t="s">
        <v>95</v>
      </c>
    </row>
    <row r="176" spans="3:21" x14ac:dyDescent="0.25">
      <c r="C176" s="8" t="str">
        <f t="shared" si="30"/>
        <v/>
      </c>
      <c r="D176" s="3">
        <v>-4</v>
      </c>
      <c r="E176" s="6" t="s">
        <v>96</v>
      </c>
      <c r="F176" s="3"/>
      <c r="G176" s="6" t="str">
        <f t="shared" si="31"/>
        <v/>
      </c>
      <c r="H176" s="3">
        <v>-4</v>
      </c>
      <c r="I176" s="6" t="s">
        <v>96</v>
      </c>
      <c r="J176" s="3"/>
      <c r="K176" s="6" t="str">
        <f t="shared" si="32"/>
        <v>-10% Outflow</v>
      </c>
      <c r="L176" s="3">
        <v>-4</v>
      </c>
      <c r="M176" s="6" t="s">
        <v>96</v>
      </c>
      <c r="N176" s="3"/>
      <c r="O176" s="6" t="str">
        <f t="shared" si="33"/>
        <v/>
      </c>
      <c r="P176" s="3">
        <v>-4</v>
      </c>
      <c r="Q176" s="6" t="s">
        <v>96</v>
      </c>
      <c r="R176" s="3"/>
      <c r="S176" s="6" t="str">
        <f t="shared" si="34"/>
        <v/>
      </c>
      <c r="T176" s="3">
        <v>-4</v>
      </c>
      <c r="U176" s="7" t="s">
        <v>96</v>
      </c>
    </row>
    <row r="177" spans="3:21" ht="45.75" thickBot="1" x14ac:dyDescent="0.3">
      <c r="C177" s="34" t="str">
        <f t="shared" si="30"/>
        <v/>
      </c>
      <c r="D177" s="9">
        <v>-5</v>
      </c>
      <c r="E177" s="10" t="s">
        <v>97</v>
      </c>
      <c r="F177" s="9"/>
      <c r="G177" s="10" t="str">
        <f t="shared" si="31"/>
        <v/>
      </c>
      <c r="H177" s="9">
        <v>-5</v>
      </c>
      <c r="I177" s="10" t="s">
        <v>97</v>
      </c>
      <c r="J177" s="9"/>
      <c r="K177" s="10" t="str">
        <f t="shared" si="32"/>
        <v/>
      </c>
      <c r="L177" s="9">
        <v>-5</v>
      </c>
      <c r="M177" s="10" t="s">
        <v>97</v>
      </c>
      <c r="N177" s="9"/>
      <c r="O177" s="10" t="str">
        <f t="shared" si="33"/>
        <v/>
      </c>
      <c r="P177" s="9">
        <v>-5</v>
      </c>
      <c r="Q177" s="10" t="s">
        <v>97</v>
      </c>
      <c r="R177" s="9"/>
      <c r="S177" s="10" t="str">
        <f t="shared" si="34"/>
        <v/>
      </c>
      <c r="T177" s="9">
        <v>-5</v>
      </c>
      <c r="U177" s="11" t="s">
        <v>97</v>
      </c>
    </row>
    <row r="178" spans="3:21" ht="15.75" thickBot="1" x14ac:dyDescent="0.3"/>
    <row r="179" spans="3:21" ht="15.75" thickBot="1" x14ac:dyDescent="0.3">
      <c r="C179" s="92" t="s">
        <v>69</v>
      </c>
      <c r="D179" s="93"/>
      <c r="E179" s="93"/>
      <c r="F179" s="93"/>
      <c r="G179" s="93"/>
      <c r="H179" s="93"/>
      <c r="I179" s="93"/>
      <c r="J179" s="93"/>
      <c r="K179" s="93"/>
      <c r="L179" s="93"/>
      <c r="M179" s="93"/>
      <c r="N179" s="93"/>
      <c r="O179" s="93"/>
      <c r="P179" s="93"/>
      <c r="Q179" s="93"/>
      <c r="R179" s="93"/>
      <c r="S179" s="93"/>
      <c r="T179" s="93"/>
      <c r="U179" s="94"/>
    </row>
    <row r="180" spans="3:21" ht="15.75" thickBot="1" x14ac:dyDescent="0.3">
      <c r="C180" s="101" t="s">
        <v>79</v>
      </c>
      <c r="D180" s="102"/>
      <c r="E180" s="102"/>
      <c r="F180" s="102"/>
      <c r="G180" s="102"/>
      <c r="H180" s="102"/>
      <c r="I180" s="102"/>
      <c r="J180" s="102"/>
      <c r="K180" s="102"/>
      <c r="L180" s="102"/>
      <c r="M180" s="102"/>
      <c r="N180" s="102"/>
      <c r="O180" s="102"/>
      <c r="P180" s="102"/>
      <c r="Q180" s="102"/>
      <c r="R180" s="102"/>
      <c r="S180" s="102"/>
      <c r="T180" s="102"/>
      <c r="U180" s="103"/>
    </row>
    <row r="181" spans="3:21" ht="15.75" thickBot="1" x14ac:dyDescent="0.3">
      <c r="C181" s="98" t="s">
        <v>51</v>
      </c>
      <c r="D181" s="99"/>
      <c r="E181" s="100"/>
      <c r="F181" s="3"/>
      <c r="G181" s="98" t="s">
        <v>33</v>
      </c>
      <c r="H181" s="99"/>
      <c r="I181" s="100"/>
      <c r="J181" s="3"/>
      <c r="K181" s="98" t="s">
        <v>34</v>
      </c>
      <c r="L181" s="99"/>
      <c r="M181" s="100"/>
      <c r="N181" s="3"/>
      <c r="O181" s="98" t="s">
        <v>35</v>
      </c>
      <c r="P181" s="99"/>
      <c r="Q181" s="100"/>
      <c r="R181" s="3"/>
      <c r="S181" s="98" t="s">
        <v>36</v>
      </c>
      <c r="T181" s="99"/>
      <c r="U181" s="100"/>
    </row>
    <row r="182" spans="3:21" x14ac:dyDescent="0.25">
      <c r="C182" s="4" t="s">
        <v>84</v>
      </c>
      <c r="D182" s="3" t="s">
        <v>85</v>
      </c>
      <c r="E182" s="3" t="s">
        <v>86</v>
      </c>
      <c r="F182" s="3"/>
      <c r="G182" s="3" t="s">
        <v>84</v>
      </c>
      <c r="H182" s="3" t="s">
        <v>85</v>
      </c>
      <c r="I182" s="3" t="s">
        <v>86</v>
      </c>
      <c r="J182" s="3"/>
      <c r="K182" s="3" t="s">
        <v>84</v>
      </c>
      <c r="L182" s="3" t="s">
        <v>85</v>
      </c>
      <c r="M182" s="3" t="s">
        <v>86</v>
      </c>
      <c r="N182" s="3"/>
      <c r="O182" s="3" t="s">
        <v>84</v>
      </c>
      <c r="P182" s="3" t="s">
        <v>85</v>
      </c>
      <c r="Q182" s="3" t="s">
        <v>86</v>
      </c>
      <c r="R182" s="3"/>
      <c r="S182" s="3" t="s">
        <v>84</v>
      </c>
      <c r="T182" s="3" t="s">
        <v>85</v>
      </c>
      <c r="U182" s="5" t="s">
        <v>86</v>
      </c>
    </row>
    <row r="183" spans="3:21" ht="45" x14ac:dyDescent="0.25">
      <c r="C183" s="8" t="str">
        <f t="shared" ref="C183:C193" si="35">_xlfn.TEXTJOIN(", ",TRUE,IF($K$16=D183,$K$15&amp;" ("&amp;TEXT($I$41,"0%")&amp;")",""),IF($L$16=D183,$L$15,""),IF($M$16=D183,$M$15,""))</f>
        <v>+30% Outflow</v>
      </c>
      <c r="D183" s="3">
        <v>5</v>
      </c>
      <c r="E183" s="6" t="s">
        <v>87</v>
      </c>
      <c r="F183" s="3"/>
      <c r="G183" s="6" t="str">
        <f t="shared" ref="G183:G193" si="36">_xlfn.TEXTJOIN(", ",TRUE,IF($K$17=H183,$K$15&amp;" ("&amp;TEXT($J$41,"0%")&amp;")",""),IF($L$17=H183,$L$15,""),IF($M$17=H183,$M$15,""))</f>
        <v>+30% Outflow</v>
      </c>
      <c r="H183" s="3">
        <v>5</v>
      </c>
      <c r="I183" s="6" t="s">
        <v>87</v>
      </c>
      <c r="J183" s="3"/>
      <c r="K183" s="6" t="str">
        <f t="shared" ref="K183:K193" si="37">_xlfn.TEXTJOIN(", ",TRUE,IF($K$18=L183,$K$15&amp;" ("&amp;TEXT($K$41,"0%")&amp;")",""),IF($L$18=L183,$L$15,""),IF($M$18=L183,$M$15,""))</f>
        <v>+30% Outflow</v>
      </c>
      <c r="L183" s="3">
        <v>5</v>
      </c>
      <c r="M183" s="6" t="s">
        <v>87</v>
      </c>
      <c r="N183" s="3"/>
      <c r="O183" s="6" t="str">
        <f t="shared" ref="O183:O193" si="38">_xlfn.TEXTJOIN(", ",TRUE,IF($K$19=P183,$K$15&amp;" ("&amp;TEXT($L$41,"0%")&amp;")",""),IF($L$19=P183,$L$15,""),IF($M$19=P183,$M$15,""))</f>
        <v/>
      </c>
      <c r="P183" s="3">
        <v>5</v>
      </c>
      <c r="Q183" s="6" t="s">
        <v>87</v>
      </c>
      <c r="R183" s="3"/>
      <c r="S183" s="6" t="str">
        <f t="shared" ref="S183:S193" si="39">_xlfn.TEXTJOIN(", ",TRUE,IF($K$20=T183,$K$15&amp;" ("&amp;TEXT($M$41,"0%")&amp;")",""),IF($L$20=T183,$L$15,""),IF($M$20=T183,$M$15,""))</f>
        <v/>
      </c>
      <c r="T183" s="3">
        <v>5</v>
      </c>
      <c r="U183" s="7" t="s">
        <v>87</v>
      </c>
    </row>
    <row r="184" spans="3:21" x14ac:dyDescent="0.25">
      <c r="C184" s="8" t="str">
        <f t="shared" si="35"/>
        <v/>
      </c>
      <c r="D184" s="3">
        <v>4</v>
      </c>
      <c r="E184" s="6" t="s">
        <v>88</v>
      </c>
      <c r="F184" s="3"/>
      <c r="G184" s="6" t="str">
        <f t="shared" si="36"/>
        <v/>
      </c>
      <c r="H184" s="3">
        <v>4</v>
      </c>
      <c r="I184" s="6" t="s">
        <v>88</v>
      </c>
      <c r="J184" s="3"/>
      <c r="K184" s="6" t="str">
        <f t="shared" si="37"/>
        <v/>
      </c>
      <c r="L184" s="3">
        <v>4</v>
      </c>
      <c r="M184" s="6" t="s">
        <v>88</v>
      </c>
      <c r="N184" s="3"/>
      <c r="O184" s="6" t="str">
        <f t="shared" si="38"/>
        <v/>
      </c>
      <c r="P184" s="3">
        <v>4</v>
      </c>
      <c r="Q184" s="6" t="s">
        <v>88</v>
      </c>
      <c r="R184" s="3"/>
      <c r="S184" s="6" t="str">
        <f t="shared" si="39"/>
        <v/>
      </c>
      <c r="T184" s="3">
        <v>4</v>
      </c>
      <c r="U184" s="7" t="s">
        <v>88</v>
      </c>
    </row>
    <row r="185" spans="3:21" x14ac:dyDescent="0.25">
      <c r="C185" s="8" t="str">
        <f t="shared" si="35"/>
        <v/>
      </c>
      <c r="D185" s="3">
        <v>3</v>
      </c>
      <c r="E185" s="6" t="s">
        <v>89</v>
      </c>
      <c r="F185" s="3"/>
      <c r="G185" s="6" t="str">
        <f t="shared" si="36"/>
        <v/>
      </c>
      <c r="H185" s="3">
        <v>3</v>
      </c>
      <c r="I185" s="6" t="s">
        <v>89</v>
      </c>
      <c r="J185" s="3"/>
      <c r="K185" s="6" t="str">
        <f t="shared" si="37"/>
        <v/>
      </c>
      <c r="L185" s="3">
        <v>3</v>
      </c>
      <c r="M185" s="6" t="s">
        <v>89</v>
      </c>
      <c r="N185" s="3"/>
      <c r="O185" s="6" t="str">
        <f t="shared" si="38"/>
        <v/>
      </c>
      <c r="P185" s="3">
        <v>3</v>
      </c>
      <c r="Q185" s="6" t="s">
        <v>89</v>
      </c>
      <c r="R185" s="3"/>
      <c r="S185" s="6" t="str">
        <f t="shared" si="39"/>
        <v/>
      </c>
      <c r="T185" s="3">
        <v>3</v>
      </c>
      <c r="U185" s="7" t="s">
        <v>89</v>
      </c>
    </row>
    <row r="186" spans="3:21" x14ac:dyDescent="0.25">
      <c r="C186" s="8" t="str">
        <f t="shared" si="35"/>
        <v/>
      </c>
      <c r="D186" s="3">
        <v>2</v>
      </c>
      <c r="E186" s="6" t="s">
        <v>90</v>
      </c>
      <c r="F186" s="3"/>
      <c r="G186" s="6" t="str">
        <f t="shared" si="36"/>
        <v/>
      </c>
      <c r="H186" s="3">
        <v>2</v>
      </c>
      <c r="I186" s="6" t="s">
        <v>90</v>
      </c>
      <c r="J186" s="3"/>
      <c r="K186" s="6" t="str">
        <f t="shared" si="37"/>
        <v/>
      </c>
      <c r="L186" s="3">
        <v>2</v>
      </c>
      <c r="M186" s="6" t="s">
        <v>90</v>
      </c>
      <c r="N186" s="3"/>
      <c r="O186" s="6" t="str">
        <f t="shared" si="38"/>
        <v/>
      </c>
      <c r="P186" s="3">
        <v>2</v>
      </c>
      <c r="Q186" s="6" t="s">
        <v>90</v>
      </c>
      <c r="R186" s="3"/>
      <c r="S186" s="6" t="str">
        <f t="shared" si="39"/>
        <v/>
      </c>
      <c r="T186" s="3">
        <v>2</v>
      </c>
      <c r="U186" s="7" t="s">
        <v>90</v>
      </c>
    </row>
    <row r="187" spans="3:21" x14ac:dyDescent="0.25">
      <c r="C187" s="8" t="str">
        <f t="shared" si="35"/>
        <v/>
      </c>
      <c r="D187" s="3">
        <v>1</v>
      </c>
      <c r="E187" s="6" t="s">
        <v>91</v>
      </c>
      <c r="F187" s="3"/>
      <c r="G187" s="6" t="str">
        <f t="shared" si="36"/>
        <v/>
      </c>
      <c r="H187" s="3">
        <v>1</v>
      </c>
      <c r="I187" s="6" t="s">
        <v>91</v>
      </c>
      <c r="J187" s="3"/>
      <c r="K187" s="6" t="str">
        <f t="shared" si="37"/>
        <v/>
      </c>
      <c r="L187" s="3">
        <v>1</v>
      </c>
      <c r="M187" s="6" t="s">
        <v>91</v>
      </c>
      <c r="N187" s="3"/>
      <c r="O187" s="6" t="str">
        <f t="shared" si="38"/>
        <v/>
      </c>
      <c r="P187" s="3">
        <v>1</v>
      </c>
      <c r="Q187" s="6" t="s">
        <v>91</v>
      </c>
      <c r="R187" s="3"/>
      <c r="S187" s="6" t="str">
        <f t="shared" si="39"/>
        <v/>
      </c>
      <c r="T187" s="3">
        <v>1</v>
      </c>
      <c r="U187" s="7" t="s">
        <v>91</v>
      </c>
    </row>
    <row r="188" spans="3:21" ht="60" x14ac:dyDescent="0.25">
      <c r="C188" s="8" t="str">
        <f t="shared" si="35"/>
        <v>Historical Baseline (32%)</v>
      </c>
      <c r="D188" s="3">
        <v>0</v>
      </c>
      <c r="E188" s="6" t="s">
        <v>92</v>
      </c>
      <c r="F188" s="3"/>
      <c r="G188" s="6" t="str">
        <f t="shared" si="36"/>
        <v>Historical Baseline (98%)</v>
      </c>
      <c r="H188" s="3">
        <v>0</v>
      </c>
      <c r="I188" s="6" t="s">
        <v>92</v>
      </c>
      <c r="J188" s="3"/>
      <c r="K188" s="6" t="str">
        <f t="shared" si="37"/>
        <v>Historical Baseline (26%)</v>
      </c>
      <c r="L188" s="3">
        <v>0</v>
      </c>
      <c r="M188" s="6" t="s">
        <v>92</v>
      </c>
      <c r="N188" s="3"/>
      <c r="O188" s="6" t="str">
        <f t="shared" si="38"/>
        <v>Historical Baseline (0%), +30% Outflow, -10% Outflow</v>
      </c>
      <c r="P188" s="3">
        <v>0</v>
      </c>
      <c r="Q188" s="6" t="s">
        <v>92</v>
      </c>
      <c r="R188" s="3"/>
      <c r="S188" s="6" t="str">
        <f t="shared" si="39"/>
        <v>Historical Baseline (0%), +30% Outflow, -10% Outflow</v>
      </c>
      <c r="T188" s="3">
        <v>0</v>
      </c>
      <c r="U188" s="7" t="s">
        <v>92</v>
      </c>
    </row>
    <row r="189" spans="3:21" ht="30" x14ac:dyDescent="0.25">
      <c r="C189" s="8" t="str">
        <f t="shared" si="35"/>
        <v>-10% Outflow</v>
      </c>
      <c r="D189" s="3">
        <v>-1</v>
      </c>
      <c r="E189" s="6" t="s">
        <v>93</v>
      </c>
      <c r="F189" s="3"/>
      <c r="G189" s="6" t="str">
        <f t="shared" si="36"/>
        <v>-10% Outflow</v>
      </c>
      <c r="H189" s="3">
        <v>-1</v>
      </c>
      <c r="I189" s="6" t="s">
        <v>93</v>
      </c>
      <c r="J189" s="3"/>
      <c r="K189" s="6" t="str">
        <f t="shared" si="37"/>
        <v/>
      </c>
      <c r="L189" s="3">
        <v>-1</v>
      </c>
      <c r="M189" s="6" t="s">
        <v>93</v>
      </c>
      <c r="N189" s="3"/>
      <c r="O189" s="6" t="str">
        <f t="shared" si="38"/>
        <v/>
      </c>
      <c r="P189" s="3">
        <v>-1</v>
      </c>
      <c r="Q189" s="6" t="s">
        <v>93</v>
      </c>
      <c r="R189" s="3"/>
      <c r="S189" s="6" t="str">
        <f t="shared" si="39"/>
        <v/>
      </c>
      <c r="T189" s="3">
        <v>-1</v>
      </c>
      <c r="U189" s="7" t="s">
        <v>93</v>
      </c>
    </row>
    <row r="190" spans="3:21" x14ac:dyDescent="0.25">
      <c r="C190" s="8" t="str">
        <f t="shared" si="35"/>
        <v/>
      </c>
      <c r="D190" s="3">
        <v>-2</v>
      </c>
      <c r="E190" s="6" t="s">
        <v>94</v>
      </c>
      <c r="F190" s="3"/>
      <c r="G190" s="6" t="str">
        <f t="shared" si="36"/>
        <v/>
      </c>
      <c r="H190" s="3">
        <v>-2</v>
      </c>
      <c r="I190" s="6" t="s">
        <v>94</v>
      </c>
      <c r="J190" s="3"/>
      <c r="K190" s="6" t="str">
        <f t="shared" si="37"/>
        <v/>
      </c>
      <c r="L190" s="3">
        <v>-2</v>
      </c>
      <c r="M190" s="6" t="s">
        <v>94</v>
      </c>
      <c r="N190" s="3"/>
      <c r="O190" s="6" t="str">
        <f t="shared" si="38"/>
        <v/>
      </c>
      <c r="P190" s="3">
        <v>-2</v>
      </c>
      <c r="Q190" s="6" t="s">
        <v>94</v>
      </c>
      <c r="R190" s="3"/>
      <c r="S190" s="6" t="str">
        <f t="shared" si="39"/>
        <v/>
      </c>
      <c r="T190" s="3">
        <v>-2</v>
      </c>
      <c r="U190" s="7" t="s">
        <v>94</v>
      </c>
    </row>
    <row r="191" spans="3:21" x14ac:dyDescent="0.25">
      <c r="C191" s="8" t="str">
        <f t="shared" si="35"/>
        <v/>
      </c>
      <c r="D191" s="3">
        <v>-3</v>
      </c>
      <c r="E191" s="6" t="s">
        <v>95</v>
      </c>
      <c r="F191" s="3"/>
      <c r="G191" s="6" t="str">
        <f t="shared" si="36"/>
        <v/>
      </c>
      <c r="H191" s="3">
        <v>-3</v>
      </c>
      <c r="I191" s="6" t="s">
        <v>95</v>
      </c>
      <c r="J191" s="3"/>
      <c r="K191" s="6" t="str">
        <f t="shared" si="37"/>
        <v/>
      </c>
      <c r="L191" s="3">
        <v>-3</v>
      </c>
      <c r="M191" s="6" t="s">
        <v>95</v>
      </c>
      <c r="N191" s="3"/>
      <c r="O191" s="6" t="str">
        <f t="shared" si="38"/>
        <v/>
      </c>
      <c r="P191" s="3">
        <v>-3</v>
      </c>
      <c r="Q191" s="6" t="s">
        <v>95</v>
      </c>
      <c r="R191" s="3"/>
      <c r="S191" s="6" t="str">
        <f t="shared" si="39"/>
        <v/>
      </c>
      <c r="T191" s="3">
        <v>-3</v>
      </c>
      <c r="U191" s="7" t="s">
        <v>95</v>
      </c>
    </row>
    <row r="192" spans="3:21" x14ac:dyDescent="0.25">
      <c r="C192" s="8" t="str">
        <f t="shared" si="35"/>
        <v/>
      </c>
      <c r="D192" s="3">
        <v>-4</v>
      </c>
      <c r="E192" s="6" t="s">
        <v>96</v>
      </c>
      <c r="F192" s="3"/>
      <c r="G192" s="6" t="str">
        <f t="shared" si="36"/>
        <v/>
      </c>
      <c r="H192" s="3">
        <v>-4</v>
      </c>
      <c r="I192" s="6" t="s">
        <v>96</v>
      </c>
      <c r="J192" s="3"/>
      <c r="K192" s="6" t="str">
        <f t="shared" si="37"/>
        <v>-10% Outflow</v>
      </c>
      <c r="L192" s="3">
        <v>-4</v>
      </c>
      <c r="M192" s="6" t="s">
        <v>96</v>
      </c>
      <c r="N192" s="3"/>
      <c r="O192" s="6" t="str">
        <f t="shared" si="38"/>
        <v/>
      </c>
      <c r="P192" s="3">
        <v>-4</v>
      </c>
      <c r="Q192" s="6" t="s">
        <v>96</v>
      </c>
      <c r="R192" s="3"/>
      <c r="S192" s="6" t="str">
        <f t="shared" si="39"/>
        <v/>
      </c>
      <c r="T192" s="3">
        <v>-4</v>
      </c>
      <c r="U192" s="7" t="s">
        <v>96</v>
      </c>
    </row>
    <row r="193" spans="3:21" ht="45.75" thickBot="1" x14ac:dyDescent="0.3">
      <c r="C193" s="34" t="str">
        <f t="shared" si="35"/>
        <v/>
      </c>
      <c r="D193" s="9">
        <v>-5</v>
      </c>
      <c r="E193" s="10" t="s">
        <v>97</v>
      </c>
      <c r="F193" s="9"/>
      <c r="G193" s="10" t="str">
        <f t="shared" si="36"/>
        <v/>
      </c>
      <c r="H193" s="9">
        <v>-5</v>
      </c>
      <c r="I193" s="10" t="s">
        <v>97</v>
      </c>
      <c r="J193" s="9"/>
      <c r="K193" s="10" t="str">
        <f t="shared" si="37"/>
        <v/>
      </c>
      <c r="L193" s="9">
        <v>-5</v>
      </c>
      <c r="M193" s="10" t="s">
        <v>97</v>
      </c>
      <c r="N193" s="9"/>
      <c r="O193" s="10" t="str">
        <f t="shared" si="38"/>
        <v/>
      </c>
      <c r="P193" s="9">
        <v>-5</v>
      </c>
      <c r="Q193" s="10" t="s">
        <v>97</v>
      </c>
      <c r="R193" s="9"/>
      <c r="S193" s="10" t="str">
        <f t="shared" si="39"/>
        <v/>
      </c>
      <c r="T193" s="9">
        <v>-5</v>
      </c>
      <c r="U193" s="11" t="s">
        <v>97</v>
      </c>
    </row>
    <row r="194" spans="3:21" ht="15.75" thickBot="1" x14ac:dyDescent="0.3"/>
    <row r="195" spans="3:21" ht="15.75" thickBot="1" x14ac:dyDescent="0.3">
      <c r="C195" s="92" t="s">
        <v>69</v>
      </c>
      <c r="D195" s="93"/>
      <c r="E195" s="93"/>
      <c r="F195" s="93"/>
      <c r="G195" s="93"/>
      <c r="H195" s="93"/>
      <c r="I195" s="93"/>
      <c r="J195" s="93"/>
      <c r="K195" s="93"/>
      <c r="L195" s="93"/>
      <c r="M195" s="93"/>
      <c r="N195" s="93"/>
      <c r="O195" s="93"/>
      <c r="P195" s="93"/>
      <c r="Q195" s="93"/>
      <c r="R195" s="93"/>
      <c r="S195" s="93"/>
      <c r="T195" s="93"/>
      <c r="U195" s="94"/>
    </row>
    <row r="196" spans="3:21" ht="15.75" thickBot="1" x14ac:dyDescent="0.3">
      <c r="C196" s="95" t="s">
        <v>80</v>
      </c>
      <c r="D196" s="96"/>
      <c r="E196" s="96"/>
      <c r="F196" s="96"/>
      <c r="G196" s="96"/>
      <c r="H196" s="96"/>
      <c r="I196" s="96"/>
      <c r="J196" s="96"/>
      <c r="K196" s="96"/>
      <c r="L196" s="96"/>
      <c r="M196" s="96"/>
      <c r="N196" s="96"/>
      <c r="O196" s="96"/>
      <c r="P196" s="96"/>
      <c r="Q196" s="96"/>
      <c r="R196" s="96"/>
      <c r="S196" s="96"/>
      <c r="T196" s="96"/>
      <c r="U196" s="97"/>
    </row>
    <row r="197" spans="3:21" ht="15.75" thickBot="1" x14ac:dyDescent="0.3">
      <c r="C197" s="98" t="s">
        <v>51</v>
      </c>
      <c r="D197" s="99"/>
      <c r="E197" s="100"/>
      <c r="F197" s="3"/>
      <c r="G197" s="98" t="s">
        <v>33</v>
      </c>
      <c r="H197" s="99"/>
      <c r="I197" s="100"/>
      <c r="J197" s="3"/>
      <c r="K197" s="98" t="s">
        <v>34</v>
      </c>
      <c r="L197" s="99"/>
      <c r="M197" s="100"/>
      <c r="N197" s="3"/>
      <c r="O197" s="98" t="s">
        <v>35</v>
      </c>
      <c r="P197" s="99"/>
      <c r="Q197" s="100"/>
      <c r="R197" s="3"/>
      <c r="S197" s="98" t="s">
        <v>36</v>
      </c>
      <c r="T197" s="99"/>
      <c r="U197" s="100"/>
    </row>
    <row r="198" spans="3:21" x14ac:dyDescent="0.25">
      <c r="C198" s="4" t="s">
        <v>84</v>
      </c>
      <c r="D198" s="3" t="s">
        <v>85</v>
      </c>
      <c r="E198" s="3" t="s">
        <v>86</v>
      </c>
      <c r="F198" s="3"/>
      <c r="G198" s="3" t="s">
        <v>84</v>
      </c>
      <c r="H198" s="3" t="s">
        <v>85</v>
      </c>
      <c r="I198" s="3" t="s">
        <v>86</v>
      </c>
      <c r="J198" s="3"/>
      <c r="K198" s="3" t="s">
        <v>84</v>
      </c>
      <c r="L198" s="3" t="s">
        <v>85</v>
      </c>
      <c r="M198" s="3" t="s">
        <v>86</v>
      </c>
      <c r="N198" s="3"/>
      <c r="O198" s="3" t="s">
        <v>84</v>
      </c>
      <c r="P198" s="3" t="s">
        <v>85</v>
      </c>
      <c r="Q198" s="3" t="s">
        <v>86</v>
      </c>
      <c r="R198" s="3"/>
      <c r="S198" s="3" t="s">
        <v>84</v>
      </c>
      <c r="T198" s="3" t="s">
        <v>85</v>
      </c>
      <c r="U198" s="5" t="s">
        <v>86</v>
      </c>
    </row>
    <row r="199" spans="3:21" ht="45" x14ac:dyDescent="0.25">
      <c r="C199" s="8" t="str">
        <f t="shared" ref="C199:C209" si="40">_xlfn.TEXTJOIN(", ",TRUE,IF($Q$16=D199,$Q$15&amp;" ("&amp;TEXT($N$41,"0%")&amp;")",""),IF($R$16=D199,$R$15,""),IF($S$16=D199,$S$15,""))</f>
        <v/>
      </c>
      <c r="D199" s="3">
        <v>5</v>
      </c>
      <c r="E199" s="6" t="s">
        <v>87</v>
      </c>
      <c r="F199" s="3"/>
      <c r="G199" s="6" t="str">
        <f t="shared" ref="G199:G209" si="41">_xlfn.TEXTJOIN(", ",TRUE,IF($Q$17=H199,$Q$15&amp;" ("&amp;TEXT($O$41,"0%")&amp;")",""),IF($R$17=H199,$R$15,""),IF($S$17=H199,$S$15,""))</f>
        <v/>
      </c>
      <c r="H199" s="3">
        <v>5</v>
      </c>
      <c r="I199" s="6" t="s">
        <v>87</v>
      </c>
      <c r="J199" s="3"/>
      <c r="K199" s="6" t="str">
        <f t="shared" ref="K199:K209" si="42">_xlfn.TEXTJOIN(", ",TRUE,IF($Q$18=L199,$Q$15&amp;" ("&amp;TEXT($P$41,"0%")&amp;")",""),IF($R$18=L199,$R$15,""),IF($S$18=L199,$S$15,""))</f>
        <v>+30% Outflow</v>
      </c>
      <c r="L199" s="3">
        <v>5</v>
      </c>
      <c r="M199" s="6" t="s">
        <v>87</v>
      </c>
      <c r="N199" s="3"/>
      <c r="O199" s="6" t="str">
        <f t="shared" ref="O199:O209" si="43">_xlfn.TEXTJOIN(", ",TRUE,IF($Q$19=P199,$Q$15&amp;" ("&amp;TEXT($Q$41,"0%")&amp;")",""),IF($R$19=P199,$R$15,""),IF($S$19=P199,$S$15,""))</f>
        <v/>
      </c>
      <c r="P199" s="3">
        <v>5</v>
      </c>
      <c r="Q199" s="6" t="s">
        <v>87</v>
      </c>
      <c r="R199" s="3"/>
      <c r="S199" s="6" t="str">
        <f t="shared" ref="S199:S209" si="44">_xlfn.TEXTJOIN(", ",TRUE,IF($Q$20=T199,$Q$15&amp;" ("&amp;TEXT($R$41,"0%")&amp;")",""),IF($R$20=T199,$R$15,""),IF($S$20=T199,$S$15,""))</f>
        <v/>
      </c>
      <c r="T199" s="3">
        <v>5</v>
      </c>
      <c r="U199" s="7" t="s">
        <v>87</v>
      </c>
    </row>
    <row r="200" spans="3:21" x14ac:dyDescent="0.25">
      <c r="C200" s="8" t="str">
        <f t="shared" si="40"/>
        <v/>
      </c>
      <c r="D200" s="3">
        <v>4</v>
      </c>
      <c r="E200" s="6" t="s">
        <v>88</v>
      </c>
      <c r="F200" s="3"/>
      <c r="G200" s="6" t="str">
        <f t="shared" si="41"/>
        <v/>
      </c>
      <c r="H200" s="3">
        <v>4</v>
      </c>
      <c r="I200" s="6" t="s">
        <v>88</v>
      </c>
      <c r="J200" s="3"/>
      <c r="K200" s="6" t="str">
        <f t="shared" si="42"/>
        <v/>
      </c>
      <c r="L200" s="3">
        <v>4</v>
      </c>
      <c r="M200" s="6" t="s">
        <v>88</v>
      </c>
      <c r="N200" s="3"/>
      <c r="O200" s="6" t="str">
        <f t="shared" si="43"/>
        <v/>
      </c>
      <c r="P200" s="3">
        <v>4</v>
      </c>
      <c r="Q200" s="6" t="s">
        <v>88</v>
      </c>
      <c r="R200" s="3"/>
      <c r="S200" s="6" t="str">
        <f t="shared" si="44"/>
        <v/>
      </c>
      <c r="T200" s="3">
        <v>4</v>
      </c>
      <c r="U200" s="7" t="s">
        <v>88</v>
      </c>
    </row>
    <row r="201" spans="3:21" x14ac:dyDescent="0.25">
      <c r="C201" s="8" t="str">
        <f t="shared" si="40"/>
        <v>+30% Outflow</v>
      </c>
      <c r="D201" s="3">
        <v>3</v>
      </c>
      <c r="E201" s="6" t="s">
        <v>89</v>
      </c>
      <c r="F201" s="3"/>
      <c r="G201" s="6" t="str">
        <f t="shared" si="41"/>
        <v/>
      </c>
      <c r="H201" s="3">
        <v>3</v>
      </c>
      <c r="I201" s="6" t="s">
        <v>89</v>
      </c>
      <c r="J201" s="3"/>
      <c r="K201" s="6" t="str">
        <f t="shared" si="42"/>
        <v/>
      </c>
      <c r="L201" s="3">
        <v>3</v>
      </c>
      <c r="M201" s="6" t="s">
        <v>89</v>
      </c>
      <c r="N201" s="3"/>
      <c r="O201" s="6" t="str">
        <f t="shared" si="43"/>
        <v/>
      </c>
      <c r="P201" s="3">
        <v>3</v>
      </c>
      <c r="Q201" s="6" t="s">
        <v>89</v>
      </c>
      <c r="R201" s="3"/>
      <c r="S201" s="6" t="str">
        <f t="shared" si="44"/>
        <v/>
      </c>
      <c r="T201" s="3">
        <v>3</v>
      </c>
      <c r="U201" s="7" t="s">
        <v>89</v>
      </c>
    </row>
    <row r="202" spans="3:21" x14ac:dyDescent="0.25">
      <c r="C202" s="8" t="str">
        <f t="shared" si="40"/>
        <v/>
      </c>
      <c r="D202" s="3">
        <v>2</v>
      </c>
      <c r="E202" s="6" t="s">
        <v>90</v>
      </c>
      <c r="F202" s="3"/>
      <c r="G202" s="6" t="str">
        <f t="shared" si="41"/>
        <v>+30% Outflow</v>
      </c>
      <c r="H202" s="3">
        <v>2</v>
      </c>
      <c r="I202" s="6" t="s">
        <v>90</v>
      </c>
      <c r="J202" s="3"/>
      <c r="K202" s="6" t="str">
        <f t="shared" si="42"/>
        <v/>
      </c>
      <c r="L202" s="3">
        <v>2</v>
      </c>
      <c r="M202" s="6" t="s">
        <v>90</v>
      </c>
      <c r="N202" s="3"/>
      <c r="O202" s="6" t="str">
        <f t="shared" si="43"/>
        <v/>
      </c>
      <c r="P202" s="3">
        <v>2</v>
      </c>
      <c r="Q202" s="6" t="s">
        <v>90</v>
      </c>
      <c r="R202" s="3"/>
      <c r="S202" s="6" t="str">
        <f t="shared" si="44"/>
        <v/>
      </c>
      <c r="T202" s="3">
        <v>2</v>
      </c>
      <c r="U202" s="7" t="s">
        <v>90</v>
      </c>
    </row>
    <row r="203" spans="3:21" x14ac:dyDescent="0.25">
      <c r="C203" s="8" t="str">
        <f t="shared" si="40"/>
        <v/>
      </c>
      <c r="D203" s="3">
        <v>1</v>
      </c>
      <c r="E203" s="6" t="s">
        <v>91</v>
      </c>
      <c r="F203" s="3"/>
      <c r="G203" s="6" t="str">
        <f t="shared" si="41"/>
        <v/>
      </c>
      <c r="H203" s="3">
        <v>1</v>
      </c>
      <c r="I203" s="6" t="s">
        <v>91</v>
      </c>
      <c r="J203" s="3"/>
      <c r="K203" s="6" t="str">
        <f t="shared" si="42"/>
        <v/>
      </c>
      <c r="L203" s="3">
        <v>1</v>
      </c>
      <c r="M203" s="6" t="s">
        <v>91</v>
      </c>
      <c r="N203" s="3"/>
      <c r="O203" s="6" t="str">
        <f t="shared" si="43"/>
        <v/>
      </c>
      <c r="P203" s="3">
        <v>1</v>
      </c>
      <c r="Q203" s="6" t="s">
        <v>91</v>
      </c>
      <c r="R203" s="3"/>
      <c r="S203" s="6" t="str">
        <f t="shared" si="44"/>
        <v/>
      </c>
      <c r="T203" s="3">
        <v>1</v>
      </c>
      <c r="U203" s="7" t="s">
        <v>91</v>
      </c>
    </row>
    <row r="204" spans="3:21" ht="60" x14ac:dyDescent="0.25">
      <c r="C204" s="8" t="str">
        <f t="shared" si="40"/>
        <v>Historical Baseline (34%)</v>
      </c>
      <c r="D204" s="3">
        <v>0</v>
      </c>
      <c r="E204" s="6" t="s">
        <v>92</v>
      </c>
      <c r="F204" s="3"/>
      <c r="G204" s="6" t="str">
        <f t="shared" si="41"/>
        <v>Historical Baseline (100%), -10% Outflow</v>
      </c>
      <c r="H204" s="3">
        <v>0</v>
      </c>
      <c r="I204" s="6" t="s">
        <v>92</v>
      </c>
      <c r="J204" s="3"/>
      <c r="K204" s="6" t="str">
        <f t="shared" si="42"/>
        <v>Historical Baseline (31%)</v>
      </c>
      <c r="L204" s="3">
        <v>0</v>
      </c>
      <c r="M204" s="6" t="s">
        <v>92</v>
      </c>
      <c r="N204" s="3"/>
      <c r="O204" s="6" t="str">
        <f t="shared" si="43"/>
        <v>Historical Baseline (0%), +30% Outflow, -10% Outflow</v>
      </c>
      <c r="P204" s="3">
        <v>0</v>
      </c>
      <c r="Q204" s="6" t="s">
        <v>92</v>
      </c>
      <c r="R204" s="3"/>
      <c r="S204" s="6" t="str">
        <f t="shared" si="44"/>
        <v>Historical Baseline (0%), +30% Outflow, -10% Outflow</v>
      </c>
      <c r="T204" s="3">
        <v>0</v>
      </c>
      <c r="U204" s="7" t="s">
        <v>92</v>
      </c>
    </row>
    <row r="205" spans="3:21" ht="30" x14ac:dyDescent="0.25">
      <c r="C205" s="8" t="str">
        <f t="shared" si="40"/>
        <v>-10% Outflow</v>
      </c>
      <c r="D205" s="3">
        <v>-1</v>
      </c>
      <c r="E205" s="6" t="s">
        <v>93</v>
      </c>
      <c r="F205" s="3"/>
      <c r="G205" s="6" t="str">
        <f t="shared" si="41"/>
        <v/>
      </c>
      <c r="H205" s="3">
        <v>-1</v>
      </c>
      <c r="I205" s="6" t="s">
        <v>93</v>
      </c>
      <c r="J205" s="3"/>
      <c r="K205" s="6" t="str">
        <f t="shared" si="42"/>
        <v/>
      </c>
      <c r="L205" s="3">
        <v>-1</v>
      </c>
      <c r="M205" s="6" t="s">
        <v>93</v>
      </c>
      <c r="N205" s="3"/>
      <c r="O205" s="6" t="str">
        <f t="shared" si="43"/>
        <v/>
      </c>
      <c r="P205" s="3">
        <v>-1</v>
      </c>
      <c r="Q205" s="6" t="s">
        <v>93</v>
      </c>
      <c r="R205" s="3"/>
      <c r="S205" s="6" t="str">
        <f t="shared" si="44"/>
        <v/>
      </c>
      <c r="T205" s="3">
        <v>-1</v>
      </c>
      <c r="U205" s="7" t="s">
        <v>93</v>
      </c>
    </row>
    <row r="206" spans="3:21" x14ac:dyDescent="0.25">
      <c r="C206" s="8" t="str">
        <f t="shared" si="40"/>
        <v/>
      </c>
      <c r="D206" s="3">
        <v>-2</v>
      </c>
      <c r="E206" s="6" t="s">
        <v>94</v>
      </c>
      <c r="F206" s="3"/>
      <c r="G206" s="6" t="str">
        <f t="shared" si="41"/>
        <v/>
      </c>
      <c r="H206" s="3">
        <v>-2</v>
      </c>
      <c r="I206" s="6" t="s">
        <v>94</v>
      </c>
      <c r="J206" s="3"/>
      <c r="K206" s="6" t="str">
        <f t="shared" si="42"/>
        <v/>
      </c>
      <c r="L206" s="3">
        <v>-2</v>
      </c>
      <c r="M206" s="6" t="s">
        <v>94</v>
      </c>
      <c r="N206" s="3"/>
      <c r="O206" s="6" t="str">
        <f t="shared" si="43"/>
        <v/>
      </c>
      <c r="P206" s="3">
        <v>-2</v>
      </c>
      <c r="Q206" s="6" t="s">
        <v>94</v>
      </c>
      <c r="R206" s="3"/>
      <c r="S206" s="6" t="str">
        <f t="shared" si="44"/>
        <v/>
      </c>
      <c r="T206" s="3">
        <v>-2</v>
      </c>
      <c r="U206" s="7" t="s">
        <v>94</v>
      </c>
    </row>
    <row r="207" spans="3:21" x14ac:dyDescent="0.25">
      <c r="C207" s="8" t="str">
        <f t="shared" si="40"/>
        <v/>
      </c>
      <c r="D207" s="3">
        <v>-3</v>
      </c>
      <c r="E207" s="6" t="s">
        <v>95</v>
      </c>
      <c r="F207" s="3"/>
      <c r="G207" s="6" t="str">
        <f t="shared" si="41"/>
        <v/>
      </c>
      <c r="H207" s="3">
        <v>-3</v>
      </c>
      <c r="I207" s="6" t="s">
        <v>95</v>
      </c>
      <c r="J207" s="3"/>
      <c r="K207" s="6" t="str">
        <f t="shared" si="42"/>
        <v>-10% Outflow</v>
      </c>
      <c r="L207" s="3">
        <v>-3</v>
      </c>
      <c r="M207" s="6" t="s">
        <v>95</v>
      </c>
      <c r="N207" s="3"/>
      <c r="O207" s="6" t="str">
        <f t="shared" si="43"/>
        <v/>
      </c>
      <c r="P207" s="3">
        <v>-3</v>
      </c>
      <c r="Q207" s="6" t="s">
        <v>95</v>
      </c>
      <c r="R207" s="3"/>
      <c r="S207" s="6" t="str">
        <f t="shared" si="44"/>
        <v/>
      </c>
      <c r="T207" s="3">
        <v>-3</v>
      </c>
      <c r="U207" s="7" t="s">
        <v>95</v>
      </c>
    </row>
    <row r="208" spans="3:21" x14ac:dyDescent="0.25">
      <c r="C208" s="8" t="str">
        <f t="shared" si="40"/>
        <v/>
      </c>
      <c r="D208" s="3">
        <v>-4</v>
      </c>
      <c r="E208" s="6" t="s">
        <v>96</v>
      </c>
      <c r="F208" s="3"/>
      <c r="G208" s="6" t="str">
        <f t="shared" si="41"/>
        <v/>
      </c>
      <c r="H208" s="3">
        <v>-4</v>
      </c>
      <c r="I208" s="6" t="s">
        <v>96</v>
      </c>
      <c r="J208" s="3"/>
      <c r="K208" s="6" t="str">
        <f t="shared" si="42"/>
        <v/>
      </c>
      <c r="L208" s="3">
        <v>-4</v>
      </c>
      <c r="M208" s="6" t="s">
        <v>96</v>
      </c>
      <c r="N208" s="3"/>
      <c r="O208" s="6" t="str">
        <f t="shared" si="43"/>
        <v/>
      </c>
      <c r="P208" s="3">
        <v>-4</v>
      </c>
      <c r="Q208" s="6" t="s">
        <v>96</v>
      </c>
      <c r="R208" s="3"/>
      <c r="S208" s="6" t="str">
        <f t="shared" si="44"/>
        <v/>
      </c>
      <c r="T208" s="3">
        <v>-4</v>
      </c>
      <c r="U208" s="7" t="s">
        <v>96</v>
      </c>
    </row>
    <row r="209" spans="3:21" ht="45.75" thickBot="1" x14ac:dyDescent="0.3">
      <c r="C209" s="34" t="str">
        <f t="shared" si="40"/>
        <v/>
      </c>
      <c r="D209" s="9">
        <v>-5</v>
      </c>
      <c r="E209" s="10" t="s">
        <v>97</v>
      </c>
      <c r="F209" s="9"/>
      <c r="G209" s="10" t="str">
        <f t="shared" si="41"/>
        <v/>
      </c>
      <c r="H209" s="9">
        <v>-5</v>
      </c>
      <c r="I209" s="10" t="s">
        <v>97</v>
      </c>
      <c r="J209" s="9"/>
      <c r="K209" s="10" t="str">
        <f t="shared" si="42"/>
        <v/>
      </c>
      <c r="L209" s="9">
        <v>-5</v>
      </c>
      <c r="M209" s="10" t="s">
        <v>97</v>
      </c>
      <c r="N209" s="9"/>
      <c r="O209" s="10" t="str">
        <f t="shared" si="43"/>
        <v/>
      </c>
      <c r="P209" s="9">
        <v>-5</v>
      </c>
      <c r="Q209" s="10" t="s">
        <v>97</v>
      </c>
      <c r="R209" s="9"/>
      <c r="S209" s="10" t="str">
        <f t="shared" si="44"/>
        <v/>
      </c>
      <c r="T209" s="9">
        <v>-5</v>
      </c>
      <c r="U209" s="11" t="s">
        <v>97</v>
      </c>
    </row>
    <row r="212" spans="3:21" ht="15.75" thickBot="1" x14ac:dyDescent="0.3"/>
    <row r="213" spans="3:21" ht="15.75" thickBot="1" x14ac:dyDescent="0.3">
      <c r="C213" s="77" t="s">
        <v>71</v>
      </c>
      <c r="D213" s="78"/>
      <c r="E213" s="78"/>
      <c r="F213" s="78"/>
      <c r="G213" s="78"/>
      <c r="H213" s="78"/>
      <c r="I213" s="78"/>
      <c r="J213" s="78"/>
      <c r="K213" s="78"/>
      <c r="L213" s="78"/>
      <c r="M213" s="78"/>
      <c r="N213" s="78"/>
      <c r="O213" s="78"/>
      <c r="P213" s="78"/>
      <c r="Q213" s="78"/>
      <c r="R213" s="78"/>
      <c r="S213" s="78"/>
      <c r="T213" s="78"/>
      <c r="U213" s="79"/>
    </row>
    <row r="214" spans="3:21" ht="15.75" thickBot="1" x14ac:dyDescent="0.3">
      <c r="C214" s="89" t="s">
        <v>78</v>
      </c>
      <c r="D214" s="90"/>
      <c r="E214" s="90"/>
      <c r="F214" s="90"/>
      <c r="G214" s="90"/>
      <c r="H214" s="90"/>
      <c r="I214" s="90"/>
      <c r="J214" s="90"/>
      <c r="K214" s="90"/>
      <c r="L214" s="90"/>
      <c r="M214" s="90"/>
      <c r="N214" s="90"/>
      <c r="O214" s="90"/>
      <c r="P214" s="90"/>
      <c r="Q214" s="90"/>
      <c r="R214" s="90"/>
      <c r="S214" s="90"/>
      <c r="T214" s="90"/>
      <c r="U214" s="91"/>
    </row>
    <row r="215" spans="3:21" ht="15.75" thickBot="1" x14ac:dyDescent="0.3">
      <c r="C215" s="83" t="s">
        <v>51</v>
      </c>
      <c r="D215" s="84"/>
      <c r="E215" s="85"/>
      <c r="F215" s="12"/>
      <c r="G215" s="83" t="s">
        <v>33</v>
      </c>
      <c r="H215" s="84"/>
      <c r="I215" s="85"/>
      <c r="J215" s="12"/>
      <c r="K215" s="83" t="s">
        <v>34</v>
      </c>
      <c r="L215" s="84"/>
      <c r="M215" s="85"/>
      <c r="N215" s="12"/>
      <c r="O215" s="83" t="s">
        <v>35</v>
      </c>
      <c r="P215" s="84"/>
      <c r="Q215" s="85"/>
      <c r="R215" s="12"/>
      <c r="S215" s="83" t="s">
        <v>36</v>
      </c>
      <c r="T215" s="84"/>
      <c r="U215" s="85"/>
    </row>
    <row r="216" spans="3:21" x14ac:dyDescent="0.25">
      <c r="C216" s="13" t="s">
        <v>84</v>
      </c>
      <c r="D216" s="12" t="s">
        <v>85</v>
      </c>
      <c r="E216" s="12" t="s">
        <v>86</v>
      </c>
      <c r="F216" s="12"/>
      <c r="G216" s="12" t="s">
        <v>84</v>
      </c>
      <c r="H216" s="12" t="s">
        <v>85</v>
      </c>
      <c r="I216" s="12" t="s">
        <v>86</v>
      </c>
      <c r="J216" s="12"/>
      <c r="K216" s="12" t="s">
        <v>84</v>
      </c>
      <c r="L216" s="12" t="s">
        <v>85</v>
      </c>
      <c r="M216" s="12" t="s">
        <v>86</v>
      </c>
      <c r="N216" s="12"/>
      <c r="O216" s="12" t="s">
        <v>84</v>
      </c>
      <c r="P216" s="12" t="s">
        <v>85</v>
      </c>
      <c r="Q216" s="12" t="s">
        <v>86</v>
      </c>
      <c r="R216" s="12"/>
      <c r="S216" s="12" t="s">
        <v>84</v>
      </c>
      <c r="T216" s="12" t="s">
        <v>85</v>
      </c>
      <c r="U216" s="14" t="s">
        <v>86</v>
      </c>
    </row>
    <row r="217" spans="3:21" ht="45" x14ac:dyDescent="0.25">
      <c r="C217" s="17" t="str">
        <f t="shared" ref="C217:C227" si="45">_xlfn.TEXTJOIN(", ",TRUE,IF($E$22=D217,$E$21&amp;" ("&amp;TEXT($D$42,"0%")&amp;")",""),IF($F$22=D217,$F$21,""),IF($G$22=D217,$G$21,""))</f>
        <v>+30% Outflow</v>
      </c>
      <c r="D217" s="12">
        <v>5</v>
      </c>
      <c r="E217" s="15" t="s">
        <v>87</v>
      </c>
      <c r="F217" s="12"/>
      <c r="G217" s="15" t="str">
        <f t="shared" ref="G217:G227" si="46">_xlfn.TEXTJOIN(", ",TRUE,IF($E$23=H217,$E$21&amp;" ("&amp;TEXT($E$42,"0%")&amp;")",""),IF($F$23=H217,$F$21,""),IF($G$23=H217,$G$21,""))</f>
        <v>+30% Outflow</v>
      </c>
      <c r="H217" s="12">
        <v>5</v>
      </c>
      <c r="I217" s="15" t="s">
        <v>87</v>
      </c>
      <c r="J217" s="12"/>
      <c r="K217" s="15" t="str">
        <f t="shared" ref="K217:K227" si="47">_xlfn.TEXTJOIN(", ",TRUE,IF($E$24=L217,$E$21&amp;" ("&amp;TEXT($F$42,"0%")&amp;")",""),IF($F$24=L217,$F$21,""),IF($G$24=L217,$G$21,""))</f>
        <v>+30% Outflow</v>
      </c>
      <c r="L217" s="12">
        <v>5</v>
      </c>
      <c r="M217" s="15" t="s">
        <v>87</v>
      </c>
      <c r="N217" s="12"/>
      <c r="O217" s="15" t="str">
        <f t="shared" ref="O217:O227" si="48">_xlfn.TEXTJOIN(", ",TRUE,IF($E$25=P217,$E$21&amp;" ("&amp;TEXT($G$42,"0%")&amp;")",""),IF($F$25=P217,$F$21,""),IF($G$25=P217,$G$21,""))</f>
        <v/>
      </c>
      <c r="P217" s="12">
        <v>5</v>
      </c>
      <c r="Q217" s="15" t="s">
        <v>87</v>
      </c>
      <c r="R217" s="12"/>
      <c r="S217" s="15" t="str">
        <f t="shared" ref="S217:S227" si="49">_xlfn.TEXTJOIN(", ",TRUE,IF($E$26=T217,$E$21&amp;" ("&amp;TEXT($H$42,"0%")&amp;")",""),IF($F$26=T217,$F$21,""),IF($G$26=T217,$G$21,""))</f>
        <v/>
      </c>
      <c r="T217" s="12">
        <v>5</v>
      </c>
      <c r="U217" s="16" t="s">
        <v>87</v>
      </c>
    </row>
    <row r="218" spans="3:21" x14ac:dyDescent="0.25">
      <c r="C218" s="17" t="str">
        <f t="shared" si="45"/>
        <v/>
      </c>
      <c r="D218" s="12">
        <v>4</v>
      </c>
      <c r="E218" s="15" t="s">
        <v>88</v>
      </c>
      <c r="F218" s="12"/>
      <c r="G218" s="15" t="str">
        <f t="shared" si="46"/>
        <v/>
      </c>
      <c r="H218" s="12">
        <v>4</v>
      </c>
      <c r="I218" s="15" t="s">
        <v>88</v>
      </c>
      <c r="J218" s="12"/>
      <c r="K218" s="15" t="str">
        <f t="shared" si="47"/>
        <v/>
      </c>
      <c r="L218" s="12">
        <v>4</v>
      </c>
      <c r="M218" s="15" t="s">
        <v>88</v>
      </c>
      <c r="N218" s="12"/>
      <c r="O218" s="15" t="str">
        <f t="shared" si="48"/>
        <v/>
      </c>
      <c r="P218" s="12">
        <v>4</v>
      </c>
      <c r="Q218" s="15" t="s">
        <v>88</v>
      </c>
      <c r="R218" s="12"/>
      <c r="S218" s="15" t="str">
        <f t="shared" si="49"/>
        <v/>
      </c>
      <c r="T218" s="12">
        <v>4</v>
      </c>
      <c r="U218" s="16" t="s">
        <v>88</v>
      </c>
    </row>
    <row r="219" spans="3:21" x14ac:dyDescent="0.25">
      <c r="C219" s="17" t="str">
        <f t="shared" si="45"/>
        <v/>
      </c>
      <c r="D219" s="12">
        <v>3</v>
      </c>
      <c r="E219" s="15" t="s">
        <v>89</v>
      </c>
      <c r="F219" s="12"/>
      <c r="G219" s="15" t="str">
        <f t="shared" si="46"/>
        <v/>
      </c>
      <c r="H219" s="12">
        <v>3</v>
      </c>
      <c r="I219" s="15" t="s">
        <v>89</v>
      </c>
      <c r="J219" s="12"/>
      <c r="K219" s="15" t="str">
        <f t="shared" si="47"/>
        <v/>
      </c>
      <c r="L219" s="12">
        <v>3</v>
      </c>
      <c r="M219" s="15" t="s">
        <v>89</v>
      </c>
      <c r="N219" s="12"/>
      <c r="O219" s="15" t="str">
        <f t="shared" si="48"/>
        <v/>
      </c>
      <c r="P219" s="12">
        <v>3</v>
      </c>
      <c r="Q219" s="15" t="s">
        <v>89</v>
      </c>
      <c r="R219" s="12"/>
      <c r="S219" s="15" t="str">
        <f t="shared" si="49"/>
        <v/>
      </c>
      <c r="T219" s="12">
        <v>3</v>
      </c>
      <c r="U219" s="16" t="s">
        <v>89</v>
      </c>
    </row>
    <row r="220" spans="3:21" x14ac:dyDescent="0.25">
      <c r="C220" s="17" t="str">
        <f t="shared" si="45"/>
        <v/>
      </c>
      <c r="D220" s="12">
        <v>2</v>
      </c>
      <c r="E220" s="15" t="s">
        <v>90</v>
      </c>
      <c r="F220" s="12"/>
      <c r="G220" s="15" t="str">
        <f t="shared" si="46"/>
        <v/>
      </c>
      <c r="H220" s="12">
        <v>2</v>
      </c>
      <c r="I220" s="15" t="s">
        <v>90</v>
      </c>
      <c r="J220" s="12"/>
      <c r="K220" s="15" t="str">
        <f t="shared" si="47"/>
        <v/>
      </c>
      <c r="L220" s="12">
        <v>2</v>
      </c>
      <c r="M220" s="15" t="s">
        <v>90</v>
      </c>
      <c r="N220" s="12"/>
      <c r="O220" s="15" t="str">
        <f t="shared" si="48"/>
        <v/>
      </c>
      <c r="P220" s="12">
        <v>2</v>
      </c>
      <c r="Q220" s="15" t="s">
        <v>90</v>
      </c>
      <c r="R220" s="12"/>
      <c r="S220" s="15" t="str">
        <f t="shared" si="49"/>
        <v/>
      </c>
      <c r="T220" s="12">
        <v>2</v>
      </c>
      <c r="U220" s="16" t="s">
        <v>90</v>
      </c>
    </row>
    <row r="221" spans="3:21" x14ac:dyDescent="0.25">
      <c r="C221" s="17" t="str">
        <f t="shared" si="45"/>
        <v/>
      </c>
      <c r="D221" s="12">
        <v>1</v>
      </c>
      <c r="E221" s="15" t="s">
        <v>91</v>
      </c>
      <c r="F221" s="12"/>
      <c r="G221" s="15" t="str">
        <f t="shared" si="46"/>
        <v/>
      </c>
      <c r="H221" s="12">
        <v>1</v>
      </c>
      <c r="I221" s="15" t="s">
        <v>91</v>
      </c>
      <c r="J221" s="12"/>
      <c r="K221" s="15" t="str">
        <f t="shared" si="47"/>
        <v/>
      </c>
      <c r="L221" s="12">
        <v>1</v>
      </c>
      <c r="M221" s="15" t="s">
        <v>91</v>
      </c>
      <c r="N221" s="12"/>
      <c r="O221" s="15" t="str">
        <f t="shared" si="48"/>
        <v/>
      </c>
      <c r="P221" s="12">
        <v>1</v>
      </c>
      <c r="Q221" s="15" t="s">
        <v>91</v>
      </c>
      <c r="R221" s="12"/>
      <c r="S221" s="15" t="str">
        <f t="shared" si="49"/>
        <v/>
      </c>
      <c r="T221" s="12">
        <v>1</v>
      </c>
      <c r="U221" s="16" t="s">
        <v>91</v>
      </c>
    </row>
    <row r="222" spans="3:21" ht="60" x14ac:dyDescent="0.25">
      <c r="C222" s="17" t="str">
        <f t="shared" si="45"/>
        <v>Historical Baseline (26%)</v>
      </c>
      <c r="D222" s="12">
        <v>0</v>
      </c>
      <c r="E222" s="15" t="s">
        <v>92</v>
      </c>
      <c r="F222" s="12"/>
      <c r="G222" s="15" t="str">
        <f t="shared" si="46"/>
        <v>Historical Baseline (85%)</v>
      </c>
      <c r="H222" s="12">
        <v>0</v>
      </c>
      <c r="I222" s="15" t="s">
        <v>92</v>
      </c>
      <c r="J222" s="12"/>
      <c r="K222" s="15" t="str">
        <f t="shared" si="47"/>
        <v>Historical Baseline (17%), -10% Outflow</v>
      </c>
      <c r="L222" s="12">
        <v>0</v>
      </c>
      <c r="M222" s="15" t="s">
        <v>92</v>
      </c>
      <c r="N222" s="12"/>
      <c r="O222" s="6" t="str">
        <f t="shared" si="48"/>
        <v>Historical Baseline (0%), +30% Outflow, -10% Outflow</v>
      </c>
      <c r="P222" s="12">
        <v>0</v>
      </c>
      <c r="Q222" s="15" t="s">
        <v>92</v>
      </c>
      <c r="R222" s="12"/>
      <c r="S222" s="6" t="str">
        <f t="shared" si="49"/>
        <v>Historical Baseline (0%), +30% Outflow, -10% Outflow</v>
      </c>
      <c r="T222" s="12">
        <v>0</v>
      </c>
      <c r="U222" s="16" t="s">
        <v>92</v>
      </c>
    </row>
    <row r="223" spans="3:21" ht="30" x14ac:dyDescent="0.25">
      <c r="C223" s="17" t="str">
        <f t="shared" si="45"/>
        <v>-10% Outflow</v>
      </c>
      <c r="D223" s="12">
        <v>-1</v>
      </c>
      <c r="E223" s="15" t="s">
        <v>93</v>
      </c>
      <c r="F223" s="12"/>
      <c r="G223" s="15" t="str">
        <f t="shared" si="46"/>
        <v/>
      </c>
      <c r="H223" s="12">
        <v>-1</v>
      </c>
      <c r="I223" s="15" t="s">
        <v>93</v>
      </c>
      <c r="J223" s="12"/>
      <c r="K223" s="15" t="str">
        <f t="shared" si="47"/>
        <v/>
      </c>
      <c r="L223" s="12">
        <v>-1</v>
      </c>
      <c r="M223" s="15" t="s">
        <v>93</v>
      </c>
      <c r="N223" s="12"/>
      <c r="O223" s="15" t="str">
        <f t="shared" si="48"/>
        <v/>
      </c>
      <c r="P223" s="12">
        <v>-1</v>
      </c>
      <c r="Q223" s="15" t="s">
        <v>93</v>
      </c>
      <c r="R223" s="12"/>
      <c r="S223" s="15" t="str">
        <f t="shared" si="49"/>
        <v/>
      </c>
      <c r="T223" s="12">
        <v>-1</v>
      </c>
      <c r="U223" s="16" t="s">
        <v>93</v>
      </c>
    </row>
    <row r="224" spans="3:21" x14ac:dyDescent="0.25">
      <c r="C224" s="17" t="str">
        <f t="shared" si="45"/>
        <v/>
      </c>
      <c r="D224" s="12">
        <v>-2</v>
      </c>
      <c r="E224" s="15" t="s">
        <v>94</v>
      </c>
      <c r="F224" s="12"/>
      <c r="G224" s="15" t="str">
        <f t="shared" si="46"/>
        <v>-10% Outflow</v>
      </c>
      <c r="H224" s="12">
        <v>-2</v>
      </c>
      <c r="I224" s="15" t="s">
        <v>94</v>
      </c>
      <c r="J224" s="12"/>
      <c r="K224" s="15" t="str">
        <f t="shared" si="47"/>
        <v/>
      </c>
      <c r="L224" s="12">
        <v>-2</v>
      </c>
      <c r="M224" s="15" t="s">
        <v>94</v>
      </c>
      <c r="N224" s="12"/>
      <c r="O224" s="15" t="str">
        <f t="shared" si="48"/>
        <v/>
      </c>
      <c r="P224" s="12">
        <v>-2</v>
      </c>
      <c r="Q224" s="15" t="s">
        <v>94</v>
      </c>
      <c r="R224" s="12"/>
      <c r="S224" s="15" t="str">
        <f t="shared" si="49"/>
        <v/>
      </c>
      <c r="T224" s="12">
        <v>-2</v>
      </c>
      <c r="U224" s="16" t="s">
        <v>94</v>
      </c>
    </row>
    <row r="225" spans="3:21" x14ac:dyDescent="0.25">
      <c r="C225" s="17" t="str">
        <f t="shared" si="45"/>
        <v/>
      </c>
      <c r="D225" s="12">
        <v>-3</v>
      </c>
      <c r="E225" s="15" t="s">
        <v>95</v>
      </c>
      <c r="F225" s="12"/>
      <c r="G225" s="15" t="str">
        <f t="shared" si="46"/>
        <v/>
      </c>
      <c r="H225" s="12">
        <v>-3</v>
      </c>
      <c r="I225" s="15" t="s">
        <v>95</v>
      </c>
      <c r="J225" s="12"/>
      <c r="K225" s="15" t="str">
        <f t="shared" si="47"/>
        <v/>
      </c>
      <c r="L225" s="12">
        <v>-3</v>
      </c>
      <c r="M225" s="15" t="s">
        <v>95</v>
      </c>
      <c r="N225" s="12"/>
      <c r="O225" s="15" t="str">
        <f t="shared" si="48"/>
        <v/>
      </c>
      <c r="P225" s="12">
        <v>-3</v>
      </c>
      <c r="Q225" s="15" t="s">
        <v>95</v>
      </c>
      <c r="R225" s="12"/>
      <c r="S225" s="15" t="str">
        <f t="shared" si="49"/>
        <v/>
      </c>
      <c r="T225" s="12">
        <v>-3</v>
      </c>
      <c r="U225" s="16" t="s">
        <v>95</v>
      </c>
    </row>
    <row r="226" spans="3:21" x14ac:dyDescent="0.25">
      <c r="C226" s="17" t="str">
        <f t="shared" si="45"/>
        <v/>
      </c>
      <c r="D226" s="12">
        <v>-4</v>
      </c>
      <c r="E226" s="15" t="s">
        <v>96</v>
      </c>
      <c r="F226" s="12"/>
      <c r="G226" s="15" t="str">
        <f t="shared" si="46"/>
        <v/>
      </c>
      <c r="H226" s="12">
        <v>-4</v>
      </c>
      <c r="I226" s="15" t="s">
        <v>96</v>
      </c>
      <c r="J226" s="12"/>
      <c r="K226" s="15" t="str">
        <f t="shared" si="47"/>
        <v/>
      </c>
      <c r="L226" s="12">
        <v>-4</v>
      </c>
      <c r="M226" s="15" t="s">
        <v>96</v>
      </c>
      <c r="N226" s="12"/>
      <c r="O226" s="15" t="str">
        <f t="shared" si="48"/>
        <v/>
      </c>
      <c r="P226" s="12">
        <v>-4</v>
      </c>
      <c r="Q226" s="15" t="s">
        <v>96</v>
      </c>
      <c r="R226" s="12"/>
      <c r="S226" s="15" t="str">
        <f t="shared" si="49"/>
        <v/>
      </c>
      <c r="T226" s="12">
        <v>-4</v>
      </c>
      <c r="U226" s="16" t="s">
        <v>96</v>
      </c>
    </row>
    <row r="227" spans="3:21" ht="45.75" thickBot="1" x14ac:dyDescent="0.3">
      <c r="C227" s="35" t="str">
        <f t="shared" si="45"/>
        <v/>
      </c>
      <c r="D227" s="18">
        <v>-5</v>
      </c>
      <c r="E227" s="19" t="s">
        <v>97</v>
      </c>
      <c r="F227" s="18"/>
      <c r="G227" s="19" t="str">
        <f t="shared" si="46"/>
        <v/>
      </c>
      <c r="H227" s="18">
        <v>-5</v>
      </c>
      <c r="I227" s="19" t="s">
        <v>97</v>
      </c>
      <c r="J227" s="18"/>
      <c r="K227" s="19" t="str">
        <f t="shared" si="47"/>
        <v/>
      </c>
      <c r="L227" s="18">
        <v>-5</v>
      </c>
      <c r="M227" s="19" t="s">
        <v>97</v>
      </c>
      <c r="N227" s="18"/>
      <c r="O227" s="19" t="str">
        <f t="shared" si="48"/>
        <v/>
      </c>
      <c r="P227" s="18">
        <v>-5</v>
      </c>
      <c r="Q227" s="19" t="s">
        <v>97</v>
      </c>
      <c r="R227" s="18"/>
      <c r="S227" s="19" t="str">
        <f t="shared" si="49"/>
        <v/>
      </c>
      <c r="T227" s="18">
        <v>-5</v>
      </c>
      <c r="U227" s="20" t="s">
        <v>97</v>
      </c>
    </row>
    <row r="228" spans="3:21" ht="15.75" thickBot="1" x14ac:dyDescent="0.3">
      <c r="C228" s="21"/>
      <c r="D228" s="21"/>
      <c r="E228" s="21"/>
      <c r="F228" s="21"/>
      <c r="G228" s="21"/>
      <c r="H228" s="21"/>
      <c r="I228" s="21"/>
      <c r="J228" s="21"/>
      <c r="K228" s="21"/>
      <c r="L228" s="21"/>
      <c r="M228" s="21"/>
      <c r="N228" s="21"/>
      <c r="O228" s="21"/>
      <c r="P228" s="21"/>
      <c r="Q228" s="21"/>
      <c r="R228" s="21"/>
      <c r="S228" s="21"/>
      <c r="T228" s="21"/>
      <c r="U228" s="21"/>
    </row>
    <row r="229" spans="3:21" ht="15.75" thickBot="1" x14ac:dyDescent="0.3">
      <c r="C229" s="77" t="s">
        <v>71</v>
      </c>
      <c r="D229" s="78"/>
      <c r="E229" s="78"/>
      <c r="F229" s="78"/>
      <c r="G229" s="78"/>
      <c r="H229" s="78"/>
      <c r="I229" s="78"/>
      <c r="J229" s="78"/>
      <c r="K229" s="78"/>
      <c r="L229" s="78"/>
      <c r="M229" s="78"/>
      <c r="N229" s="78"/>
      <c r="O229" s="78"/>
      <c r="P229" s="78"/>
      <c r="Q229" s="78"/>
      <c r="R229" s="78"/>
      <c r="S229" s="78"/>
      <c r="T229" s="78"/>
      <c r="U229" s="79"/>
    </row>
    <row r="230" spans="3:21" ht="15.75" thickBot="1" x14ac:dyDescent="0.3">
      <c r="C230" s="86" t="s">
        <v>79</v>
      </c>
      <c r="D230" s="87"/>
      <c r="E230" s="87"/>
      <c r="F230" s="87"/>
      <c r="G230" s="87"/>
      <c r="H230" s="87"/>
      <c r="I230" s="87"/>
      <c r="J230" s="87"/>
      <c r="K230" s="87"/>
      <c r="L230" s="87"/>
      <c r="M230" s="87"/>
      <c r="N230" s="87"/>
      <c r="O230" s="87"/>
      <c r="P230" s="87"/>
      <c r="Q230" s="87"/>
      <c r="R230" s="87"/>
      <c r="S230" s="87"/>
      <c r="T230" s="87"/>
      <c r="U230" s="88"/>
    </row>
    <row r="231" spans="3:21" ht="15.75" thickBot="1" x14ac:dyDescent="0.3">
      <c r="C231" s="83" t="s">
        <v>51</v>
      </c>
      <c r="D231" s="84"/>
      <c r="E231" s="85"/>
      <c r="F231" s="12"/>
      <c r="G231" s="83" t="s">
        <v>33</v>
      </c>
      <c r="H231" s="84"/>
      <c r="I231" s="85"/>
      <c r="J231" s="12"/>
      <c r="K231" s="83" t="s">
        <v>34</v>
      </c>
      <c r="L231" s="84"/>
      <c r="M231" s="85"/>
      <c r="N231" s="12"/>
      <c r="O231" s="83" t="s">
        <v>35</v>
      </c>
      <c r="P231" s="84"/>
      <c r="Q231" s="85"/>
      <c r="R231" s="12"/>
      <c r="S231" s="83" t="s">
        <v>36</v>
      </c>
      <c r="T231" s="84"/>
      <c r="U231" s="85"/>
    </row>
    <row r="232" spans="3:21" x14ac:dyDescent="0.25">
      <c r="C232" s="13" t="s">
        <v>84</v>
      </c>
      <c r="D232" s="12" t="s">
        <v>85</v>
      </c>
      <c r="E232" s="12" t="s">
        <v>86</v>
      </c>
      <c r="F232" s="12"/>
      <c r="G232" s="12" t="s">
        <v>84</v>
      </c>
      <c r="H232" s="12" t="s">
        <v>85</v>
      </c>
      <c r="I232" s="12" t="s">
        <v>86</v>
      </c>
      <c r="J232" s="12"/>
      <c r="K232" s="12" t="s">
        <v>84</v>
      </c>
      <c r="L232" s="12" t="s">
        <v>85</v>
      </c>
      <c r="M232" s="12" t="s">
        <v>86</v>
      </c>
      <c r="N232" s="12"/>
      <c r="O232" s="12" t="s">
        <v>84</v>
      </c>
      <c r="P232" s="12" t="s">
        <v>85</v>
      </c>
      <c r="Q232" s="12" t="s">
        <v>86</v>
      </c>
      <c r="R232" s="12"/>
      <c r="S232" s="12" t="s">
        <v>84</v>
      </c>
      <c r="T232" s="12" t="s">
        <v>85</v>
      </c>
      <c r="U232" s="14" t="s">
        <v>86</v>
      </c>
    </row>
    <row r="233" spans="3:21" ht="45" x14ac:dyDescent="0.25">
      <c r="C233" s="17" t="str">
        <f t="shared" ref="C233:C243" si="50">_xlfn.TEXTJOIN(", ",TRUE,IF($K$22=D233,$K$21&amp;" ("&amp;TEXT($I$42,"0%")&amp;")",""),IF($L$22=D233,$L$21,""),IF($M$22=D233,$M$21,""))</f>
        <v>+30% Outflow</v>
      </c>
      <c r="D233" s="12">
        <v>5</v>
      </c>
      <c r="E233" s="15" t="s">
        <v>87</v>
      </c>
      <c r="F233" s="12"/>
      <c r="G233" s="15" t="str">
        <f t="shared" ref="G233:G243" si="51">_xlfn.TEXTJOIN(", ",TRUE,IF($K$23=H233,$K$21&amp;" ("&amp;TEXT($J$42,"0%")&amp;")",""),IF($L$23=H233,$L$21,""),IF($M$23=H233,$M$21,""))</f>
        <v>+30% Outflow</v>
      </c>
      <c r="H233" s="12">
        <v>5</v>
      </c>
      <c r="I233" s="15" t="s">
        <v>87</v>
      </c>
      <c r="J233" s="12"/>
      <c r="K233" s="15" t="str">
        <f t="shared" ref="K233:K243" si="52">_xlfn.TEXTJOIN(", ",TRUE,IF($K$24=L233,$K$21&amp;" ("&amp;TEXT($K$42,"0%")&amp;")",""),IF($L$24=L233,$L$21,""),IF($M$24=L233,$M$21,""))</f>
        <v>+30% Outflow</v>
      </c>
      <c r="L233" s="12">
        <v>5</v>
      </c>
      <c r="M233" s="15" t="s">
        <v>87</v>
      </c>
      <c r="N233" s="12"/>
      <c r="O233" s="15" t="str">
        <f t="shared" ref="O233:O243" si="53">_xlfn.TEXTJOIN(", ",TRUE,IF($K$25=P233,$K$21&amp;" ("&amp;TEXT($L$42,"0%")&amp;")",""),IF($L$25=P233,$L$21,""),IF($M$25=P233,$M$21,""))</f>
        <v/>
      </c>
      <c r="P233" s="12">
        <v>5</v>
      </c>
      <c r="Q233" s="15" t="s">
        <v>87</v>
      </c>
      <c r="R233" s="12"/>
      <c r="S233" s="15" t="str">
        <f t="shared" ref="S233:S243" si="54">_xlfn.TEXTJOIN(", ",TRUE,IF($K$26=T233,$K$21&amp;" ("&amp;TEXT($M$42,"0%")&amp;")",""),IF($L$26=T233,$L$21,""),IF($M$26=T233,$M$21,""))</f>
        <v/>
      </c>
      <c r="T233" s="12">
        <v>5</v>
      </c>
      <c r="U233" s="16" t="s">
        <v>87</v>
      </c>
    </row>
    <row r="234" spans="3:21" x14ac:dyDescent="0.25">
      <c r="C234" s="17" t="str">
        <f t="shared" si="50"/>
        <v/>
      </c>
      <c r="D234" s="12">
        <v>4</v>
      </c>
      <c r="E234" s="15" t="s">
        <v>88</v>
      </c>
      <c r="F234" s="12"/>
      <c r="G234" s="15" t="str">
        <f t="shared" si="51"/>
        <v/>
      </c>
      <c r="H234" s="12">
        <v>4</v>
      </c>
      <c r="I234" s="15" t="s">
        <v>88</v>
      </c>
      <c r="J234" s="12"/>
      <c r="K234" s="15" t="str">
        <f t="shared" si="52"/>
        <v/>
      </c>
      <c r="L234" s="12">
        <v>4</v>
      </c>
      <c r="M234" s="15" t="s">
        <v>88</v>
      </c>
      <c r="N234" s="12"/>
      <c r="O234" s="15" t="str">
        <f t="shared" si="53"/>
        <v/>
      </c>
      <c r="P234" s="12">
        <v>4</v>
      </c>
      <c r="Q234" s="15" t="s">
        <v>88</v>
      </c>
      <c r="R234" s="12"/>
      <c r="S234" s="15" t="str">
        <f t="shared" si="54"/>
        <v/>
      </c>
      <c r="T234" s="12">
        <v>4</v>
      </c>
      <c r="U234" s="16" t="s">
        <v>88</v>
      </c>
    </row>
    <row r="235" spans="3:21" x14ac:dyDescent="0.25">
      <c r="C235" s="17" t="str">
        <f t="shared" si="50"/>
        <v/>
      </c>
      <c r="D235" s="12">
        <v>3</v>
      </c>
      <c r="E235" s="15" t="s">
        <v>89</v>
      </c>
      <c r="F235" s="12"/>
      <c r="G235" s="15" t="str">
        <f t="shared" si="51"/>
        <v/>
      </c>
      <c r="H235" s="12">
        <v>3</v>
      </c>
      <c r="I235" s="15" t="s">
        <v>89</v>
      </c>
      <c r="J235" s="12"/>
      <c r="K235" s="15" t="str">
        <f t="shared" si="52"/>
        <v/>
      </c>
      <c r="L235" s="12">
        <v>3</v>
      </c>
      <c r="M235" s="15" t="s">
        <v>89</v>
      </c>
      <c r="N235" s="12"/>
      <c r="O235" s="15" t="str">
        <f t="shared" si="53"/>
        <v/>
      </c>
      <c r="P235" s="12">
        <v>3</v>
      </c>
      <c r="Q235" s="15" t="s">
        <v>89</v>
      </c>
      <c r="R235" s="12"/>
      <c r="S235" s="15" t="str">
        <f t="shared" si="54"/>
        <v/>
      </c>
      <c r="T235" s="12">
        <v>3</v>
      </c>
      <c r="U235" s="16" t="s">
        <v>89</v>
      </c>
    </row>
    <row r="236" spans="3:21" x14ac:dyDescent="0.25">
      <c r="C236" s="17" t="str">
        <f t="shared" si="50"/>
        <v/>
      </c>
      <c r="D236" s="12">
        <v>2</v>
      </c>
      <c r="E236" s="15" t="s">
        <v>90</v>
      </c>
      <c r="F236" s="12"/>
      <c r="G236" s="15" t="str">
        <f t="shared" si="51"/>
        <v/>
      </c>
      <c r="H236" s="12">
        <v>2</v>
      </c>
      <c r="I236" s="15" t="s">
        <v>90</v>
      </c>
      <c r="J236" s="12"/>
      <c r="K236" s="15" t="str">
        <f t="shared" si="52"/>
        <v/>
      </c>
      <c r="L236" s="12">
        <v>2</v>
      </c>
      <c r="M236" s="15" t="s">
        <v>90</v>
      </c>
      <c r="N236" s="12"/>
      <c r="O236" s="15" t="str">
        <f t="shared" si="53"/>
        <v/>
      </c>
      <c r="P236" s="12">
        <v>2</v>
      </c>
      <c r="Q236" s="15" t="s">
        <v>90</v>
      </c>
      <c r="R236" s="12"/>
      <c r="S236" s="15" t="str">
        <f t="shared" si="54"/>
        <v/>
      </c>
      <c r="T236" s="12">
        <v>2</v>
      </c>
      <c r="U236" s="16" t="s">
        <v>90</v>
      </c>
    </row>
    <row r="237" spans="3:21" x14ac:dyDescent="0.25">
      <c r="C237" s="17" t="str">
        <f t="shared" si="50"/>
        <v/>
      </c>
      <c r="D237" s="12">
        <v>1</v>
      </c>
      <c r="E237" s="15" t="s">
        <v>91</v>
      </c>
      <c r="F237" s="12"/>
      <c r="G237" s="15" t="str">
        <f t="shared" si="51"/>
        <v/>
      </c>
      <c r="H237" s="12">
        <v>1</v>
      </c>
      <c r="I237" s="15" t="s">
        <v>91</v>
      </c>
      <c r="J237" s="12"/>
      <c r="K237" s="15" t="str">
        <f t="shared" si="52"/>
        <v/>
      </c>
      <c r="L237" s="12">
        <v>1</v>
      </c>
      <c r="M237" s="15" t="s">
        <v>91</v>
      </c>
      <c r="N237" s="12"/>
      <c r="O237" s="15" t="str">
        <f t="shared" si="53"/>
        <v/>
      </c>
      <c r="P237" s="12">
        <v>1</v>
      </c>
      <c r="Q237" s="15" t="s">
        <v>91</v>
      </c>
      <c r="R237" s="12"/>
      <c r="S237" s="15" t="str">
        <f t="shared" si="54"/>
        <v/>
      </c>
      <c r="T237" s="12">
        <v>1</v>
      </c>
      <c r="U237" s="16" t="s">
        <v>91</v>
      </c>
    </row>
    <row r="238" spans="3:21" ht="60" x14ac:dyDescent="0.25">
      <c r="C238" s="17" t="str">
        <f t="shared" si="50"/>
        <v>Historical Baseline (24%)</v>
      </c>
      <c r="D238" s="12">
        <v>0</v>
      </c>
      <c r="E238" s="15" t="s">
        <v>92</v>
      </c>
      <c r="F238" s="12"/>
      <c r="G238" s="15" t="str">
        <f t="shared" si="51"/>
        <v>Historical Baseline (79%)</v>
      </c>
      <c r="H238" s="12">
        <v>0</v>
      </c>
      <c r="I238" s="15" t="s">
        <v>92</v>
      </c>
      <c r="J238" s="12"/>
      <c r="K238" s="15" t="str">
        <f t="shared" si="52"/>
        <v>Historical Baseline (14%)</v>
      </c>
      <c r="L238" s="12">
        <v>0</v>
      </c>
      <c r="M238" s="15" t="s">
        <v>92</v>
      </c>
      <c r="N238" s="12"/>
      <c r="O238" s="6" t="str">
        <f t="shared" si="53"/>
        <v>Historical Baseline (0%), +30% Outflow, -10% Outflow</v>
      </c>
      <c r="P238" s="12">
        <v>0</v>
      </c>
      <c r="Q238" s="15" t="s">
        <v>92</v>
      </c>
      <c r="R238" s="12"/>
      <c r="S238" s="6" t="str">
        <f t="shared" si="54"/>
        <v>Historical Baseline (0%), +30% Outflow, -10% Outflow</v>
      </c>
      <c r="T238" s="12">
        <v>0</v>
      </c>
      <c r="U238" s="16" t="s">
        <v>92</v>
      </c>
    </row>
    <row r="239" spans="3:21" ht="30" x14ac:dyDescent="0.25">
      <c r="C239" s="17" t="str">
        <f t="shared" si="50"/>
        <v>-10% Outflow</v>
      </c>
      <c r="D239" s="12">
        <v>-1</v>
      </c>
      <c r="E239" s="15" t="s">
        <v>93</v>
      </c>
      <c r="F239" s="12"/>
      <c r="G239" s="15" t="str">
        <f t="shared" si="51"/>
        <v/>
      </c>
      <c r="H239" s="12">
        <v>-1</v>
      </c>
      <c r="I239" s="15" t="s">
        <v>93</v>
      </c>
      <c r="J239" s="12"/>
      <c r="K239" s="15" t="str">
        <f t="shared" si="52"/>
        <v>-10% Outflow</v>
      </c>
      <c r="L239" s="12">
        <v>-1</v>
      </c>
      <c r="M239" s="15" t="s">
        <v>93</v>
      </c>
      <c r="N239" s="12"/>
      <c r="O239" s="15" t="str">
        <f t="shared" si="53"/>
        <v/>
      </c>
      <c r="P239" s="12">
        <v>-1</v>
      </c>
      <c r="Q239" s="15" t="s">
        <v>93</v>
      </c>
      <c r="R239" s="12"/>
      <c r="S239" s="15" t="str">
        <f t="shared" si="54"/>
        <v/>
      </c>
      <c r="T239" s="12">
        <v>-1</v>
      </c>
      <c r="U239" s="16" t="s">
        <v>93</v>
      </c>
    </row>
    <row r="240" spans="3:21" x14ac:dyDescent="0.25">
      <c r="C240" s="17" t="str">
        <f t="shared" si="50"/>
        <v/>
      </c>
      <c r="D240" s="12">
        <v>-2</v>
      </c>
      <c r="E240" s="15" t="s">
        <v>94</v>
      </c>
      <c r="F240" s="12"/>
      <c r="G240" s="15" t="str">
        <f t="shared" si="51"/>
        <v/>
      </c>
      <c r="H240" s="12">
        <v>-2</v>
      </c>
      <c r="I240" s="15" t="s">
        <v>94</v>
      </c>
      <c r="J240" s="12"/>
      <c r="K240" s="15" t="str">
        <f t="shared" si="52"/>
        <v/>
      </c>
      <c r="L240" s="12">
        <v>-2</v>
      </c>
      <c r="M240" s="15" t="s">
        <v>94</v>
      </c>
      <c r="N240" s="12"/>
      <c r="O240" s="15" t="str">
        <f t="shared" si="53"/>
        <v/>
      </c>
      <c r="P240" s="12">
        <v>-2</v>
      </c>
      <c r="Q240" s="15" t="s">
        <v>94</v>
      </c>
      <c r="R240" s="12"/>
      <c r="S240" s="15" t="str">
        <f t="shared" si="54"/>
        <v/>
      </c>
      <c r="T240" s="12">
        <v>-2</v>
      </c>
      <c r="U240" s="16" t="s">
        <v>94</v>
      </c>
    </row>
    <row r="241" spans="3:21" x14ac:dyDescent="0.25">
      <c r="C241" s="17" t="str">
        <f t="shared" si="50"/>
        <v/>
      </c>
      <c r="D241" s="12">
        <v>-3</v>
      </c>
      <c r="E241" s="15" t="s">
        <v>95</v>
      </c>
      <c r="F241" s="12"/>
      <c r="G241" s="15" t="str">
        <f t="shared" si="51"/>
        <v>-10% Outflow</v>
      </c>
      <c r="H241" s="12">
        <v>-3</v>
      </c>
      <c r="I241" s="15" t="s">
        <v>95</v>
      </c>
      <c r="J241" s="12"/>
      <c r="K241" s="15" t="str">
        <f t="shared" si="52"/>
        <v/>
      </c>
      <c r="L241" s="12">
        <v>-3</v>
      </c>
      <c r="M241" s="15" t="s">
        <v>95</v>
      </c>
      <c r="N241" s="12"/>
      <c r="O241" s="15" t="str">
        <f t="shared" si="53"/>
        <v/>
      </c>
      <c r="P241" s="12">
        <v>-3</v>
      </c>
      <c r="Q241" s="15" t="s">
        <v>95</v>
      </c>
      <c r="R241" s="12"/>
      <c r="S241" s="15" t="str">
        <f t="shared" si="54"/>
        <v/>
      </c>
      <c r="T241" s="12">
        <v>-3</v>
      </c>
      <c r="U241" s="16" t="s">
        <v>95</v>
      </c>
    </row>
    <row r="242" spans="3:21" x14ac:dyDescent="0.25">
      <c r="C242" s="17" t="str">
        <f t="shared" si="50"/>
        <v/>
      </c>
      <c r="D242" s="12">
        <v>-4</v>
      </c>
      <c r="E242" s="15" t="s">
        <v>96</v>
      </c>
      <c r="F242" s="12"/>
      <c r="G242" s="15" t="str">
        <f t="shared" si="51"/>
        <v/>
      </c>
      <c r="H242" s="12">
        <v>-4</v>
      </c>
      <c r="I242" s="15" t="s">
        <v>96</v>
      </c>
      <c r="J242" s="12"/>
      <c r="K242" s="15" t="str">
        <f t="shared" si="52"/>
        <v/>
      </c>
      <c r="L242" s="12">
        <v>-4</v>
      </c>
      <c r="M242" s="15" t="s">
        <v>96</v>
      </c>
      <c r="N242" s="12"/>
      <c r="O242" s="15" t="str">
        <f t="shared" si="53"/>
        <v/>
      </c>
      <c r="P242" s="12">
        <v>-4</v>
      </c>
      <c r="Q242" s="15" t="s">
        <v>96</v>
      </c>
      <c r="R242" s="12"/>
      <c r="S242" s="15" t="str">
        <f t="shared" si="54"/>
        <v/>
      </c>
      <c r="T242" s="12">
        <v>-4</v>
      </c>
      <c r="U242" s="16" t="s">
        <v>96</v>
      </c>
    </row>
    <row r="243" spans="3:21" ht="45.75" thickBot="1" x14ac:dyDescent="0.3">
      <c r="C243" s="35" t="str">
        <f t="shared" si="50"/>
        <v/>
      </c>
      <c r="D243" s="18">
        <v>-5</v>
      </c>
      <c r="E243" s="19" t="s">
        <v>97</v>
      </c>
      <c r="F243" s="18"/>
      <c r="G243" s="19" t="str">
        <f t="shared" si="51"/>
        <v/>
      </c>
      <c r="H243" s="18">
        <v>-5</v>
      </c>
      <c r="I243" s="19" t="s">
        <v>97</v>
      </c>
      <c r="J243" s="18"/>
      <c r="K243" s="19" t="str">
        <f t="shared" si="52"/>
        <v/>
      </c>
      <c r="L243" s="18">
        <v>-5</v>
      </c>
      <c r="M243" s="19" t="s">
        <v>97</v>
      </c>
      <c r="N243" s="18"/>
      <c r="O243" s="19" t="str">
        <f t="shared" si="53"/>
        <v/>
      </c>
      <c r="P243" s="18">
        <v>-5</v>
      </c>
      <c r="Q243" s="19" t="s">
        <v>97</v>
      </c>
      <c r="R243" s="18"/>
      <c r="S243" s="19" t="str">
        <f t="shared" si="54"/>
        <v/>
      </c>
      <c r="T243" s="18">
        <v>-5</v>
      </c>
      <c r="U243" s="20" t="s">
        <v>97</v>
      </c>
    </row>
    <row r="244" spans="3:21" ht="15.75" thickBot="1" x14ac:dyDescent="0.3">
      <c r="C244" s="21"/>
      <c r="D244" s="21"/>
      <c r="E244" s="21"/>
      <c r="F244" s="21"/>
      <c r="G244" s="21"/>
      <c r="H244" s="21"/>
      <c r="I244" s="21"/>
      <c r="J244" s="21"/>
      <c r="K244" s="21"/>
      <c r="L244" s="21"/>
      <c r="M244" s="21"/>
      <c r="N244" s="21"/>
      <c r="O244" s="21"/>
      <c r="P244" s="21"/>
      <c r="Q244" s="21"/>
      <c r="R244" s="21"/>
      <c r="S244" s="21"/>
      <c r="T244" s="21"/>
      <c r="U244" s="21"/>
    </row>
    <row r="245" spans="3:21" ht="15.75" thickBot="1" x14ac:dyDescent="0.3">
      <c r="C245" s="77" t="s">
        <v>71</v>
      </c>
      <c r="D245" s="78"/>
      <c r="E245" s="78"/>
      <c r="F245" s="78"/>
      <c r="G245" s="78"/>
      <c r="H245" s="78"/>
      <c r="I245" s="78"/>
      <c r="J245" s="78"/>
      <c r="K245" s="78"/>
      <c r="L245" s="78"/>
      <c r="M245" s="78"/>
      <c r="N245" s="78"/>
      <c r="O245" s="78"/>
      <c r="P245" s="78"/>
      <c r="Q245" s="78"/>
      <c r="R245" s="78"/>
      <c r="S245" s="78"/>
      <c r="T245" s="78"/>
      <c r="U245" s="79"/>
    </row>
    <row r="246" spans="3:21" ht="15.75" thickBot="1" x14ac:dyDescent="0.3">
      <c r="C246" s="80" t="s">
        <v>80</v>
      </c>
      <c r="D246" s="81"/>
      <c r="E246" s="81"/>
      <c r="F246" s="81"/>
      <c r="G246" s="81"/>
      <c r="H246" s="81"/>
      <c r="I246" s="81"/>
      <c r="J246" s="81"/>
      <c r="K246" s="81"/>
      <c r="L246" s="81"/>
      <c r="M246" s="81"/>
      <c r="N246" s="81"/>
      <c r="O246" s="81"/>
      <c r="P246" s="81"/>
      <c r="Q246" s="81"/>
      <c r="R246" s="81"/>
      <c r="S246" s="81"/>
      <c r="T246" s="81"/>
      <c r="U246" s="82"/>
    </row>
    <row r="247" spans="3:21" ht="15.75" thickBot="1" x14ac:dyDescent="0.3">
      <c r="C247" s="83" t="s">
        <v>51</v>
      </c>
      <c r="D247" s="84"/>
      <c r="E247" s="85"/>
      <c r="F247" s="12"/>
      <c r="G247" s="83" t="s">
        <v>33</v>
      </c>
      <c r="H247" s="84"/>
      <c r="I247" s="85"/>
      <c r="J247" s="12"/>
      <c r="K247" s="83" t="s">
        <v>34</v>
      </c>
      <c r="L247" s="84"/>
      <c r="M247" s="85"/>
      <c r="N247" s="12"/>
      <c r="O247" s="83" t="s">
        <v>35</v>
      </c>
      <c r="P247" s="84"/>
      <c r="Q247" s="85"/>
      <c r="R247" s="12"/>
      <c r="S247" s="83" t="s">
        <v>36</v>
      </c>
      <c r="T247" s="84"/>
      <c r="U247" s="85"/>
    </row>
    <row r="248" spans="3:21" x14ac:dyDescent="0.25">
      <c r="C248" s="13" t="s">
        <v>84</v>
      </c>
      <c r="D248" s="12" t="s">
        <v>85</v>
      </c>
      <c r="E248" s="12" t="s">
        <v>86</v>
      </c>
      <c r="F248" s="12"/>
      <c r="G248" s="12" t="s">
        <v>84</v>
      </c>
      <c r="H248" s="12" t="s">
        <v>85</v>
      </c>
      <c r="I248" s="12" t="s">
        <v>86</v>
      </c>
      <c r="J248" s="12"/>
      <c r="K248" s="12" t="s">
        <v>84</v>
      </c>
      <c r="L248" s="12" t="s">
        <v>85</v>
      </c>
      <c r="M248" s="12" t="s">
        <v>86</v>
      </c>
      <c r="N248" s="12"/>
      <c r="O248" s="12" t="s">
        <v>84</v>
      </c>
      <c r="P248" s="12" t="s">
        <v>85</v>
      </c>
      <c r="Q248" s="12" t="s">
        <v>86</v>
      </c>
      <c r="R248" s="12"/>
      <c r="S248" s="12" t="s">
        <v>84</v>
      </c>
      <c r="T248" s="12" t="s">
        <v>85</v>
      </c>
      <c r="U248" s="14" t="s">
        <v>86</v>
      </c>
    </row>
    <row r="249" spans="3:21" ht="45" x14ac:dyDescent="0.25">
      <c r="C249" s="17" t="str">
        <f t="shared" ref="C249:C259" si="55">_xlfn.TEXTJOIN(", ",TRUE,IF($Q$22=D249,$Q$21&amp;" ("&amp;TEXT($N$42,"0%")&amp;")",""),IF($R$22=D249,$R$21,""),IF($S$22=D249,$S$21,""))</f>
        <v>+30% Outflow</v>
      </c>
      <c r="D249" s="12">
        <v>5</v>
      </c>
      <c r="E249" s="15" t="s">
        <v>87</v>
      </c>
      <c r="F249" s="12"/>
      <c r="G249" s="15" t="str">
        <f t="shared" ref="G249:G259" si="56">_xlfn.TEXTJOIN(", ",TRUE,IF($Q$23=H249,$Q$21&amp;" ("&amp;TEXT($O$42,"0%")&amp;")",""),IF($R$23=H249,$R$21,""),IF($S$23=H249,$S$21,""))</f>
        <v>+30% Outflow</v>
      </c>
      <c r="H249" s="12">
        <v>5</v>
      </c>
      <c r="I249" s="15" t="s">
        <v>87</v>
      </c>
      <c r="J249" s="12"/>
      <c r="K249" s="15" t="str">
        <f t="shared" ref="K249:K259" si="57">_xlfn.TEXTJOIN(", ",TRUE,IF($Q$24=L249,$Q$21&amp;" ("&amp;TEXT($P$42,"0%")&amp;")",""),IF($R$24=L249,$R$21,""),IF($S$24=L249,$S$21,""))</f>
        <v>+30% Outflow</v>
      </c>
      <c r="L249" s="12">
        <v>5</v>
      </c>
      <c r="M249" s="15" t="s">
        <v>87</v>
      </c>
      <c r="N249" s="12"/>
      <c r="O249" s="15" t="str">
        <f t="shared" ref="O249:O259" si="58">_xlfn.TEXTJOIN(", ",TRUE,IF($Q$25=P249,$Q$21&amp;" ("&amp;TEXT($Q$42,"0%")&amp;")",""),IF($R$25=P249,$R$21,""),IF($S$25=P249,$S$21,""))</f>
        <v/>
      </c>
      <c r="P249" s="12">
        <v>5</v>
      </c>
      <c r="Q249" s="15" t="s">
        <v>87</v>
      </c>
      <c r="R249" s="12"/>
      <c r="S249" s="15" t="str">
        <f t="shared" ref="S249:S259" si="59">_xlfn.TEXTJOIN(", ",TRUE,IF($Q$26=T249,$Q$21&amp;" ("&amp;TEXT($R$42,"0%")&amp;")",""),IF($R$26=T249,$R$21,""),IF($S$26=T249,$S$21,""))</f>
        <v/>
      </c>
      <c r="T249" s="12">
        <v>5</v>
      </c>
      <c r="U249" s="16" t="s">
        <v>87</v>
      </c>
    </row>
    <row r="250" spans="3:21" x14ac:dyDescent="0.25">
      <c r="C250" s="17" t="str">
        <f t="shared" si="55"/>
        <v/>
      </c>
      <c r="D250" s="12">
        <v>4</v>
      </c>
      <c r="E250" s="15" t="s">
        <v>88</v>
      </c>
      <c r="F250" s="12"/>
      <c r="G250" s="15" t="str">
        <f t="shared" si="56"/>
        <v/>
      </c>
      <c r="H250" s="12">
        <v>4</v>
      </c>
      <c r="I250" s="15" t="s">
        <v>88</v>
      </c>
      <c r="J250" s="12"/>
      <c r="K250" s="15" t="str">
        <f t="shared" si="57"/>
        <v/>
      </c>
      <c r="L250" s="12">
        <v>4</v>
      </c>
      <c r="M250" s="15" t="s">
        <v>88</v>
      </c>
      <c r="N250" s="12"/>
      <c r="O250" s="15" t="str">
        <f t="shared" si="58"/>
        <v/>
      </c>
      <c r="P250" s="12">
        <v>4</v>
      </c>
      <c r="Q250" s="15" t="s">
        <v>88</v>
      </c>
      <c r="R250" s="12"/>
      <c r="S250" s="15" t="str">
        <f t="shared" si="59"/>
        <v/>
      </c>
      <c r="T250" s="12">
        <v>4</v>
      </c>
      <c r="U250" s="16" t="s">
        <v>88</v>
      </c>
    </row>
    <row r="251" spans="3:21" x14ac:dyDescent="0.25">
      <c r="C251" s="17" t="str">
        <f t="shared" si="55"/>
        <v/>
      </c>
      <c r="D251" s="12">
        <v>3</v>
      </c>
      <c r="E251" s="15" t="s">
        <v>89</v>
      </c>
      <c r="F251" s="12"/>
      <c r="G251" s="15" t="str">
        <f t="shared" si="56"/>
        <v/>
      </c>
      <c r="H251" s="12">
        <v>3</v>
      </c>
      <c r="I251" s="15" t="s">
        <v>89</v>
      </c>
      <c r="J251" s="12"/>
      <c r="K251" s="15" t="str">
        <f t="shared" si="57"/>
        <v/>
      </c>
      <c r="L251" s="12">
        <v>3</v>
      </c>
      <c r="M251" s="15" t="s">
        <v>89</v>
      </c>
      <c r="N251" s="12"/>
      <c r="O251" s="15" t="str">
        <f t="shared" si="58"/>
        <v/>
      </c>
      <c r="P251" s="12">
        <v>3</v>
      </c>
      <c r="Q251" s="15" t="s">
        <v>89</v>
      </c>
      <c r="R251" s="12"/>
      <c r="S251" s="15" t="str">
        <f t="shared" si="59"/>
        <v/>
      </c>
      <c r="T251" s="12">
        <v>3</v>
      </c>
      <c r="U251" s="16" t="s">
        <v>89</v>
      </c>
    </row>
    <row r="252" spans="3:21" x14ac:dyDescent="0.25">
      <c r="C252" s="17" t="str">
        <f t="shared" si="55"/>
        <v/>
      </c>
      <c r="D252" s="12">
        <v>2</v>
      </c>
      <c r="E252" s="15" t="s">
        <v>90</v>
      </c>
      <c r="F252" s="12"/>
      <c r="G252" s="15" t="str">
        <f t="shared" si="56"/>
        <v/>
      </c>
      <c r="H252" s="12">
        <v>2</v>
      </c>
      <c r="I252" s="15" t="s">
        <v>90</v>
      </c>
      <c r="J252" s="12"/>
      <c r="K252" s="15" t="str">
        <f t="shared" si="57"/>
        <v/>
      </c>
      <c r="L252" s="12">
        <v>2</v>
      </c>
      <c r="M252" s="15" t="s">
        <v>90</v>
      </c>
      <c r="N252" s="12"/>
      <c r="O252" s="15" t="str">
        <f t="shared" si="58"/>
        <v/>
      </c>
      <c r="P252" s="12">
        <v>2</v>
      </c>
      <c r="Q252" s="15" t="s">
        <v>90</v>
      </c>
      <c r="R252" s="12"/>
      <c r="S252" s="15" t="str">
        <f t="shared" si="59"/>
        <v/>
      </c>
      <c r="T252" s="12">
        <v>2</v>
      </c>
      <c r="U252" s="16" t="s">
        <v>90</v>
      </c>
    </row>
    <row r="253" spans="3:21" x14ac:dyDescent="0.25">
      <c r="C253" s="17" t="str">
        <f t="shared" si="55"/>
        <v/>
      </c>
      <c r="D253" s="12">
        <v>1</v>
      </c>
      <c r="E253" s="15" t="s">
        <v>91</v>
      </c>
      <c r="F253" s="12"/>
      <c r="G253" s="15" t="str">
        <f t="shared" si="56"/>
        <v/>
      </c>
      <c r="H253" s="12">
        <v>1</v>
      </c>
      <c r="I253" s="15" t="s">
        <v>91</v>
      </c>
      <c r="J253" s="12"/>
      <c r="K253" s="15" t="str">
        <f t="shared" si="57"/>
        <v/>
      </c>
      <c r="L253" s="12">
        <v>1</v>
      </c>
      <c r="M253" s="15" t="s">
        <v>91</v>
      </c>
      <c r="N253" s="12"/>
      <c r="O253" s="15" t="str">
        <f t="shared" si="58"/>
        <v/>
      </c>
      <c r="P253" s="12">
        <v>1</v>
      </c>
      <c r="Q253" s="15" t="s">
        <v>91</v>
      </c>
      <c r="R253" s="12"/>
      <c r="S253" s="15" t="str">
        <f t="shared" si="59"/>
        <v/>
      </c>
      <c r="T253" s="12">
        <v>1</v>
      </c>
      <c r="U253" s="16" t="s">
        <v>91</v>
      </c>
    </row>
    <row r="254" spans="3:21" ht="60" x14ac:dyDescent="0.25">
      <c r="C254" s="17" t="str">
        <f t="shared" si="55"/>
        <v>Historical Baseline (29%), -10% Outflow</v>
      </c>
      <c r="D254" s="12">
        <v>0</v>
      </c>
      <c r="E254" s="15" t="s">
        <v>92</v>
      </c>
      <c r="F254" s="12"/>
      <c r="G254" s="15" t="str">
        <f t="shared" si="56"/>
        <v>Historical Baseline (92%), -10% Outflow</v>
      </c>
      <c r="H254" s="12">
        <v>0</v>
      </c>
      <c r="I254" s="15" t="s">
        <v>92</v>
      </c>
      <c r="J254" s="12"/>
      <c r="K254" s="15" t="str">
        <f t="shared" si="57"/>
        <v>Historical Baseline (20%), -10% Outflow</v>
      </c>
      <c r="L254" s="12">
        <v>0</v>
      </c>
      <c r="M254" s="15" t="s">
        <v>92</v>
      </c>
      <c r="N254" s="12"/>
      <c r="O254" s="6" t="str">
        <f t="shared" si="58"/>
        <v>Historical Baseline (0%), +30% Outflow, -10% Outflow</v>
      </c>
      <c r="P254" s="12">
        <v>0</v>
      </c>
      <c r="Q254" s="15" t="s">
        <v>92</v>
      </c>
      <c r="R254" s="12"/>
      <c r="S254" s="6" t="str">
        <f t="shared" si="59"/>
        <v>Historical Baseline (0%), +30% Outflow, -10% Outflow</v>
      </c>
      <c r="T254" s="12">
        <v>0</v>
      </c>
      <c r="U254" s="16" t="s">
        <v>92</v>
      </c>
    </row>
    <row r="255" spans="3:21" ht="30" x14ac:dyDescent="0.25">
      <c r="C255" s="17" t="str">
        <f t="shared" si="55"/>
        <v/>
      </c>
      <c r="D255" s="12">
        <v>-1</v>
      </c>
      <c r="E255" s="15" t="s">
        <v>93</v>
      </c>
      <c r="F255" s="12"/>
      <c r="G255" s="15" t="str">
        <f t="shared" si="56"/>
        <v/>
      </c>
      <c r="H255" s="12">
        <v>-1</v>
      </c>
      <c r="I255" s="15" t="s">
        <v>93</v>
      </c>
      <c r="J255" s="12"/>
      <c r="K255" s="15" t="str">
        <f t="shared" si="57"/>
        <v/>
      </c>
      <c r="L255" s="12">
        <v>-1</v>
      </c>
      <c r="M255" s="15" t="s">
        <v>93</v>
      </c>
      <c r="N255" s="12"/>
      <c r="O255" s="15" t="str">
        <f t="shared" si="58"/>
        <v/>
      </c>
      <c r="P255" s="12">
        <v>-1</v>
      </c>
      <c r="Q255" s="15" t="s">
        <v>93</v>
      </c>
      <c r="R255" s="12"/>
      <c r="S255" s="15" t="str">
        <f t="shared" si="59"/>
        <v/>
      </c>
      <c r="T255" s="12">
        <v>-1</v>
      </c>
      <c r="U255" s="16" t="s">
        <v>93</v>
      </c>
    </row>
    <row r="256" spans="3:21" x14ac:dyDescent="0.25">
      <c r="C256" s="17" t="str">
        <f t="shared" si="55"/>
        <v/>
      </c>
      <c r="D256" s="12">
        <v>-2</v>
      </c>
      <c r="E256" s="15" t="s">
        <v>94</v>
      </c>
      <c r="F256" s="12"/>
      <c r="G256" s="15" t="str">
        <f t="shared" si="56"/>
        <v/>
      </c>
      <c r="H256" s="12">
        <v>-2</v>
      </c>
      <c r="I256" s="15" t="s">
        <v>94</v>
      </c>
      <c r="J256" s="12"/>
      <c r="K256" s="15" t="str">
        <f t="shared" si="57"/>
        <v/>
      </c>
      <c r="L256" s="12">
        <v>-2</v>
      </c>
      <c r="M256" s="15" t="s">
        <v>94</v>
      </c>
      <c r="N256" s="12"/>
      <c r="O256" s="15" t="str">
        <f t="shared" si="58"/>
        <v/>
      </c>
      <c r="P256" s="12">
        <v>-2</v>
      </c>
      <c r="Q256" s="15" t="s">
        <v>94</v>
      </c>
      <c r="R256" s="12"/>
      <c r="S256" s="15" t="str">
        <f t="shared" si="59"/>
        <v/>
      </c>
      <c r="T256" s="12">
        <v>-2</v>
      </c>
      <c r="U256" s="16" t="s">
        <v>94</v>
      </c>
    </row>
    <row r="257" spans="3:21" x14ac:dyDescent="0.25">
      <c r="C257" s="17" t="str">
        <f t="shared" si="55"/>
        <v/>
      </c>
      <c r="D257" s="12">
        <v>-3</v>
      </c>
      <c r="E257" s="15" t="s">
        <v>95</v>
      </c>
      <c r="F257" s="12"/>
      <c r="G257" s="15" t="str">
        <f t="shared" si="56"/>
        <v/>
      </c>
      <c r="H257" s="12">
        <v>-3</v>
      </c>
      <c r="I257" s="15" t="s">
        <v>95</v>
      </c>
      <c r="J257" s="12"/>
      <c r="K257" s="15" t="str">
        <f t="shared" si="57"/>
        <v/>
      </c>
      <c r="L257" s="12">
        <v>-3</v>
      </c>
      <c r="M257" s="15" t="s">
        <v>95</v>
      </c>
      <c r="N257" s="12"/>
      <c r="O257" s="15" t="str">
        <f t="shared" si="58"/>
        <v/>
      </c>
      <c r="P257" s="12">
        <v>-3</v>
      </c>
      <c r="Q257" s="15" t="s">
        <v>95</v>
      </c>
      <c r="R257" s="12"/>
      <c r="S257" s="15" t="str">
        <f t="shared" si="59"/>
        <v/>
      </c>
      <c r="T257" s="12">
        <v>-3</v>
      </c>
      <c r="U257" s="16" t="s">
        <v>95</v>
      </c>
    </row>
    <row r="258" spans="3:21" x14ac:dyDescent="0.25">
      <c r="C258" s="17" t="str">
        <f t="shared" si="55"/>
        <v/>
      </c>
      <c r="D258" s="12">
        <v>-4</v>
      </c>
      <c r="E258" s="15" t="s">
        <v>96</v>
      </c>
      <c r="F258" s="12"/>
      <c r="G258" s="15" t="str">
        <f t="shared" si="56"/>
        <v/>
      </c>
      <c r="H258" s="12">
        <v>-4</v>
      </c>
      <c r="I258" s="15" t="s">
        <v>96</v>
      </c>
      <c r="J258" s="12"/>
      <c r="K258" s="15" t="str">
        <f t="shared" si="57"/>
        <v/>
      </c>
      <c r="L258" s="12">
        <v>-4</v>
      </c>
      <c r="M258" s="15" t="s">
        <v>96</v>
      </c>
      <c r="N258" s="12"/>
      <c r="O258" s="15" t="str">
        <f t="shared" si="58"/>
        <v/>
      </c>
      <c r="P258" s="12">
        <v>-4</v>
      </c>
      <c r="Q258" s="15" t="s">
        <v>96</v>
      </c>
      <c r="R258" s="12"/>
      <c r="S258" s="15" t="str">
        <f t="shared" si="59"/>
        <v/>
      </c>
      <c r="T258" s="12">
        <v>-4</v>
      </c>
      <c r="U258" s="16" t="s">
        <v>96</v>
      </c>
    </row>
    <row r="259" spans="3:21" ht="45.75" thickBot="1" x14ac:dyDescent="0.3">
      <c r="C259" s="35" t="str">
        <f t="shared" si="55"/>
        <v/>
      </c>
      <c r="D259" s="18">
        <v>-5</v>
      </c>
      <c r="E259" s="19" t="s">
        <v>97</v>
      </c>
      <c r="F259" s="18"/>
      <c r="G259" s="19" t="str">
        <f t="shared" si="56"/>
        <v/>
      </c>
      <c r="H259" s="18">
        <v>-5</v>
      </c>
      <c r="I259" s="19" t="s">
        <v>97</v>
      </c>
      <c r="J259" s="18"/>
      <c r="K259" s="19" t="str">
        <f t="shared" si="57"/>
        <v/>
      </c>
      <c r="L259" s="18">
        <v>-5</v>
      </c>
      <c r="M259" s="19" t="s">
        <v>97</v>
      </c>
      <c r="N259" s="18"/>
      <c r="O259" s="19" t="str">
        <f t="shared" si="58"/>
        <v/>
      </c>
      <c r="P259" s="18">
        <v>-5</v>
      </c>
      <c r="Q259" s="19" t="s">
        <v>97</v>
      </c>
      <c r="R259" s="18"/>
      <c r="S259" s="19" t="str">
        <f t="shared" si="59"/>
        <v/>
      </c>
      <c r="T259" s="18">
        <v>-5</v>
      </c>
      <c r="U259" s="20" t="s">
        <v>97</v>
      </c>
    </row>
  </sheetData>
  <mergeCells count="122">
    <mergeCell ref="AI37:AM37"/>
    <mergeCell ref="AB37:AC38"/>
    <mergeCell ref="C36:R36"/>
    <mergeCell ref="C44:R44"/>
    <mergeCell ref="C52:R52"/>
    <mergeCell ref="D53:H53"/>
    <mergeCell ref="I53:M53"/>
    <mergeCell ref="N53:R53"/>
    <mergeCell ref="N45:R45"/>
    <mergeCell ref="I45:M45"/>
    <mergeCell ref="D45:H45"/>
    <mergeCell ref="D37:H37"/>
    <mergeCell ref="I37:M37"/>
    <mergeCell ref="N37:R37"/>
    <mergeCell ref="T47:T50"/>
    <mergeCell ref="T43:T46"/>
    <mergeCell ref="T39:T42"/>
    <mergeCell ref="T38:U38"/>
    <mergeCell ref="AB39:AB42"/>
    <mergeCell ref="AB43:AB46"/>
    <mergeCell ref="AB47:AB50"/>
    <mergeCell ref="AD37:AH37"/>
    <mergeCell ref="C79:U79"/>
    <mergeCell ref="C80:U80"/>
    <mergeCell ref="C81:E81"/>
    <mergeCell ref="G81:I81"/>
    <mergeCell ref="K81:M81"/>
    <mergeCell ref="O81:Q81"/>
    <mergeCell ref="S81:U81"/>
    <mergeCell ref="C63:U63"/>
    <mergeCell ref="C64:U64"/>
    <mergeCell ref="C65:E65"/>
    <mergeCell ref="G65:I65"/>
    <mergeCell ref="K65:M65"/>
    <mergeCell ref="O65:Q65"/>
    <mergeCell ref="S65:U65"/>
    <mergeCell ref="C113:U113"/>
    <mergeCell ref="C114:U114"/>
    <mergeCell ref="C115:E115"/>
    <mergeCell ref="G115:I115"/>
    <mergeCell ref="K115:M115"/>
    <mergeCell ref="O115:Q115"/>
    <mergeCell ref="S115:U115"/>
    <mergeCell ref="C95:U95"/>
    <mergeCell ref="C96:U96"/>
    <mergeCell ref="C97:E97"/>
    <mergeCell ref="G97:I97"/>
    <mergeCell ref="K97:M97"/>
    <mergeCell ref="O97:Q97"/>
    <mergeCell ref="S97:U97"/>
    <mergeCell ref="C145:U145"/>
    <mergeCell ref="C146:U146"/>
    <mergeCell ref="C147:E147"/>
    <mergeCell ref="G147:I147"/>
    <mergeCell ref="K147:M147"/>
    <mergeCell ref="O147:Q147"/>
    <mergeCell ref="S147:U147"/>
    <mergeCell ref="C129:U129"/>
    <mergeCell ref="C130:U130"/>
    <mergeCell ref="C131:E131"/>
    <mergeCell ref="G131:I131"/>
    <mergeCell ref="K131:M131"/>
    <mergeCell ref="O131:Q131"/>
    <mergeCell ref="S131:U131"/>
    <mergeCell ref="C179:U179"/>
    <mergeCell ref="C180:U180"/>
    <mergeCell ref="C181:E181"/>
    <mergeCell ref="G181:I181"/>
    <mergeCell ref="K181:M181"/>
    <mergeCell ref="O181:Q181"/>
    <mergeCell ref="S181:U181"/>
    <mergeCell ref="C163:U163"/>
    <mergeCell ref="C164:U164"/>
    <mergeCell ref="C165:E165"/>
    <mergeCell ref="G165:I165"/>
    <mergeCell ref="K165:M165"/>
    <mergeCell ref="O165:Q165"/>
    <mergeCell ref="S165:U165"/>
    <mergeCell ref="C213:U213"/>
    <mergeCell ref="C214:U214"/>
    <mergeCell ref="C215:E215"/>
    <mergeCell ref="G215:I215"/>
    <mergeCell ref="K215:M215"/>
    <mergeCell ref="O215:Q215"/>
    <mergeCell ref="S215:U215"/>
    <mergeCell ref="C195:U195"/>
    <mergeCell ref="C196:U196"/>
    <mergeCell ref="C197:E197"/>
    <mergeCell ref="G197:I197"/>
    <mergeCell ref="K197:M197"/>
    <mergeCell ref="O197:Q197"/>
    <mergeCell ref="S197:U197"/>
    <mergeCell ref="C245:U245"/>
    <mergeCell ref="C246:U246"/>
    <mergeCell ref="C247:E247"/>
    <mergeCell ref="G247:I247"/>
    <mergeCell ref="K247:M247"/>
    <mergeCell ref="O247:Q247"/>
    <mergeCell ref="S247:U247"/>
    <mergeCell ref="C229:U229"/>
    <mergeCell ref="C230:U230"/>
    <mergeCell ref="C231:E231"/>
    <mergeCell ref="G231:I231"/>
    <mergeCell ref="K231:M231"/>
    <mergeCell ref="O231:Q231"/>
    <mergeCell ref="S231:U231"/>
    <mergeCell ref="V1:AD26"/>
    <mergeCell ref="C22:C26"/>
    <mergeCell ref="C2:G2"/>
    <mergeCell ref="I2:M2"/>
    <mergeCell ref="O2:S2"/>
    <mergeCell ref="I4:I8"/>
    <mergeCell ref="O4:O8"/>
    <mergeCell ref="I10:I14"/>
    <mergeCell ref="O10:O14"/>
    <mergeCell ref="C10:C14"/>
    <mergeCell ref="C16:C20"/>
    <mergeCell ref="I16:I20"/>
    <mergeCell ref="O16:O20"/>
    <mergeCell ref="C4:C8"/>
    <mergeCell ref="I22:I26"/>
    <mergeCell ref="O22:O26"/>
  </mergeCells>
  <conditionalFormatting sqref="D39:R42">
    <cfRule type="top10" dxfId="3" priority="4" percent="1" rank="25"/>
  </conditionalFormatting>
  <conditionalFormatting sqref="D47:R50">
    <cfRule type="top10" dxfId="2" priority="3" percent="1" rank="25"/>
  </conditionalFormatting>
  <conditionalFormatting sqref="D55:R58">
    <cfRule type="top10" dxfId="1" priority="2" percent="1" rank="25"/>
  </conditionalFormatting>
  <conditionalFormatting sqref="V39:Z50">
    <cfRule type="top10" dxfId="0" priority="1" percent="1" rank="10"/>
  </conditionalFormatting>
  <pageMargins left="0.7" right="0.7" top="0.75" bottom="0.75" header="0.3" footer="0.3"/>
  <pageSetup paperSize="9"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E578"/>
  <sheetViews>
    <sheetView topLeftCell="AB507" workbookViewId="0">
      <selection activeCell="AE572" sqref="AE572"/>
    </sheetView>
  </sheetViews>
  <sheetFormatPr defaultColWidth="11.42578125" defaultRowHeight="15" x14ac:dyDescent="0.25"/>
  <sheetData>
    <row r="1" spans="1:33" x14ac:dyDescent="0.25">
      <c r="B1" s="135" t="s">
        <v>33</v>
      </c>
      <c r="C1" s="135"/>
      <c r="D1" s="135"/>
      <c r="E1" s="135"/>
      <c r="F1" s="135"/>
      <c r="G1" s="135"/>
      <c r="H1" s="135"/>
      <c r="I1" s="135"/>
      <c r="J1" s="136" t="s">
        <v>34</v>
      </c>
      <c r="K1" s="136"/>
      <c r="L1" s="136"/>
      <c r="M1" s="136"/>
      <c r="N1" s="136"/>
      <c r="O1" s="136"/>
      <c r="P1" s="136"/>
      <c r="Q1" s="136"/>
      <c r="R1" s="136"/>
      <c r="S1" s="137" t="s">
        <v>35</v>
      </c>
      <c r="T1" s="137"/>
      <c r="U1" s="137"/>
      <c r="V1" s="137"/>
      <c r="W1" s="137"/>
      <c r="X1" s="137"/>
      <c r="Y1" s="138" t="s">
        <v>36</v>
      </c>
      <c r="Z1" s="138"/>
      <c r="AA1" s="138"/>
      <c r="AB1" s="138"/>
      <c r="AC1" s="138"/>
      <c r="AD1" s="138"/>
      <c r="AE1" s="138"/>
      <c r="AF1" s="138"/>
      <c r="AG1" s="138"/>
    </row>
    <row r="2" spans="1:33" x14ac:dyDescent="0.25">
      <c r="A2" t="s">
        <v>0</v>
      </c>
      <c r="B2" t="s">
        <v>1</v>
      </c>
      <c r="C2" t="s">
        <v>2</v>
      </c>
      <c r="D2" t="s">
        <v>3</v>
      </c>
      <c r="E2" t="s">
        <v>4</v>
      </c>
      <c r="F2" t="s">
        <v>5</v>
      </c>
      <c r="G2" t="s">
        <v>6</v>
      </c>
      <c r="H2" t="s">
        <v>7</v>
      </c>
      <c r="I2" t="s">
        <v>8</v>
      </c>
      <c r="J2" t="s">
        <v>9</v>
      </c>
      <c r="K2" t="s">
        <v>10</v>
      </c>
      <c r="L2" t="s">
        <v>11</v>
      </c>
      <c r="M2" t="s">
        <v>12</v>
      </c>
      <c r="N2" t="s">
        <v>13</v>
      </c>
      <c r="O2" t="s">
        <v>14</v>
      </c>
      <c r="P2" t="s">
        <v>15</v>
      </c>
      <c r="Q2" t="s">
        <v>16</v>
      </c>
      <c r="R2" t="s">
        <v>17</v>
      </c>
      <c r="S2" t="s">
        <v>18</v>
      </c>
      <c r="T2" t="s">
        <v>19</v>
      </c>
      <c r="U2" t="s">
        <v>20</v>
      </c>
      <c r="V2" t="s">
        <v>21</v>
      </c>
      <c r="W2" t="s">
        <v>22</v>
      </c>
      <c r="X2" t="s">
        <v>23</v>
      </c>
      <c r="Y2" t="s">
        <v>24</v>
      </c>
      <c r="Z2" t="s">
        <v>25</v>
      </c>
      <c r="AA2" t="s">
        <v>26</v>
      </c>
      <c r="AB2" t="s">
        <v>27</v>
      </c>
      <c r="AC2" t="s">
        <v>28</v>
      </c>
      <c r="AD2" t="s">
        <v>29</v>
      </c>
      <c r="AE2" t="s">
        <v>30</v>
      </c>
      <c r="AF2" t="s">
        <v>31</v>
      </c>
      <c r="AG2" t="s">
        <v>32</v>
      </c>
    </row>
    <row r="3" spans="1:33" x14ac:dyDescent="0.25">
      <c r="A3" s="1">
        <v>44054</v>
      </c>
      <c r="B3">
        <v>15899.1000622804</v>
      </c>
      <c r="C3">
        <v>10968.6958450724</v>
      </c>
      <c r="D3">
        <v>13592.969357963801</v>
      </c>
      <c r="E3">
        <v>15099.6307091852</v>
      </c>
      <c r="F3">
        <v>16166.129879593</v>
      </c>
      <c r="G3">
        <v>14494.415112381001</v>
      </c>
      <c r="H3">
        <v>34112.810815976103</v>
      </c>
      <c r="I3">
        <v>17920.062248382499</v>
      </c>
      <c r="J3">
        <v>1119.15191724697</v>
      </c>
      <c r="K3">
        <v>1820.7730540073601</v>
      </c>
      <c r="L3">
        <v>334.39722317531903</v>
      </c>
      <c r="M3">
        <v>13718.390097715201</v>
      </c>
      <c r="N3">
        <v>3678.3269601148399</v>
      </c>
      <c r="O3">
        <v>462.36335518740702</v>
      </c>
      <c r="P3">
        <v>2090.2878643351601</v>
      </c>
      <c r="Q3">
        <v>11316.0917034295</v>
      </c>
      <c r="R3">
        <v>731.35699711908399</v>
      </c>
      <c r="S3">
        <v>156.525554940983</v>
      </c>
      <c r="T3">
        <v>323.736828004681</v>
      </c>
      <c r="U3">
        <v>156.611551077033</v>
      </c>
      <c r="V3">
        <v>325.66619623401999</v>
      </c>
      <c r="W3">
        <v>159.037108119159</v>
      </c>
      <c r="X3">
        <v>188.69112151927499</v>
      </c>
      <c r="Y3">
        <v>319.83121490038099</v>
      </c>
      <c r="Z3">
        <v>324.69912186937398</v>
      </c>
      <c r="AA3">
        <v>315.487168727403</v>
      </c>
      <c r="AB3">
        <v>336.88674276324002</v>
      </c>
      <c r="AC3">
        <v>422.06968572712799</v>
      </c>
      <c r="AD3">
        <v>302.82664983943801</v>
      </c>
      <c r="AE3">
        <v>521.87002373220196</v>
      </c>
      <c r="AF3">
        <v>369.90787135346102</v>
      </c>
      <c r="AG3">
        <v>286.13632939636301</v>
      </c>
    </row>
    <row r="4" spans="1:33" x14ac:dyDescent="0.25">
      <c r="A4" s="1">
        <v>44055</v>
      </c>
      <c r="B4">
        <v>15708.115246696199</v>
      </c>
      <c r="C4">
        <v>10516.738246455699</v>
      </c>
      <c r="D4">
        <v>13803.550976221</v>
      </c>
      <c r="E4">
        <v>14909.2734811718</v>
      </c>
      <c r="F4">
        <v>17038.925780056899</v>
      </c>
      <c r="G4">
        <v>16435.5439394075</v>
      </c>
      <c r="H4">
        <v>33613.145016584698</v>
      </c>
      <c r="I4">
        <v>17840.264065966101</v>
      </c>
      <c r="J4">
        <v>1201.4686782609399</v>
      </c>
      <c r="K4">
        <v>1938.86628263957</v>
      </c>
      <c r="L4">
        <v>376.59269182714701</v>
      </c>
      <c r="M4">
        <v>14506.483209869901</v>
      </c>
      <c r="N4">
        <v>4180.2316551009999</v>
      </c>
      <c r="O4">
        <v>603.78098485267105</v>
      </c>
      <c r="P4">
        <v>2403.5020303226302</v>
      </c>
      <c r="Q4">
        <v>12304.1924518629</v>
      </c>
      <c r="R4">
        <v>839.63679702807997</v>
      </c>
      <c r="S4">
        <v>157.11954823545901</v>
      </c>
      <c r="T4">
        <v>342.80275239582897</v>
      </c>
      <c r="U4">
        <v>158.53606825139099</v>
      </c>
      <c r="V4">
        <v>317.043668948206</v>
      </c>
      <c r="W4">
        <v>159.89818641722101</v>
      </c>
      <c r="X4">
        <v>193.990363207912</v>
      </c>
      <c r="Y4">
        <v>319.55718988758503</v>
      </c>
      <c r="Z4">
        <v>308.17162304328798</v>
      </c>
      <c r="AA4">
        <v>320.69074293094297</v>
      </c>
      <c r="AB4">
        <v>316.38315345225601</v>
      </c>
      <c r="AC4">
        <v>429.26082939802598</v>
      </c>
      <c r="AD4">
        <v>327.929529544601</v>
      </c>
      <c r="AE4">
        <v>522.892220213722</v>
      </c>
      <c r="AF4">
        <v>362.63006175721398</v>
      </c>
      <c r="AG4">
        <v>285.14101398106197</v>
      </c>
    </row>
    <row r="5" spans="1:33" x14ac:dyDescent="0.25">
      <c r="A5" s="1">
        <v>44056</v>
      </c>
      <c r="B5">
        <v>15344.253479770699</v>
      </c>
      <c r="C5">
        <v>10659.410203608601</v>
      </c>
      <c r="D5">
        <v>13918.2275276276</v>
      </c>
      <c r="E5">
        <v>14991.806849140399</v>
      </c>
      <c r="F5">
        <v>17408.481620177801</v>
      </c>
      <c r="G5">
        <v>16804.6705397886</v>
      </c>
      <c r="H5">
        <v>32270.1425120245</v>
      </c>
      <c r="I5">
        <v>18268.105200270998</v>
      </c>
      <c r="J5">
        <v>1233.44153391393</v>
      </c>
      <c r="K5">
        <v>2095.9620158985599</v>
      </c>
      <c r="L5">
        <v>484.72390967794701</v>
      </c>
      <c r="M5">
        <v>14850.357171371999</v>
      </c>
      <c r="N5">
        <v>4271.8672321268205</v>
      </c>
      <c r="O5">
        <v>618.55281170603405</v>
      </c>
      <c r="P5">
        <v>2657.5986855997398</v>
      </c>
      <c r="Q5">
        <v>12751.776490812101</v>
      </c>
      <c r="R5">
        <v>856.40217074540101</v>
      </c>
      <c r="S5">
        <v>157.48799153418</v>
      </c>
      <c r="T5">
        <v>295.94561051495498</v>
      </c>
      <c r="U5">
        <v>158.35480725118501</v>
      </c>
      <c r="V5">
        <v>262.09231056757602</v>
      </c>
      <c r="W5">
        <v>151.51947245749901</v>
      </c>
      <c r="X5">
        <v>167.129243252761</v>
      </c>
      <c r="Y5">
        <v>328.27486126582102</v>
      </c>
      <c r="Z5">
        <v>286.08761038124698</v>
      </c>
      <c r="AA5">
        <v>316.583825351173</v>
      </c>
      <c r="AB5">
        <v>346.14846457988801</v>
      </c>
      <c r="AC5">
        <v>437.81137972585498</v>
      </c>
      <c r="AD5">
        <v>375.59073307667097</v>
      </c>
      <c r="AE5">
        <v>587.132499818376</v>
      </c>
      <c r="AF5">
        <v>360.379678211954</v>
      </c>
      <c r="AG5">
        <v>335.66950030618102</v>
      </c>
    </row>
    <row r="6" spans="1:33" x14ac:dyDescent="0.25">
      <c r="A6" s="1">
        <v>44057</v>
      </c>
      <c r="B6">
        <v>15028.4698578844</v>
      </c>
      <c r="C6">
        <v>11600.3631807988</v>
      </c>
      <c r="D6">
        <v>14077.664206801899</v>
      </c>
      <c r="E6">
        <v>15180.732854907899</v>
      </c>
      <c r="F6">
        <v>17505.036032116801</v>
      </c>
      <c r="G6">
        <v>16929.4334341742</v>
      </c>
      <c r="H6">
        <v>31322.411054275501</v>
      </c>
      <c r="I6">
        <v>19157.3810626454</v>
      </c>
      <c r="J6">
        <v>1278.4358812835001</v>
      </c>
      <c r="K6">
        <v>2223.6015439193102</v>
      </c>
      <c r="L6">
        <v>571.56819575566101</v>
      </c>
      <c r="M6">
        <v>14957.8173872712</v>
      </c>
      <c r="N6">
        <v>4345.6223576869297</v>
      </c>
      <c r="O6">
        <v>611.54023797629202</v>
      </c>
      <c r="P6">
        <v>2797.5714063191599</v>
      </c>
      <c r="Q6">
        <v>12911.263199978401</v>
      </c>
      <c r="R6">
        <v>867.754827251709</v>
      </c>
      <c r="S6">
        <v>157.55253049450701</v>
      </c>
      <c r="T6">
        <v>280.27720497991697</v>
      </c>
      <c r="U6">
        <v>145.286517670347</v>
      </c>
      <c r="V6">
        <v>263.75561452622702</v>
      </c>
      <c r="W6">
        <v>136.353983991055</v>
      </c>
      <c r="X6">
        <v>170.19301915576401</v>
      </c>
      <c r="Y6">
        <v>364.24247667454301</v>
      </c>
      <c r="Z6">
        <v>250.172322459143</v>
      </c>
      <c r="AA6">
        <v>315.75887920655202</v>
      </c>
      <c r="AB6">
        <v>387.45462562053598</v>
      </c>
      <c r="AC6">
        <v>446.68633667011602</v>
      </c>
      <c r="AD6">
        <v>433.396712982525</v>
      </c>
      <c r="AE6">
        <v>591.26947389257305</v>
      </c>
      <c r="AF6">
        <v>358.06848822529298</v>
      </c>
      <c r="AG6">
        <v>344.90710142519401</v>
      </c>
    </row>
    <row r="7" spans="1:33" x14ac:dyDescent="0.25">
      <c r="A7" s="1">
        <v>44058</v>
      </c>
      <c r="B7">
        <v>14981.492326309201</v>
      </c>
      <c r="C7">
        <v>12245.549006331101</v>
      </c>
      <c r="D7">
        <v>14260.8730769292</v>
      </c>
      <c r="E7">
        <v>15551.0293192934</v>
      </c>
      <c r="F7">
        <v>17855.774883042501</v>
      </c>
      <c r="G7">
        <v>17633.081241874199</v>
      </c>
      <c r="H7">
        <v>31360.156249204199</v>
      </c>
      <c r="I7">
        <v>19861.4861943711</v>
      </c>
      <c r="J7">
        <v>1371.4147895871499</v>
      </c>
      <c r="K7">
        <v>2429.6008798923899</v>
      </c>
      <c r="L7">
        <v>653.62797437839697</v>
      </c>
      <c r="M7">
        <v>15565.515913675101</v>
      </c>
      <c r="N7">
        <v>4812.7326191778802</v>
      </c>
      <c r="O7">
        <v>668.85511802599603</v>
      </c>
      <c r="P7">
        <v>3043.6022951059599</v>
      </c>
      <c r="Q7">
        <v>13554.5674817831</v>
      </c>
      <c r="R7">
        <v>930.95251090397505</v>
      </c>
      <c r="S7">
        <v>157.47487052291899</v>
      </c>
      <c r="T7">
        <v>314.710592665386</v>
      </c>
      <c r="U7">
        <v>137.43603051964899</v>
      </c>
      <c r="V7">
        <v>297.14334294097802</v>
      </c>
      <c r="W7">
        <v>132.673050032573</v>
      </c>
      <c r="X7">
        <v>180.09856450418701</v>
      </c>
      <c r="Y7">
        <v>384.10358373231799</v>
      </c>
      <c r="Z7">
        <v>213.11127065999401</v>
      </c>
      <c r="AA7">
        <v>316.85409485705298</v>
      </c>
      <c r="AB7">
        <v>398.44037922348502</v>
      </c>
      <c r="AC7">
        <v>452.57166151870899</v>
      </c>
      <c r="AD7">
        <v>501.55646159380001</v>
      </c>
      <c r="AE7">
        <v>560.60174075839598</v>
      </c>
      <c r="AF7">
        <v>352.04273940343302</v>
      </c>
      <c r="AG7">
        <v>344.64840522702798</v>
      </c>
    </row>
    <row r="8" spans="1:33" x14ac:dyDescent="0.25">
      <c r="A8" s="1">
        <v>44059</v>
      </c>
      <c r="B8">
        <v>15086.931049438201</v>
      </c>
      <c r="C8">
        <v>12809.974447091499</v>
      </c>
      <c r="D8">
        <v>14449.578756057201</v>
      </c>
      <c r="E8">
        <v>15876.8061865825</v>
      </c>
      <c r="F8">
        <v>18297.6334791644</v>
      </c>
      <c r="G8">
        <v>17923.35649935</v>
      </c>
      <c r="H8">
        <v>30991.509834525099</v>
      </c>
      <c r="I8">
        <v>20590.710478879198</v>
      </c>
      <c r="J8">
        <v>1480.34017510033</v>
      </c>
      <c r="K8">
        <v>2568.7327277157501</v>
      </c>
      <c r="L8">
        <v>714.12101525834703</v>
      </c>
      <c r="M8">
        <v>15868.000318632499</v>
      </c>
      <c r="N8">
        <v>5054.4118632385298</v>
      </c>
      <c r="O8">
        <v>712.05924035479597</v>
      </c>
      <c r="P8">
        <v>3153.72425628974</v>
      </c>
      <c r="Q8">
        <v>13836.2452069505</v>
      </c>
      <c r="R8">
        <v>977.99142119281305</v>
      </c>
      <c r="S8">
        <v>157.53277738460201</v>
      </c>
      <c r="T8">
        <v>355.95379468599401</v>
      </c>
      <c r="U8">
        <v>133.593995684135</v>
      </c>
      <c r="V8">
        <v>319.72958341095602</v>
      </c>
      <c r="W8">
        <v>131.80036867360801</v>
      </c>
      <c r="X8">
        <v>182.38788403213599</v>
      </c>
      <c r="Y8">
        <v>394.04177425242699</v>
      </c>
      <c r="Z8">
        <v>178.305657946536</v>
      </c>
      <c r="AA8">
        <v>316.68067810775301</v>
      </c>
      <c r="AB8">
        <v>404.88386589334499</v>
      </c>
      <c r="AC8">
        <v>457.93322164662499</v>
      </c>
      <c r="AD8">
        <v>554.24667202749401</v>
      </c>
      <c r="AE8">
        <v>567.069671501279</v>
      </c>
      <c r="AF8">
        <v>346.41605145348001</v>
      </c>
      <c r="AG8">
        <v>341.217504589599</v>
      </c>
    </row>
    <row r="9" spans="1:33" x14ac:dyDescent="0.25">
      <c r="A9" s="1">
        <v>44060</v>
      </c>
      <c r="B9">
        <v>15214.7317816219</v>
      </c>
      <c r="C9">
        <v>13335.0483000368</v>
      </c>
      <c r="D9">
        <v>14605.8808705955</v>
      </c>
      <c r="E9">
        <v>16111.113777057701</v>
      </c>
      <c r="F9">
        <v>18262.912342736199</v>
      </c>
      <c r="G9">
        <v>17556.774916309001</v>
      </c>
      <c r="H9">
        <v>30040.7630700103</v>
      </c>
      <c r="I9">
        <v>21214.008332993199</v>
      </c>
      <c r="J9">
        <v>1563.3028201014699</v>
      </c>
      <c r="K9">
        <v>2564.71958020169</v>
      </c>
      <c r="L9">
        <v>747.18351067882895</v>
      </c>
      <c r="M9">
        <v>15497.5892294759</v>
      </c>
      <c r="N9">
        <v>4943.0000132062196</v>
      </c>
      <c r="O9">
        <v>699.74654686538997</v>
      </c>
      <c r="P9">
        <v>3148.25578602634</v>
      </c>
      <c r="Q9">
        <v>13497.635251765099</v>
      </c>
      <c r="R9">
        <v>970.819196734245</v>
      </c>
      <c r="S9">
        <v>157.84939792199501</v>
      </c>
      <c r="T9">
        <v>359.35346260511801</v>
      </c>
      <c r="U9">
        <v>135.21124312025401</v>
      </c>
      <c r="V9">
        <v>323.98142212625203</v>
      </c>
      <c r="W9">
        <v>135.56626332338999</v>
      </c>
      <c r="X9">
        <v>181.67214607834001</v>
      </c>
      <c r="Y9">
        <v>404.71320247317902</v>
      </c>
      <c r="Z9">
        <v>165.71541916502099</v>
      </c>
      <c r="AA9">
        <v>318.52755519083502</v>
      </c>
      <c r="AB9">
        <v>416.28125894400102</v>
      </c>
      <c r="AC9">
        <v>465.630811100156</v>
      </c>
      <c r="AD9">
        <v>578.71661065718001</v>
      </c>
      <c r="AE9">
        <v>553.35759131590396</v>
      </c>
      <c r="AF9">
        <v>346.13954853041599</v>
      </c>
      <c r="AG9">
        <v>335.52004957213001</v>
      </c>
    </row>
    <row r="10" spans="1:33" x14ac:dyDescent="0.25">
      <c r="A10" s="1">
        <v>44061</v>
      </c>
      <c r="B10">
        <v>15447.2195028571</v>
      </c>
      <c r="C10">
        <v>13718.645328908</v>
      </c>
      <c r="D10">
        <v>14844.289572593199</v>
      </c>
      <c r="E10">
        <v>16443.432760338899</v>
      </c>
      <c r="F10">
        <v>18085.6647322426</v>
      </c>
      <c r="G10">
        <v>17348.906108097901</v>
      </c>
      <c r="H10">
        <v>29629.891070643898</v>
      </c>
      <c r="I10">
        <v>21356.375368653</v>
      </c>
      <c r="J10">
        <v>1661.32333656981</v>
      </c>
      <c r="K10">
        <v>2571.6479204324801</v>
      </c>
      <c r="L10">
        <v>771.09015485743498</v>
      </c>
      <c r="M10">
        <v>15284.420533569801</v>
      </c>
      <c r="N10">
        <v>4929.7035656770704</v>
      </c>
      <c r="O10">
        <v>695.15910198596202</v>
      </c>
      <c r="P10">
        <v>3130.5152201524502</v>
      </c>
      <c r="Q10">
        <v>13295.2617908391</v>
      </c>
      <c r="R10">
        <v>974.80368125099596</v>
      </c>
      <c r="S10">
        <v>158.44210590182499</v>
      </c>
      <c r="T10">
        <v>355.122843629572</v>
      </c>
      <c r="U10">
        <v>139.29232267485801</v>
      </c>
      <c r="V10">
        <v>327.17757289466198</v>
      </c>
      <c r="W10">
        <v>138.33591626979899</v>
      </c>
      <c r="X10">
        <v>182.89294361751999</v>
      </c>
      <c r="Y10">
        <v>420.64542141869902</v>
      </c>
      <c r="Z10">
        <v>157.714236846841</v>
      </c>
      <c r="AA10">
        <v>324.88844073561597</v>
      </c>
      <c r="AB10">
        <v>426.51211222742302</v>
      </c>
      <c r="AC10">
        <v>473.01482403381902</v>
      </c>
      <c r="AD10">
        <v>597.67917587927502</v>
      </c>
      <c r="AE10">
        <v>521.47267666969799</v>
      </c>
      <c r="AF10">
        <v>348.198509110825</v>
      </c>
      <c r="AG10">
        <v>332.10736073218101</v>
      </c>
    </row>
    <row r="11" spans="1:33" x14ac:dyDescent="0.25">
      <c r="A11" s="1">
        <v>44062</v>
      </c>
      <c r="B11">
        <v>15798.987042091199</v>
      </c>
      <c r="C11">
        <v>13960.6636276258</v>
      </c>
      <c r="D11">
        <v>15166.875953968</v>
      </c>
      <c r="E11">
        <v>16855.7101724518</v>
      </c>
      <c r="F11">
        <v>18079.2884877264</v>
      </c>
      <c r="G11">
        <v>17537.769848273601</v>
      </c>
      <c r="H11">
        <v>29695.667594612802</v>
      </c>
      <c r="I11">
        <v>21385.707133787499</v>
      </c>
      <c r="J11">
        <v>1771.13562142456</v>
      </c>
      <c r="K11">
        <v>2633.4693273630801</v>
      </c>
      <c r="L11">
        <v>812.20726419892901</v>
      </c>
      <c r="M11">
        <v>15471.5753632006</v>
      </c>
      <c r="N11">
        <v>5092.8235889570597</v>
      </c>
      <c r="O11">
        <v>730.35181602331897</v>
      </c>
      <c r="P11">
        <v>3168.5017070414801</v>
      </c>
      <c r="Q11">
        <v>13474.5193925563</v>
      </c>
      <c r="R11">
        <v>1020.08873150763</v>
      </c>
      <c r="S11">
        <v>159.74252092374499</v>
      </c>
      <c r="T11">
        <v>380.10548632587302</v>
      </c>
      <c r="U11">
        <v>137.312519287215</v>
      </c>
      <c r="V11">
        <v>353.08360709738002</v>
      </c>
      <c r="W11">
        <v>139.41971126835301</v>
      </c>
      <c r="X11">
        <v>195.59604371031801</v>
      </c>
      <c r="Y11">
        <v>437.28008958513402</v>
      </c>
      <c r="Z11">
        <v>149.28072839296701</v>
      </c>
      <c r="AA11">
        <v>333.12757425228102</v>
      </c>
      <c r="AB11">
        <v>458.23225572548802</v>
      </c>
      <c r="AC11">
        <v>477.929960016564</v>
      </c>
      <c r="AD11">
        <v>630.14644939786695</v>
      </c>
      <c r="AE11">
        <v>553.07790094348798</v>
      </c>
      <c r="AF11">
        <v>346.38141211022599</v>
      </c>
      <c r="AG11">
        <v>334.271343088984</v>
      </c>
    </row>
    <row r="12" spans="1:33" x14ac:dyDescent="0.25">
      <c r="A12" s="1">
        <v>44063</v>
      </c>
      <c r="B12">
        <v>16175.7683366294</v>
      </c>
      <c r="C12">
        <v>14148.0879896631</v>
      </c>
      <c r="D12">
        <v>15509.4357797269</v>
      </c>
      <c r="E12">
        <v>17241.8391128849</v>
      </c>
      <c r="F12">
        <v>18141.9357535903</v>
      </c>
      <c r="G12">
        <v>17671.703165756</v>
      </c>
      <c r="H12">
        <v>29603.728258875999</v>
      </c>
      <c r="I12">
        <v>21470.823300812499</v>
      </c>
      <c r="J12">
        <v>1874.93183093425</v>
      </c>
      <c r="K12">
        <v>2651.1273533252902</v>
      </c>
      <c r="L12">
        <v>856.01824139672703</v>
      </c>
      <c r="M12">
        <v>15706.373498483301</v>
      </c>
      <c r="N12">
        <v>5231.7409740761004</v>
      </c>
      <c r="O12">
        <v>761.23902372186797</v>
      </c>
      <c r="P12">
        <v>3200.3281312395802</v>
      </c>
      <c r="Q12">
        <v>13628.8748120527</v>
      </c>
      <c r="R12">
        <v>1068.7136593724999</v>
      </c>
      <c r="S12">
        <v>161.700096198061</v>
      </c>
      <c r="T12">
        <v>384.767561624172</v>
      </c>
      <c r="U12">
        <v>137.69592656647399</v>
      </c>
      <c r="V12">
        <v>340.78344968147502</v>
      </c>
      <c r="W12">
        <v>139.07899613339899</v>
      </c>
      <c r="X12">
        <v>185.82868829895</v>
      </c>
      <c r="Y12">
        <v>465.880366079748</v>
      </c>
      <c r="Z12">
        <v>143.132077665639</v>
      </c>
      <c r="AA12">
        <v>342.82413791962699</v>
      </c>
      <c r="AB12">
        <v>481.259365855395</v>
      </c>
      <c r="AC12">
        <v>480.41754472834901</v>
      </c>
      <c r="AD12">
        <v>661.33798226892804</v>
      </c>
      <c r="AE12">
        <v>517.11356425083</v>
      </c>
      <c r="AF12">
        <v>344.05501142823198</v>
      </c>
      <c r="AG12">
        <v>343.23590040846301</v>
      </c>
    </row>
    <row r="13" spans="1:33" x14ac:dyDescent="0.25">
      <c r="A13" s="1">
        <v>44064</v>
      </c>
      <c r="B13">
        <v>16535.3284090421</v>
      </c>
      <c r="C13">
        <v>14217.303111982999</v>
      </c>
      <c r="D13">
        <v>15884.529878482699</v>
      </c>
      <c r="E13">
        <v>17583.383385593901</v>
      </c>
      <c r="F13">
        <v>18236.4553819217</v>
      </c>
      <c r="G13">
        <v>17782.5805987776</v>
      </c>
      <c r="H13">
        <v>29516.696820188899</v>
      </c>
      <c r="I13">
        <v>21547.483148944601</v>
      </c>
      <c r="J13">
        <v>1952.88979612034</v>
      </c>
      <c r="K13">
        <v>2735.9370655636799</v>
      </c>
      <c r="L13">
        <v>911.548743936287</v>
      </c>
      <c r="M13">
        <v>15905.1528152837</v>
      </c>
      <c r="N13">
        <v>5281.8318267435398</v>
      </c>
      <c r="O13">
        <v>765.61375215021405</v>
      </c>
      <c r="P13">
        <v>3308.1354110126499</v>
      </c>
      <c r="Q13">
        <v>13796.344749654299</v>
      </c>
      <c r="R13">
        <v>1099.2706723184799</v>
      </c>
      <c r="S13">
        <v>163.799435804388</v>
      </c>
      <c r="T13">
        <v>359.84806044074202</v>
      </c>
      <c r="U13">
        <v>138.57699972377301</v>
      </c>
      <c r="V13">
        <v>311.65183209658801</v>
      </c>
      <c r="W13">
        <v>139.659354689997</v>
      </c>
      <c r="X13">
        <v>171.48414319104899</v>
      </c>
      <c r="Y13">
        <v>500.36313088977499</v>
      </c>
      <c r="Z13">
        <v>141.54884053187999</v>
      </c>
      <c r="AA13">
        <v>355.74946412686802</v>
      </c>
      <c r="AB13">
        <v>505.677440130994</v>
      </c>
      <c r="AC13">
        <v>482.49203805959201</v>
      </c>
      <c r="AD13">
        <v>696.93683482510198</v>
      </c>
      <c r="AE13">
        <v>558.83804379399396</v>
      </c>
      <c r="AF13">
        <v>341.56379124028399</v>
      </c>
      <c r="AG13">
        <v>358.96214125471602</v>
      </c>
    </row>
    <row r="14" spans="1:33" x14ac:dyDescent="0.25">
      <c r="A14" s="1">
        <v>44065</v>
      </c>
      <c r="B14">
        <v>16744.7040605767</v>
      </c>
      <c r="C14">
        <v>14320.403363322101</v>
      </c>
      <c r="D14">
        <v>16018.899058627499</v>
      </c>
      <c r="E14">
        <v>17647.3523701042</v>
      </c>
      <c r="F14">
        <v>17998.343733374</v>
      </c>
      <c r="G14">
        <v>17437.711054997799</v>
      </c>
      <c r="H14">
        <v>28959.896480588501</v>
      </c>
      <c r="I14">
        <v>21566.884875135402</v>
      </c>
      <c r="J14">
        <v>2005.9053412471201</v>
      </c>
      <c r="K14">
        <v>2730.8403656446399</v>
      </c>
      <c r="L14">
        <v>931.06995090484804</v>
      </c>
      <c r="M14">
        <v>15530.670968142</v>
      </c>
      <c r="N14">
        <v>4687.99086660584</v>
      </c>
      <c r="O14">
        <v>731.75073304577302</v>
      </c>
      <c r="P14">
        <v>3295.6767034721402</v>
      </c>
      <c r="Q14">
        <v>13467.8425584864</v>
      </c>
      <c r="R14">
        <v>1086.8216528207699</v>
      </c>
      <c r="S14">
        <v>165.52420250262799</v>
      </c>
      <c r="T14">
        <v>287.56233852405097</v>
      </c>
      <c r="U14">
        <v>141.002333080558</v>
      </c>
      <c r="V14">
        <v>251.34712773022599</v>
      </c>
      <c r="W14">
        <v>141.13079242200899</v>
      </c>
      <c r="X14">
        <v>157.921119940414</v>
      </c>
      <c r="Y14">
        <v>526.11499171584899</v>
      </c>
      <c r="Z14">
        <v>142.33037647129899</v>
      </c>
      <c r="AA14">
        <v>370.344341176348</v>
      </c>
      <c r="AB14">
        <v>542.46992482496</v>
      </c>
      <c r="AC14">
        <v>484.11680823793398</v>
      </c>
      <c r="AD14">
        <v>709.54579572248201</v>
      </c>
      <c r="AE14">
        <v>498.43760987193002</v>
      </c>
      <c r="AF14">
        <v>341.196118762933</v>
      </c>
      <c r="AG14">
        <v>381.35518477806102</v>
      </c>
    </row>
    <row r="15" spans="1:33" x14ac:dyDescent="0.25">
      <c r="A15" s="1">
        <v>44066</v>
      </c>
      <c r="B15">
        <v>16929.963186196899</v>
      </c>
      <c r="C15">
        <v>14366.4866508051</v>
      </c>
      <c r="D15">
        <v>16314.530622366699</v>
      </c>
      <c r="E15">
        <v>17878.396660951501</v>
      </c>
      <c r="F15">
        <v>18004.109050184201</v>
      </c>
      <c r="G15">
        <v>17702.861555064101</v>
      </c>
      <c r="H15">
        <v>29541.744204196399</v>
      </c>
      <c r="I15">
        <v>21581.660769388502</v>
      </c>
      <c r="J15">
        <v>2096.61754648428</v>
      </c>
      <c r="K15">
        <v>2905.6221651689002</v>
      </c>
      <c r="L15">
        <v>968.96323709409296</v>
      </c>
      <c r="M15">
        <v>15738.1130559672</v>
      </c>
      <c r="N15">
        <v>4578.8271265477597</v>
      </c>
      <c r="O15">
        <v>791.77424387477799</v>
      </c>
      <c r="P15">
        <v>3468.21258622101</v>
      </c>
      <c r="Q15">
        <v>13768.017153057001</v>
      </c>
      <c r="R15">
        <v>1175.6543260035301</v>
      </c>
      <c r="S15">
        <v>168.04173088759001</v>
      </c>
      <c r="T15">
        <v>278.24344601243803</v>
      </c>
      <c r="U15">
        <v>141.16016576245499</v>
      </c>
      <c r="V15">
        <v>241.661009593724</v>
      </c>
      <c r="W15">
        <v>140.72289837937001</v>
      </c>
      <c r="X15">
        <v>159.78056691852299</v>
      </c>
      <c r="Y15">
        <v>581.67806508917499</v>
      </c>
      <c r="Z15">
        <v>142.89255828313</v>
      </c>
      <c r="AA15">
        <v>385.35255861332001</v>
      </c>
      <c r="AB15">
        <v>603.43309279580797</v>
      </c>
      <c r="AC15">
        <v>483.215066838349</v>
      </c>
      <c r="AD15">
        <v>749.40452653176203</v>
      </c>
      <c r="AE15">
        <v>511.81683821562501</v>
      </c>
      <c r="AF15">
        <v>337.04214932215501</v>
      </c>
      <c r="AG15">
        <v>406.32574049867799</v>
      </c>
    </row>
    <row r="16" spans="1:33" x14ac:dyDescent="0.25">
      <c r="A16" s="1">
        <v>44067</v>
      </c>
      <c r="B16">
        <v>17265.988444682502</v>
      </c>
      <c r="C16">
        <v>14365.924481615901</v>
      </c>
      <c r="D16">
        <v>16532.0392155507</v>
      </c>
      <c r="E16">
        <v>18032.836395398201</v>
      </c>
      <c r="F16">
        <v>18303.673939066099</v>
      </c>
      <c r="G16">
        <v>17881.7742043629</v>
      </c>
      <c r="H16">
        <v>29881.5251576296</v>
      </c>
      <c r="I16">
        <v>21674.4968442928</v>
      </c>
      <c r="J16">
        <v>2214.4768143213801</v>
      </c>
      <c r="K16">
        <v>3056.8773981978602</v>
      </c>
      <c r="L16">
        <v>1022.52479546005</v>
      </c>
      <c r="M16">
        <v>16051.9670444123</v>
      </c>
      <c r="N16">
        <v>4624.65055909285</v>
      </c>
      <c r="O16">
        <v>865.07579527926998</v>
      </c>
      <c r="P16">
        <v>3622.6997200082701</v>
      </c>
      <c r="Q16">
        <v>14054.9226956781</v>
      </c>
      <c r="R16">
        <v>1287.5367765921701</v>
      </c>
      <c r="S16">
        <v>170.79659268864501</v>
      </c>
      <c r="T16">
        <v>271.09274014098702</v>
      </c>
      <c r="U16">
        <v>140.69946656731801</v>
      </c>
      <c r="V16">
        <v>221.90346635473401</v>
      </c>
      <c r="W16">
        <v>139.26048014759201</v>
      </c>
      <c r="X16">
        <v>158.315991871877</v>
      </c>
      <c r="Y16">
        <v>619.56764495463096</v>
      </c>
      <c r="Z16">
        <v>142.693363662428</v>
      </c>
      <c r="AA16">
        <v>399.03899042537</v>
      </c>
      <c r="AB16">
        <v>622.53958017355296</v>
      </c>
      <c r="AC16">
        <v>478.19772448938801</v>
      </c>
      <c r="AD16">
        <v>796.02203573882196</v>
      </c>
      <c r="AE16">
        <v>485.58383741423199</v>
      </c>
      <c r="AF16">
        <v>332.77932036138901</v>
      </c>
      <c r="AG16">
        <v>431.25367069353899</v>
      </c>
    </row>
    <row r="17" spans="1:33" x14ac:dyDescent="0.25">
      <c r="A17" s="1">
        <v>44068</v>
      </c>
      <c r="B17">
        <v>17567.175991206899</v>
      </c>
      <c r="C17">
        <v>14378.4099954138</v>
      </c>
      <c r="D17">
        <v>16731.9746785192</v>
      </c>
      <c r="E17">
        <v>18193.145866141502</v>
      </c>
      <c r="F17">
        <v>18659.760434748801</v>
      </c>
      <c r="G17">
        <v>17923.199659740501</v>
      </c>
      <c r="H17">
        <v>30292.776069488002</v>
      </c>
      <c r="I17">
        <v>21765.3929595474</v>
      </c>
      <c r="J17">
        <v>2320.2458314258602</v>
      </c>
      <c r="K17">
        <v>3198.5211422955099</v>
      </c>
      <c r="L17">
        <v>1070.0215723118799</v>
      </c>
      <c r="M17">
        <v>16179.3965266211</v>
      </c>
      <c r="N17">
        <v>4668.4002980032601</v>
      </c>
      <c r="O17">
        <v>1007.37383797799</v>
      </c>
      <c r="P17">
        <v>3728.47462203645</v>
      </c>
      <c r="Q17">
        <v>14114.204429572401</v>
      </c>
      <c r="R17">
        <v>1423.15379517474</v>
      </c>
      <c r="S17">
        <v>173.358307701576</v>
      </c>
      <c r="T17">
        <v>278.12459566038598</v>
      </c>
      <c r="U17">
        <v>139.89626850108601</v>
      </c>
      <c r="V17">
        <v>222.20730566753599</v>
      </c>
      <c r="W17">
        <v>140.70973800875601</v>
      </c>
      <c r="X17">
        <v>158.44722078120799</v>
      </c>
      <c r="Y17">
        <v>665.95577119819302</v>
      </c>
      <c r="Z17">
        <v>143.33435788999199</v>
      </c>
      <c r="AA17">
        <v>413.92042407141099</v>
      </c>
      <c r="AB17">
        <v>661.52598926123699</v>
      </c>
      <c r="AC17">
        <v>468.74181877593003</v>
      </c>
      <c r="AD17">
        <v>839.10229722797806</v>
      </c>
      <c r="AE17">
        <v>506.88662447158799</v>
      </c>
      <c r="AF17">
        <v>329.083516433836</v>
      </c>
      <c r="AG17">
        <v>454.14268758508001</v>
      </c>
    </row>
    <row r="18" spans="1:33" x14ac:dyDescent="0.25">
      <c r="A18" s="1">
        <v>44069</v>
      </c>
      <c r="B18">
        <v>17773.662315986101</v>
      </c>
      <c r="C18">
        <v>14463.7652275911</v>
      </c>
      <c r="D18">
        <v>16851.242786912899</v>
      </c>
      <c r="E18">
        <v>18368.041290155699</v>
      </c>
      <c r="F18">
        <v>18755.233898928102</v>
      </c>
      <c r="G18">
        <v>17692.099064367801</v>
      </c>
      <c r="H18">
        <v>30087.5390434459</v>
      </c>
      <c r="I18">
        <v>21863.8759038182</v>
      </c>
      <c r="J18">
        <v>2391.5727825455701</v>
      </c>
      <c r="K18">
        <v>3255.04115089982</v>
      </c>
      <c r="L18">
        <v>1129.2177715007799</v>
      </c>
      <c r="M18">
        <v>16201.341357240301</v>
      </c>
      <c r="N18">
        <v>4802.6230278056701</v>
      </c>
      <c r="O18">
        <v>1068.8827171539399</v>
      </c>
      <c r="P18">
        <v>3819.4765768334901</v>
      </c>
      <c r="Q18">
        <v>14062.1511529619</v>
      </c>
      <c r="R18">
        <v>1499.76531286505</v>
      </c>
      <c r="S18">
        <v>175.78049067107099</v>
      </c>
      <c r="T18">
        <v>273.24764269346701</v>
      </c>
      <c r="U18">
        <v>145.075644234968</v>
      </c>
      <c r="V18">
        <v>222.54190171171001</v>
      </c>
      <c r="W18">
        <v>146.42176330498799</v>
      </c>
      <c r="X18">
        <v>153.153987528638</v>
      </c>
      <c r="Y18">
        <v>690.73466367723699</v>
      </c>
      <c r="Z18">
        <v>143.63412834602201</v>
      </c>
      <c r="AA18">
        <v>432.701216180031</v>
      </c>
      <c r="AB18">
        <v>728.16205955089697</v>
      </c>
      <c r="AC18">
        <v>462.12421176037299</v>
      </c>
      <c r="AD18">
        <v>875.37150901465304</v>
      </c>
      <c r="AE18">
        <v>466.93059366364798</v>
      </c>
      <c r="AF18">
        <v>328.908682169087</v>
      </c>
      <c r="AG18">
        <v>478.694135801904</v>
      </c>
    </row>
    <row r="19" spans="1:33" x14ac:dyDescent="0.25">
      <c r="A19" s="1">
        <v>44070</v>
      </c>
      <c r="B19">
        <v>17868.946736771901</v>
      </c>
      <c r="C19">
        <v>14729.052684902201</v>
      </c>
      <c r="D19">
        <v>16837.905430911102</v>
      </c>
      <c r="E19">
        <v>18435.864884725299</v>
      </c>
      <c r="F19">
        <v>18551.420259715</v>
      </c>
      <c r="G19">
        <v>17274.3803370725</v>
      </c>
      <c r="H19">
        <v>29620.4173163413</v>
      </c>
      <c r="I19">
        <v>21930.745608009998</v>
      </c>
      <c r="J19">
        <v>2431.5296110808199</v>
      </c>
      <c r="K19">
        <v>3231.4614288013199</v>
      </c>
      <c r="L19">
        <v>1187.42614508052</v>
      </c>
      <c r="M19">
        <v>15658.436891147099</v>
      </c>
      <c r="N19">
        <v>4530.3035497130604</v>
      </c>
      <c r="O19">
        <v>1070.72702936305</v>
      </c>
      <c r="P19">
        <v>3834.14652079815</v>
      </c>
      <c r="Q19">
        <v>13661.058242225199</v>
      </c>
      <c r="R19">
        <v>1507.74999237868</v>
      </c>
      <c r="S19">
        <v>177.97580576786501</v>
      </c>
      <c r="T19">
        <v>250.80548286134601</v>
      </c>
      <c r="U19">
        <v>144.57168049553701</v>
      </c>
      <c r="V19">
        <v>208.64404119519099</v>
      </c>
      <c r="W19">
        <v>143.742890558119</v>
      </c>
      <c r="X19">
        <v>149.09122924302099</v>
      </c>
      <c r="Y19">
        <v>710.39982727956101</v>
      </c>
      <c r="Z19">
        <v>143.467020992736</v>
      </c>
      <c r="AA19">
        <v>444.94680514391302</v>
      </c>
      <c r="AB19">
        <v>813.94602470711197</v>
      </c>
      <c r="AC19">
        <v>458.20634553484803</v>
      </c>
      <c r="AD19">
        <v>895.00937018657703</v>
      </c>
      <c r="AE19">
        <v>553.96916240968096</v>
      </c>
      <c r="AF19">
        <v>329.15623696092001</v>
      </c>
      <c r="AG19">
        <v>498.72757805695198</v>
      </c>
    </row>
    <row r="20" spans="1:33" x14ac:dyDescent="0.25">
      <c r="A20" s="1">
        <v>44071</v>
      </c>
      <c r="B20">
        <v>17904.607545663799</v>
      </c>
      <c r="C20">
        <v>15072.2407593844</v>
      </c>
      <c r="D20">
        <v>16897.5738308707</v>
      </c>
      <c r="E20">
        <v>18587.204689062601</v>
      </c>
      <c r="F20">
        <v>18381.410006989401</v>
      </c>
      <c r="G20">
        <v>17122.672470020301</v>
      </c>
      <c r="H20">
        <v>29554.158751842198</v>
      </c>
      <c r="I20">
        <v>21918.455714897598</v>
      </c>
      <c r="J20">
        <v>2487.61393430306</v>
      </c>
      <c r="K20">
        <v>3258.49665292174</v>
      </c>
      <c r="L20">
        <v>1216.6815957736201</v>
      </c>
      <c r="M20">
        <v>15491.1255376466</v>
      </c>
      <c r="N20">
        <v>4498.0468011718904</v>
      </c>
      <c r="O20">
        <v>1088.49191255098</v>
      </c>
      <c r="P20">
        <v>3796.2575040758002</v>
      </c>
      <c r="Q20">
        <v>13425.6253356221</v>
      </c>
      <c r="R20">
        <v>1532.20295795687</v>
      </c>
      <c r="S20">
        <v>179.39715689705801</v>
      </c>
      <c r="T20">
        <v>252.39941966568301</v>
      </c>
      <c r="U20">
        <v>148.99754959514499</v>
      </c>
      <c r="V20">
        <v>219.87009487754801</v>
      </c>
      <c r="W20">
        <v>151.077946847714</v>
      </c>
      <c r="X20">
        <v>151.20409377719599</v>
      </c>
      <c r="Y20">
        <v>753.00653542375005</v>
      </c>
      <c r="Z20">
        <v>143.20070437084499</v>
      </c>
      <c r="AA20">
        <v>462.11702261999</v>
      </c>
      <c r="AB20">
        <v>836.10314874913001</v>
      </c>
      <c r="AC20">
        <v>454.46579937544197</v>
      </c>
      <c r="AD20">
        <v>935.79379024788602</v>
      </c>
      <c r="AE20">
        <v>577.696201765041</v>
      </c>
      <c r="AF20">
        <v>328.930211455576</v>
      </c>
      <c r="AG20">
        <v>519.947337299183</v>
      </c>
    </row>
    <row r="21" spans="1:33" x14ac:dyDescent="0.25">
      <c r="A21" s="1">
        <v>44072</v>
      </c>
      <c r="B21">
        <v>17979.0390244544</v>
      </c>
      <c r="C21">
        <v>15199.7597470208</v>
      </c>
      <c r="D21">
        <v>16968.5420156621</v>
      </c>
      <c r="E21">
        <v>18685.8469831982</v>
      </c>
      <c r="F21">
        <v>18373.411845926301</v>
      </c>
      <c r="G21">
        <v>17030.091840760899</v>
      </c>
      <c r="H21">
        <v>29393.5840007884</v>
      </c>
      <c r="I21">
        <v>21917.607941980499</v>
      </c>
      <c r="J21">
        <v>2531.2640125746202</v>
      </c>
      <c r="K21">
        <v>3264.5454923521602</v>
      </c>
      <c r="L21">
        <v>1253.8179500501899</v>
      </c>
      <c r="M21">
        <v>15232.063284710999</v>
      </c>
      <c r="N21">
        <v>4669.2090675876898</v>
      </c>
      <c r="O21">
        <v>1102.71979757385</v>
      </c>
      <c r="P21">
        <v>3766.17985659035</v>
      </c>
      <c r="Q21">
        <v>13358.332292573499</v>
      </c>
      <c r="R21">
        <v>1536.92675564873</v>
      </c>
      <c r="S21">
        <v>181.472725450555</v>
      </c>
      <c r="T21">
        <v>287.86242168159902</v>
      </c>
      <c r="U21">
        <v>153.32256950191999</v>
      </c>
      <c r="V21">
        <v>242.77190051229499</v>
      </c>
      <c r="W21">
        <v>153.52353644610301</v>
      </c>
      <c r="X21">
        <v>157.94471799589201</v>
      </c>
      <c r="Y21">
        <v>761.36470029849397</v>
      </c>
      <c r="Z21">
        <v>144.51339979918399</v>
      </c>
      <c r="AA21">
        <v>478.69590383811601</v>
      </c>
      <c r="AB21">
        <v>830.82372882149502</v>
      </c>
      <c r="AC21">
        <v>449.29859765740099</v>
      </c>
      <c r="AD21">
        <v>967.196248170996</v>
      </c>
      <c r="AE21">
        <v>516.83873890511302</v>
      </c>
      <c r="AF21">
        <v>328.59620872507003</v>
      </c>
      <c r="AG21">
        <v>539.81205357403701</v>
      </c>
    </row>
    <row r="22" spans="1:33" x14ac:dyDescent="0.25">
      <c r="A22" s="1">
        <v>44073</v>
      </c>
      <c r="B22">
        <v>18083.375946763401</v>
      </c>
      <c r="C22">
        <v>15271.2267532859</v>
      </c>
      <c r="D22">
        <v>17057.719449083299</v>
      </c>
      <c r="E22">
        <v>18750.354643593899</v>
      </c>
      <c r="F22">
        <v>18225.558669640599</v>
      </c>
      <c r="G22">
        <v>16761.495956994801</v>
      </c>
      <c r="H22">
        <v>29059.4529061742</v>
      </c>
      <c r="I22">
        <v>21878.180224789499</v>
      </c>
      <c r="J22">
        <v>2570.4317282413899</v>
      </c>
      <c r="K22">
        <v>3200.50391360094</v>
      </c>
      <c r="L22">
        <v>1262.1834903240299</v>
      </c>
      <c r="M22">
        <v>14948.892943840199</v>
      </c>
      <c r="N22">
        <v>4560.1582098912304</v>
      </c>
      <c r="O22">
        <v>1077.0469400341699</v>
      </c>
      <c r="P22">
        <v>3703.8620722984701</v>
      </c>
      <c r="Q22">
        <v>13093.428343271</v>
      </c>
      <c r="R22">
        <v>1502.3422470488799</v>
      </c>
      <c r="S22">
        <v>182.67872352424001</v>
      </c>
      <c r="T22">
        <v>289.67702205475001</v>
      </c>
      <c r="U22">
        <v>155.356920755196</v>
      </c>
      <c r="V22">
        <v>256.49732026838302</v>
      </c>
      <c r="W22">
        <v>156.04654425612901</v>
      </c>
      <c r="X22">
        <v>161.64676242444901</v>
      </c>
      <c r="Y22">
        <v>789.77546527462596</v>
      </c>
      <c r="Z22">
        <v>146.70782849239799</v>
      </c>
      <c r="AA22">
        <v>495.066864245739</v>
      </c>
      <c r="AB22">
        <v>874.44183745593602</v>
      </c>
      <c r="AC22">
        <v>447.01044399119002</v>
      </c>
      <c r="AD22">
        <v>980.83621235718795</v>
      </c>
      <c r="AE22">
        <v>472.03641417049602</v>
      </c>
      <c r="AF22">
        <v>329.25696610915497</v>
      </c>
      <c r="AG22">
        <v>560.64135176884599</v>
      </c>
    </row>
    <row r="23" spans="1:33" x14ac:dyDescent="0.25">
      <c r="A23" s="1">
        <v>44074</v>
      </c>
      <c r="B23">
        <v>18233.561191029199</v>
      </c>
      <c r="C23">
        <v>15269.2079906696</v>
      </c>
      <c r="D23">
        <v>17246.016317785699</v>
      </c>
      <c r="E23">
        <v>18888.6730961098</v>
      </c>
      <c r="F23">
        <v>18040.0360621215</v>
      </c>
      <c r="G23">
        <v>16768.424922029899</v>
      </c>
      <c r="H23">
        <v>28998.0613631007</v>
      </c>
      <c r="I23">
        <v>21762.0427782431</v>
      </c>
      <c r="J23">
        <v>2597.2025015355898</v>
      </c>
      <c r="K23">
        <v>3172.2578436377999</v>
      </c>
      <c r="L23">
        <v>1278.35785273445</v>
      </c>
      <c r="M23">
        <v>14987.976244891899</v>
      </c>
      <c r="N23">
        <v>4755.9170197227704</v>
      </c>
      <c r="O23">
        <v>1061.6915452636599</v>
      </c>
      <c r="P23">
        <v>3656.8701353210899</v>
      </c>
      <c r="Q23">
        <v>13125.101319437401</v>
      </c>
      <c r="R23">
        <v>1487.85356065217</v>
      </c>
      <c r="S23">
        <v>183.73305602270699</v>
      </c>
      <c r="T23">
        <v>304.40748639818798</v>
      </c>
      <c r="U23">
        <v>155.009410115951</v>
      </c>
      <c r="V23">
        <v>283.47239370100402</v>
      </c>
      <c r="W23">
        <v>155.90829493350699</v>
      </c>
      <c r="X23">
        <v>173.02168253776699</v>
      </c>
      <c r="Y23">
        <v>819.58928479667304</v>
      </c>
      <c r="Z23">
        <v>148.40309071880401</v>
      </c>
      <c r="AA23">
        <v>507.39182190422798</v>
      </c>
      <c r="AB23">
        <v>918.82267489003698</v>
      </c>
      <c r="AC23">
        <v>448.78994567660197</v>
      </c>
      <c r="AD23">
        <v>991.80533718641198</v>
      </c>
      <c r="AE23">
        <v>502.86769539466701</v>
      </c>
      <c r="AF23">
        <v>330.69383764709897</v>
      </c>
      <c r="AG23">
        <v>576.01795206293002</v>
      </c>
    </row>
    <row r="24" spans="1:33" x14ac:dyDescent="0.25">
      <c r="A24" s="1">
        <v>44075</v>
      </c>
      <c r="B24">
        <v>18458.3000163672</v>
      </c>
      <c r="C24">
        <v>15208.9510798709</v>
      </c>
      <c r="D24">
        <v>17437.392688951801</v>
      </c>
      <c r="E24">
        <v>18977.704527367299</v>
      </c>
      <c r="F24">
        <v>17919.347256634599</v>
      </c>
      <c r="G24">
        <v>16869.523122982999</v>
      </c>
      <c r="H24">
        <v>28902.9882246251</v>
      </c>
      <c r="I24">
        <v>21713.4153922152</v>
      </c>
      <c r="J24">
        <v>2612.9796001602199</v>
      </c>
      <c r="K24">
        <v>3117.57298076804</v>
      </c>
      <c r="L24">
        <v>1300.26237290525</v>
      </c>
      <c r="M24">
        <v>15076.0291614425</v>
      </c>
      <c r="N24">
        <v>4880.2840342910504</v>
      </c>
      <c r="O24">
        <v>1090.4069907507501</v>
      </c>
      <c r="P24">
        <v>3574.8869478889701</v>
      </c>
      <c r="Q24">
        <v>13244.1152575954</v>
      </c>
      <c r="R24">
        <v>1515.48652111519</v>
      </c>
      <c r="S24">
        <v>184.55269831359999</v>
      </c>
      <c r="T24">
        <v>323.29588115762999</v>
      </c>
      <c r="U24">
        <v>155.92251436273</v>
      </c>
      <c r="V24">
        <v>299.04483499688303</v>
      </c>
      <c r="W24">
        <v>156.67754974487701</v>
      </c>
      <c r="X24">
        <v>183.29106283576999</v>
      </c>
      <c r="Y24">
        <v>818.59217665521703</v>
      </c>
      <c r="Z24">
        <v>151.694009849233</v>
      </c>
      <c r="AA24">
        <v>533.18578109402597</v>
      </c>
      <c r="AB24">
        <v>934.21938917547595</v>
      </c>
      <c r="AC24">
        <v>449.961283005692</v>
      </c>
      <c r="AD24">
        <v>1005.09399980666</v>
      </c>
      <c r="AE24">
        <v>560.28780421516205</v>
      </c>
      <c r="AF24">
        <v>331.75706034325202</v>
      </c>
      <c r="AG24">
        <v>592.67068869764296</v>
      </c>
    </row>
    <row r="25" spans="1:33" x14ac:dyDescent="0.25">
      <c r="A25" s="1">
        <v>44076</v>
      </c>
      <c r="B25">
        <v>18588.665524254298</v>
      </c>
      <c r="C25">
        <v>15117.046261626399</v>
      </c>
      <c r="D25">
        <v>17526.992429092599</v>
      </c>
      <c r="E25">
        <v>18989.483778782</v>
      </c>
      <c r="F25">
        <v>17535.496036849301</v>
      </c>
      <c r="G25">
        <v>16163.6704655511</v>
      </c>
      <c r="H25">
        <v>28242.681804987798</v>
      </c>
      <c r="I25">
        <v>21646.928962815498</v>
      </c>
      <c r="J25">
        <v>2592.7964601354502</v>
      </c>
      <c r="K25">
        <v>2904.7990119173901</v>
      </c>
      <c r="L25">
        <v>1256.9951789755</v>
      </c>
      <c r="M25">
        <v>14500.8075449389</v>
      </c>
      <c r="N25">
        <v>4464.1922357731401</v>
      </c>
      <c r="O25">
        <v>1002.5439485680801</v>
      </c>
      <c r="P25">
        <v>3320.9090477322002</v>
      </c>
      <c r="Q25">
        <v>12645.134543747799</v>
      </c>
      <c r="R25">
        <v>1412.77259053219</v>
      </c>
      <c r="S25">
        <v>184.789165710422</v>
      </c>
      <c r="T25">
        <v>290.488341766004</v>
      </c>
      <c r="U25">
        <v>156.19084017301901</v>
      </c>
      <c r="V25">
        <v>264.99220637495301</v>
      </c>
      <c r="W25">
        <v>156.555678650782</v>
      </c>
      <c r="X25">
        <v>175.19690826099401</v>
      </c>
      <c r="Y25">
        <v>891.57947210942802</v>
      </c>
      <c r="Z25">
        <v>154.82748517510601</v>
      </c>
      <c r="AA25">
        <v>551.21935224066306</v>
      </c>
      <c r="AB25">
        <v>1024.5802869557899</v>
      </c>
      <c r="AC25">
        <v>458.47365267580301</v>
      </c>
      <c r="AD25">
        <v>965.87832707782297</v>
      </c>
      <c r="AE25">
        <v>555.23654419900697</v>
      </c>
      <c r="AF25">
        <v>335.02812327725701</v>
      </c>
      <c r="AG25">
        <v>606.20043851303103</v>
      </c>
    </row>
    <row r="26" spans="1:33" x14ac:dyDescent="0.25">
      <c r="A26" s="1">
        <v>44077</v>
      </c>
      <c r="B26">
        <v>18640.216434327001</v>
      </c>
      <c r="C26">
        <v>14987.971577882599</v>
      </c>
      <c r="D26">
        <v>17580.2084339785</v>
      </c>
      <c r="E26">
        <v>18970.3261263819</v>
      </c>
      <c r="F26">
        <v>16807.706980085</v>
      </c>
      <c r="G26">
        <v>15539.5390665793</v>
      </c>
      <c r="H26">
        <v>27755.7866015072</v>
      </c>
      <c r="I26">
        <v>21466.510700201299</v>
      </c>
      <c r="J26">
        <v>2574.3725659554402</v>
      </c>
      <c r="K26">
        <v>2710.6935609500101</v>
      </c>
      <c r="L26">
        <v>1181.6491505087699</v>
      </c>
      <c r="M26">
        <v>13870.146916071801</v>
      </c>
      <c r="N26">
        <v>3848.8806586118999</v>
      </c>
      <c r="O26">
        <v>925.12359353030797</v>
      </c>
      <c r="P26">
        <v>3061.6650847522801</v>
      </c>
      <c r="Q26">
        <v>11994.621988740601</v>
      </c>
      <c r="R26">
        <v>1306.3159087957499</v>
      </c>
      <c r="S26">
        <v>184.496189025295</v>
      </c>
      <c r="T26">
        <v>253.732536487158</v>
      </c>
      <c r="U26">
        <v>156.55557855866499</v>
      </c>
      <c r="V26">
        <v>240.725381943744</v>
      </c>
      <c r="W26">
        <v>157.067788559457</v>
      </c>
      <c r="X26">
        <v>169.410875484668</v>
      </c>
      <c r="Y26">
        <v>879.65787640699295</v>
      </c>
      <c r="Z26">
        <v>156.43102171921501</v>
      </c>
      <c r="AA26">
        <v>551.24431504311406</v>
      </c>
      <c r="AB26">
        <v>1031.8074658830999</v>
      </c>
      <c r="AC26">
        <v>479.96738878060802</v>
      </c>
      <c r="AD26">
        <v>916.33834079019505</v>
      </c>
      <c r="AE26">
        <v>547.46439808656305</v>
      </c>
      <c r="AF26">
        <v>340.136475348658</v>
      </c>
      <c r="AG26">
        <v>626.69757269841705</v>
      </c>
    </row>
    <row r="27" spans="1:33" x14ac:dyDescent="0.25">
      <c r="A27" s="1">
        <v>44078</v>
      </c>
      <c r="B27">
        <v>18709.697442964702</v>
      </c>
      <c r="C27">
        <v>14818.692502866599</v>
      </c>
      <c r="D27">
        <v>17652.457088660201</v>
      </c>
      <c r="E27">
        <v>18988.529266280198</v>
      </c>
      <c r="F27">
        <v>16119.452900648101</v>
      </c>
      <c r="G27">
        <v>14987.0499642499</v>
      </c>
      <c r="H27">
        <v>27265.715592094901</v>
      </c>
      <c r="I27">
        <v>21274.115023066101</v>
      </c>
      <c r="J27">
        <v>2540.81003007648</v>
      </c>
      <c r="K27">
        <v>2536.0434214803499</v>
      </c>
      <c r="L27">
        <v>1116.58588622703</v>
      </c>
      <c r="M27">
        <v>13353.5845812312</v>
      </c>
      <c r="N27">
        <v>3356.2738547102399</v>
      </c>
      <c r="O27">
        <v>858.44457761628996</v>
      </c>
      <c r="P27">
        <v>2861.6692513900198</v>
      </c>
      <c r="Q27">
        <v>11449.554181781599</v>
      </c>
      <c r="R27">
        <v>1222.6191732356599</v>
      </c>
      <c r="S27">
        <v>184.165760889788</v>
      </c>
      <c r="T27">
        <v>231.32968723757801</v>
      </c>
      <c r="U27">
        <v>156.36055571419499</v>
      </c>
      <c r="V27">
        <v>217.35350774138399</v>
      </c>
      <c r="W27">
        <v>155.31634315527899</v>
      </c>
      <c r="X27">
        <v>165.03036574483599</v>
      </c>
      <c r="Y27">
        <v>886.49741420362295</v>
      </c>
      <c r="Z27">
        <v>157.25363229976099</v>
      </c>
      <c r="AA27">
        <v>559.80635296564503</v>
      </c>
      <c r="AB27">
        <v>1054.6908712822001</v>
      </c>
      <c r="AC27">
        <v>503.89886970162098</v>
      </c>
      <c r="AD27">
        <v>869.61793230849196</v>
      </c>
      <c r="AE27">
        <v>542.31045092734496</v>
      </c>
      <c r="AF27">
        <v>345.36899638871603</v>
      </c>
      <c r="AG27">
        <v>629.96006974395596</v>
      </c>
    </row>
    <row r="28" spans="1:33" x14ac:dyDescent="0.25">
      <c r="A28" s="1">
        <v>44079</v>
      </c>
      <c r="B28">
        <v>18828.247459172599</v>
      </c>
      <c r="C28">
        <v>14494.997269233299</v>
      </c>
      <c r="D28">
        <v>17695.241280078499</v>
      </c>
      <c r="E28">
        <v>18998.697477653601</v>
      </c>
      <c r="F28">
        <v>15512.791222162999</v>
      </c>
      <c r="G28">
        <v>14465.6562235617</v>
      </c>
      <c r="H28">
        <v>26663.689510173499</v>
      </c>
      <c r="I28">
        <v>20958.801294333902</v>
      </c>
      <c r="J28">
        <v>2495.5887546101599</v>
      </c>
      <c r="K28">
        <v>2388.9287273371901</v>
      </c>
      <c r="L28">
        <v>1037.95524801121</v>
      </c>
      <c r="M28">
        <v>12738.0006739214</v>
      </c>
      <c r="N28">
        <v>2870.5673058664001</v>
      </c>
      <c r="O28">
        <v>737.28712827079096</v>
      </c>
      <c r="P28">
        <v>2688.8280160305399</v>
      </c>
      <c r="Q28">
        <v>10778.754208010499</v>
      </c>
      <c r="R28">
        <v>1102.08374122748</v>
      </c>
      <c r="S28">
        <v>183.30261122052701</v>
      </c>
      <c r="T28">
        <v>209.26284365904399</v>
      </c>
      <c r="U28">
        <v>155.28389985553201</v>
      </c>
      <c r="V28">
        <v>197.076804927246</v>
      </c>
      <c r="W28">
        <v>155.66637344498099</v>
      </c>
      <c r="X28">
        <v>162.60452796869799</v>
      </c>
      <c r="Y28">
        <v>908.09215200189499</v>
      </c>
      <c r="Z28">
        <v>158.20320374533</v>
      </c>
      <c r="AA28">
        <v>581.54899146342802</v>
      </c>
      <c r="AB28">
        <v>1042.0672970636599</v>
      </c>
      <c r="AC28">
        <v>530.14659055846596</v>
      </c>
      <c r="AD28">
        <v>817.63992201981796</v>
      </c>
      <c r="AE28">
        <v>541.73314657868605</v>
      </c>
      <c r="AF28">
        <v>351.52664885871798</v>
      </c>
      <c r="AG28">
        <v>633.80821239581996</v>
      </c>
    </row>
    <row r="29" spans="1:33" x14ac:dyDescent="0.25">
      <c r="A29" s="1">
        <v>44080</v>
      </c>
      <c r="B29">
        <v>19019.840576469102</v>
      </c>
      <c r="C29">
        <v>14044.473748784199</v>
      </c>
      <c r="D29">
        <v>17803.773831553401</v>
      </c>
      <c r="E29">
        <v>19042.6145429034</v>
      </c>
      <c r="F29">
        <v>15213.001514420699</v>
      </c>
      <c r="G29">
        <v>14454.177448259399</v>
      </c>
      <c r="H29">
        <v>26800.947192736399</v>
      </c>
      <c r="I29">
        <v>20595.145624697299</v>
      </c>
      <c r="J29">
        <v>2460.4391933195898</v>
      </c>
      <c r="K29">
        <v>2307.5638881673899</v>
      </c>
      <c r="L29">
        <v>958.91499874304805</v>
      </c>
      <c r="M29">
        <v>12591.0157467352</v>
      </c>
      <c r="N29">
        <v>2755.72165419049</v>
      </c>
      <c r="O29">
        <v>713.02179262780896</v>
      </c>
      <c r="P29">
        <v>2595.0803847910602</v>
      </c>
      <c r="Q29">
        <v>10655.6538888614</v>
      </c>
      <c r="R29">
        <v>1051.62427668344</v>
      </c>
      <c r="S29">
        <v>183.185579788121</v>
      </c>
      <c r="T29">
        <v>200.364629280701</v>
      </c>
      <c r="U29">
        <v>155.87425188909501</v>
      </c>
      <c r="V29">
        <v>191.41185743216599</v>
      </c>
      <c r="W29">
        <v>154.551880457452</v>
      </c>
      <c r="X29">
        <v>159.24458991859601</v>
      </c>
      <c r="Y29">
        <v>948.57628894690299</v>
      </c>
      <c r="Z29">
        <v>158.81714329565199</v>
      </c>
      <c r="AA29">
        <v>587.743323901954</v>
      </c>
      <c r="AB29">
        <v>1054.4861185263301</v>
      </c>
      <c r="AC29">
        <v>548.44047194058999</v>
      </c>
      <c r="AD29">
        <v>772.47702399785805</v>
      </c>
      <c r="AE29">
        <v>572.72179962752398</v>
      </c>
      <c r="AF29">
        <v>356.007073566629</v>
      </c>
      <c r="AG29">
        <v>643.22839213372902</v>
      </c>
    </row>
    <row r="30" spans="1:33" x14ac:dyDescent="0.25">
      <c r="A30" s="1">
        <v>44081</v>
      </c>
      <c r="B30">
        <v>19245.8049961945</v>
      </c>
      <c r="C30">
        <v>13537.8794527145</v>
      </c>
      <c r="D30">
        <v>18030.027342785001</v>
      </c>
      <c r="E30">
        <v>19132.317545130099</v>
      </c>
      <c r="F30">
        <v>15481.6722756617</v>
      </c>
      <c r="G30">
        <v>15022.290516315499</v>
      </c>
      <c r="H30">
        <v>28201.734259387998</v>
      </c>
      <c r="I30">
        <v>20258.342729732401</v>
      </c>
      <c r="J30">
        <v>2445.7036855111601</v>
      </c>
      <c r="K30">
        <v>2291.5525653704999</v>
      </c>
      <c r="L30">
        <v>914.49548295561101</v>
      </c>
      <c r="M30">
        <v>13048.259393001301</v>
      </c>
      <c r="N30">
        <v>3021.7803069003298</v>
      </c>
      <c r="O30">
        <v>759.85555033734602</v>
      </c>
      <c r="P30">
        <v>2599.4264226765399</v>
      </c>
      <c r="Q30">
        <v>11124.708824989601</v>
      </c>
      <c r="R30">
        <v>1081.04136177225</v>
      </c>
      <c r="S30">
        <v>184.55648978563099</v>
      </c>
      <c r="T30">
        <v>202.14636399026</v>
      </c>
      <c r="U30">
        <v>155.43796187893599</v>
      </c>
      <c r="V30">
        <v>196.01291355701201</v>
      </c>
      <c r="W30">
        <v>155.42932062189601</v>
      </c>
      <c r="X30">
        <v>159.41983610998</v>
      </c>
      <c r="Y30">
        <v>980.04664264817802</v>
      </c>
      <c r="Z30">
        <v>158.88430762251599</v>
      </c>
      <c r="AA30">
        <v>596.91352757711502</v>
      </c>
      <c r="AB30">
        <v>1085.71636898875</v>
      </c>
      <c r="AC30">
        <v>558.94504656537094</v>
      </c>
      <c r="AD30">
        <v>747.357608127807</v>
      </c>
      <c r="AE30">
        <v>574.47649048691198</v>
      </c>
      <c r="AF30">
        <v>358.41111945046299</v>
      </c>
      <c r="AG30">
        <v>653.99129939514296</v>
      </c>
    </row>
    <row r="31" spans="1:33" x14ac:dyDescent="0.25">
      <c r="A31" s="1">
        <v>44082</v>
      </c>
      <c r="B31">
        <v>19424.963624660701</v>
      </c>
      <c r="C31">
        <v>12734.9108693833</v>
      </c>
      <c r="D31">
        <v>18017.087409773099</v>
      </c>
      <c r="E31">
        <v>19101.8446433467</v>
      </c>
      <c r="F31">
        <v>15897.140061946</v>
      </c>
      <c r="G31">
        <v>15198.429309656</v>
      </c>
      <c r="H31">
        <v>28244.271972577801</v>
      </c>
      <c r="I31">
        <v>20075.335030530201</v>
      </c>
      <c r="J31">
        <v>2433.5988979251802</v>
      </c>
      <c r="K31">
        <v>2217.6881578715502</v>
      </c>
      <c r="L31">
        <v>856.75863988724404</v>
      </c>
      <c r="M31">
        <v>12781.4360864385</v>
      </c>
      <c r="N31">
        <v>2536.0418324365401</v>
      </c>
      <c r="O31">
        <v>877.51728418129198</v>
      </c>
      <c r="P31">
        <v>2463.9421017049899</v>
      </c>
      <c r="Q31">
        <v>10802.8262305723</v>
      </c>
      <c r="R31">
        <v>1116.71434441422</v>
      </c>
      <c r="S31">
        <v>189.27490096957399</v>
      </c>
      <c r="T31">
        <v>191.27279385643001</v>
      </c>
      <c r="U31">
        <v>156.27684602279501</v>
      </c>
      <c r="V31">
        <v>166.61029874521299</v>
      </c>
      <c r="W31">
        <v>155.49714417542299</v>
      </c>
      <c r="X31">
        <v>154.92913889458401</v>
      </c>
      <c r="Y31">
        <v>978.03546222782302</v>
      </c>
      <c r="Z31">
        <v>158.616150234255</v>
      </c>
      <c r="AA31">
        <v>609.35832512621198</v>
      </c>
      <c r="AB31">
        <v>1109.05935745549</v>
      </c>
      <c r="AC31">
        <v>565.32162187469498</v>
      </c>
      <c r="AD31">
        <v>708.66188017148795</v>
      </c>
      <c r="AE31">
        <v>603.97608138044495</v>
      </c>
      <c r="AF31">
        <v>361.35111333123399</v>
      </c>
      <c r="AG31">
        <v>656.87694118477805</v>
      </c>
    </row>
    <row r="32" spans="1:33" x14ac:dyDescent="0.25">
      <c r="A32" s="1">
        <v>44083</v>
      </c>
      <c r="B32">
        <v>19391.344786645801</v>
      </c>
      <c r="C32">
        <v>11619.2638555905</v>
      </c>
      <c r="D32">
        <v>17418.328898342599</v>
      </c>
      <c r="E32">
        <v>19122.7785946808</v>
      </c>
      <c r="F32">
        <v>15749.3755643651</v>
      </c>
      <c r="G32">
        <v>15044.7949543177</v>
      </c>
      <c r="H32">
        <v>29358.080524826899</v>
      </c>
      <c r="I32">
        <v>20126.075446933399</v>
      </c>
      <c r="J32">
        <v>2419.6186617732001</v>
      </c>
      <c r="K32">
        <v>2214.4744447456201</v>
      </c>
      <c r="L32">
        <v>815.222129214093</v>
      </c>
      <c r="M32">
        <v>13215.3739648953</v>
      </c>
      <c r="N32">
        <v>2863.9065441112698</v>
      </c>
      <c r="O32">
        <v>815.452441996228</v>
      </c>
      <c r="P32">
        <v>2481.80985847085</v>
      </c>
      <c r="Q32">
        <v>11072.3134569595</v>
      </c>
      <c r="R32">
        <v>1082.4786159533401</v>
      </c>
      <c r="S32">
        <v>194.702690307621</v>
      </c>
      <c r="T32">
        <v>192.72222757663101</v>
      </c>
      <c r="U32">
        <v>158.63643829441099</v>
      </c>
      <c r="V32">
        <v>178.899966668302</v>
      </c>
      <c r="W32">
        <v>155.60177312626601</v>
      </c>
      <c r="X32">
        <v>155.62106240541399</v>
      </c>
      <c r="Y32">
        <v>932.11019801473606</v>
      </c>
      <c r="Z32">
        <v>157.359863827108</v>
      </c>
      <c r="AA32">
        <v>586.52692837926497</v>
      </c>
      <c r="AB32">
        <v>1161.0875617916499</v>
      </c>
      <c r="AC32">
        <v>565.23097038089497</v>
      </c>
      <c r="AD32">
        <v>686.92372914633802</v>
      </c>
      <c r="AE32">
        <v>583.95476907599198</v>
      </c>
      <c r="AF32">
        <v>369.97890820351</v>
      </c>
      <c r="AG32">
        <v>659.15647059801495</v>
      </c>
    </row>
    <row r="33" spans="1:33" x14ac:dyDescent="0.25">
      <c r="A33" s="1">
        <v>44084</v>
      </c>
      <c r="B33">
        <v>19243.539393448798</v>
      </c>
      <c r="C33">
        <v>10684.161388181899</v>
      </c>
      <c r="D33">
        <v>16356.001497016799</v>
      </c>
      <c r="E33">
        <v>19006.5039527271</v>
      </c>
      <c r="F33">
        <v>15463.358268325101</v>
      </c>
      <c r="G33">
        <v>14454.4427247035</v>
      </c>
      <c r="H33">
        <v>28768.263739636099</v>
      </c>
      <c r="I33">
        <v>20365.696348486101</v>
      </c>
      <c r="J33">
        <v>2397.09051327321</v>
      </c>
      <c r="K33">
        <v>2128.5468347002802</v>
      </c>
      <c r="L33">
        <v>827.00846908418703</v>
      </c>
      <c r="M33">
        <v>12696.418443741901</v>
      </c>
      <c r="N33">
        <v>2668.3514715136298</v>
      </c>
      <c r="O33">
        <v>667.91735940344904</v>
      </c>
      <c r="P33">
        <v>2352.51322494132</v>
      </c>
      <c r="Q33">
        <v>10600.564619672001</v>
      </c>
      <c r="R33">
        <v>1004.1374500847199</v>
      </c>
      <c r="S33">
        <v>202.51943529576701</v>
      </c>
      <c r="T33">
        <v>190.103998126552</v>
      </c>
      <c r="U33">
        <v>159.598940274434</v>
      </c>
      <c r="V33">
        <v>174.155721111296</v>
      </c>
      <c r="W33">
        <v>159.87967237595501</v>
      </c>
      <c r="X33">
        <v>153.21165618211299</v>
      </c>
      <c r="Y33">
        <v>946.99755146136295</v>
      </c>
      <c r="Z33">
        <v>156.94262144643801</v>
      </c>
      <c r="AA33">
        <v>580.73512056927405</v>
      </c>
      <c r="AB33">
        <v>1169.43582199148</v>
      </c>
      <c r="AC33">
        <v>566.10373574481503</v>
      </c>
      <c r="AD33">
        <v>666.732710070812</v>
      </c>
      <c r="AE33">
        <v>583.55221271758705</v>
      </c>
      <c r="AF33">
        <v>376.11253950779297</v>
      </c>
      <c r="AG33">
        <v>661.97338695017595</v>
      </c>
    </row>
    <row r="34" spans="1:33" x14ac:dyDescent="0.25">
      <c r="A34" s="1">
        <v>44085</v>
      </c>
      <c r="B34">
        <v>19041.324906060701</v>
      </c>
      <c r="C34">
        <v>10150.240256565199</v>
      </c>
      <c r="D34">
        <v>14974.802745438001</v>
      </c>
      <c r="E34">
        <v>18814.351069135999</v>
      </c>
      <c r="F34">
        <v>15119.764827093</v>
      </c>
      <c r="G34">
        <v>14253.7515128084</v>
      </c>
      <c r="H34">
        <v>28500.442713594399</v>
      </c>
      <c r="I34">
        <v>20278.710884304601</v>
      </c>
      <c r="J34">
        <v>2365.2583770638298</v>
      </c>
      <c r="K34">
        <v>2050.7360348817801</v>
      </c>
      <c r="L34">
        <v>819.87317544446</v>
      </c>
      <c r="M34">
        <v>12497.089024454801</v>
      </c>
      <c r="N34">
        <v>2630.9980152304402</v>
      </c>
      <c r="O34">
        <v>625.16389811893998</v>
      </c>
      <c r="P34">
        <v>2282.8899474170598</v>
      </c>
      <c r="Q34">
        <v>10462.375299261401</v>
      </c>
      <c r="R34">
        <v>960.76862726627201</v>
      </c>
      <c r="S34">
        <v>218.39255444825599</v>
      </c>
      <c r="T34">
        <v>196.88419780217799</v>
      </c>
      <c r="U34">
        <v>160.53350443698901</v>
      </c>
      <c r="V34">
        <v>190.11629988010699</v>
      </c>
      <c r="W34">
        <v>154.07023591616101</v>
      </c>
      <c r="X34">
        <v>153.48094325641799</v>
      </c>
      <c r="Y34">
        <v>978.24671081772897</v>
      </c>
      <c r="Z34">
        <v>157.34150381246201</v>
      </c>
      <c r="AA34">
        <v>577.54011360613401</v>
      </c>
      <c r="AB34">
        <v>1154.0304230491399</v>
      </c>
      <c r="AC34">
        <v>568.52963792755895</v>
      </c>
      <c r="AD34">
        <v>654.30537420921996</v>
      </c>
      <c r="AE34">
        <v>543.74838953528001</v>
      </c>
      <c r="AF34">
        <v>382.22578009035101</v>
      </c>
      <c r="AG34">
        <v>656.54836735716594</v>
      </c>
    </row>
    <row r="35" spans="1:33" x14ac:dyDescent="0.25">
      <c r="A35" s="1">
        <v>44086</v>
      </c>
      <c r="B35">
        <v>18776.4576030881</v>
      </c>
      <c r="C35">
        <v>10058.8431020595</v>
      </c>
      <c r="D35">
        <v>13774.140952351299</v>
      </c>
      <c r="E35">
        <v>18433.160952624301</v>
      </c>
      <c r="F35">
        <v>15164.7101824402</v>
      </c>
      <c r="G35">
        <v>14673.817656355301</v>
      </c>
      <c r="H35">
        <v>28673.795045503499</v>
      </c>
      <c r="I35">
        <v>19962.220533572701</v>
      </c>
      <c r="J35">
        <v>2323.70539961756</v>
      </c>
      <c r="K35">
        <v>2019.06066571011</v>
      </c>
      <c r="L35">
        <v>826.45921991117905</v>
      </c>
      <c r="M35">
        <v>12829.9362050576</v>
      </c>
      <c r="N35">
        <v>2934.59353148223</v>
      </c>
      <c r="O35">
        <v>656.53158072937299</v>
      </c>
      <c r="P35">
        <v>2316.3524394992901</v>
      </c>
      <c r="Q35">
        <v>10762.4065890888</v>
      </c>
      <c r="R35">
        <v>965.06665919947</v>
      </c>
      <c r="S35">
        <v>228.23904260837</v>
      </c>
      <c r="T35">
        <v>206.81726557543101</v>
      </c>
      <c r="U35">
        <v>154.11759431081799</v>
      </c>
      <c r="V35">
        <v>204.10586283329201</v>
      </c>
      <c r="W35">
        <v>151.91730126062399</v>
      </c>
      <c r="X35">
        <v>160.72746582463299</v>
      </c>
      <c r="Y35">
        <v>999.32403788965405</v>
      </c>
      <c r="Z35">
        <v>157.92033793956301</v>
      </c>
      <c r="AA35">
        <v>576.24573821340005</v>
      </c>
      <c r="AB35">
        <v>1144.0623607065099</v>
      </c>
      <c r="AC35">
        <v>569.96644530467802</v>
      </c>
      <c r="AD35">
        <v>655.95331477705201</v>
      </c>
      <c r="AE35">
        <v>530.64616489487503</v>
      </c>
      <c r="AF35">
        <v>385.00709024962299</v>
      </c>
      <c r="AG35">
        <v>665.57528880906295</v>
      </c>
    </row>
    <row r="36" spans="1:33" x14ac:dyDescent="0.25">
      <c r="A36" s="1">
        <v>44087</v>
      </c>
      <c r="B36">
        <v>18362.594953996599</v>
      </c>
      <c r="C36">
        <v>10472.733796475401</v>
      </c>
      <c r="D36">
        <v>12709.3478564408</v>
      </c>
      <c r="E36">
        <v>17785.6418317838</v>
      </c>
      <c r="F36">
        <v>15541.592677427099</v>
      </c>
      <c r="G36">
        <v>14965.152766990799</v>
      </c>
      <c r="H36">
        <v>28704.0472542155</v>
      </c>
      <c r="I36">
        <v>19718.296245659301</v>
      </c>
      <c r="J36">
        <v>2270.5628760153199</v>
      </c>
      <c r="K36">
        <v>1992.40339095062</v>
      </c>
      <c r="L36">
        <v>837.48785866971195</v>
      </c>
      <c r="M36">
        <v>13162.375438692299</v>
      </c>
      <c r="N36">
        <v>3194.9700090664401</v>
      </c>
      <c r="O36">
        <v>714.93786744136696</v>
      </c>
      <c r="P36">
        <v>2258.3730989573801</v>
      </c>
      <c r="Q36">
        <v>11029.5570030991</v>
      </c>
      <c r="R36">
        <v>993.46731065881102</v>
      </c>
      <c r="S36">
        <v>226.60759748335599</v>
      </c>
      <c r="T36">
        <v>225.62912318015</v>
      </c>
      <c r="U36">
        <v>157.10412654486899</v>
      </c>
      <c r="V36">
        <v>221.39853883086101</v>
      </c>
      <c r="W36">
        <v>154.45587125095801</v>
      </c>
      <c r="X36">
        <v>159.338823243614</v>
      </c>
      <c r="Y36">
        <v>995.167589253183</v>
      </c>
      <c r="Z36">
        <v>158.77614492885201</v>
      </c>
      <c r="AA36">
        <v>575.79836392698599</v>
      </c>
      <c r="AB36">
        <v>1145.9835511686099</v>
      </c>
      <c r="AC36">
        <v>571.39042475763802</v>
      </c>
      <c r="AD36">
        <v>662.46576388472704</v>
      </c>
      <c r="AE36">
        <v>505.27978475745698</v>
      </c>
      <c r="AF36">
        <v>387.34334069120098</v>
      </c>
      <c r="AG36">
        <v>677.07164605125104</v>
      </c>
    </row>
    <row r="37" spans="1:33" x14ac:dyDescent="0.25">
      <c r="A37" s="1">
        <v>44088</v>
      </c>
      <c r="B37">
        <v>17761.656302855001</v>
      </c>
      <c r="C37">
        <v>10881.056878055801</v>
      </c>
      <c r="D37">
        <v>11910.0396147173</v>
      </c>
      <c r="E37">
        <v>16960.8591296542</v>
      </c>
      <c r="F37">
        <v>15708.6435138529</v>
      </c>
      <c r="G37">
        <v>14708.1804726348</v>
      </c>
      <c r="H37">
        <v>27770.585476948901</v>
      </c>
      <c r="I37">
        <v>19659.566162184899</v>
      </c>
      <c r="J37">
        <v>2218.6874104009398</v>
      </c>
      <c r="K37">
        <v>1916.9418305131701</v>
      </c>
      <c r="L37">
        <v>837.73293286272997</v>
      </c>
      <c r="M37">
        <v>12851.3322535725</v>
      </c>
      <c r="N37">
        <v>3197.8493234582202</v>
      </c>
      <c r="O37">
        <v>703.85874267213103</v>
      </c>
      <c r="P37">
        <v>2185.5469268778802</v>
      </c>
      <c r="Q37">
        <v>10835.535364953401</v>
      </c>
      <c r="R37">
        <v>954.62892706370599</v>
      </c>
      <c r="S37">
        <v>230.20547439255901</v>
      </c>
      <c r="T37">
        <v>244.14210964927199</v>
      </c>
      <c r="U37">
        <v>155.710288624778</v>
      </c>
      <c r="V37">
        <v>229.856907997425</v>
      </c>
      <c r="W37">
        <v>149.03461773634001</v>
      </c>
      <c r="X37">
        <v>164.07244834643501</v>
      </c>
      <c r="Y37">
        <v>947.52234443585996</v>
      </c>
      <c r="Z37">
        <v>160.38928699779899</v>
      </c>
      <c r="AA37">
        <v>572.99448827151105</v>
      </c>
      <c r="AB37">
        <v>1136.4909187599601</v>
      </c>
      <c r="AC37">
        <v>573.51260546841195</v>
      </c>
      <c r="AD37">
        <v>659.78839275842995</v>
      </c>
      <c r="AE37">
        <v>514.051273575256</v>
      </c>
      <c r="AF37">
        <v>396.84239618053999</v>
      </c>
      <c r="AG37">
        <v>678.73444107958801</v>
      </c>
    </row>
    <row r="38" spans="1:33" x14ac:dyDescent="0.25">
      <c r="A38" s="1">
        <v>44089</v>
      </c>
      <c r="B38">
        <v>16997.055490819501</v>
      </c>
      <c r="C38">
        <v>10288.656256402501</v>
      </c>
      <c r="D38">
        <v>11512.3655012293</v>
      </c>
      <c r="E38">
        <v>16078.4489248764</v>
      </c>
      <c r="F38">
        <v>15460.4983240211</v>
      </c>
      <c r="G38">
        <v>14355.952235831999</v>
      </c>
      <c r="H38">
        <v>26887.265262209799</v>
      </c>
      <c r="I38">
        <v>19524.927683249</v>
      </c>
      <c r="J38">
        <v>2165.9504449667502</v>
      </c>
      <c r="K38">
        <v>1843.5732198978901</v>
      </c>
      <c r="L38">
        <v>812.91699322115403</v>
      </c>
      <c r="M38">
        <v>12506.8498678612</v>
      </c>
      <c r="N38">
        <v>3096.5939548627598</v>
      </c>
      <c r="O38">
        <v>671.28264440985504</v>
      </c>
      <c r="P38">
        <v>2098.2778479951298</v>
      </c>
      <c r="Q38">
        <v>10479.552781127801</v>
      </c>
      <c r="R38">
        <v>912.33147514471</v>
      </c>
      <c r="S38">
        <v>238.721460239962</v>
      </c>
      <c r="T38">
        <v>239.460048321594</v>
      </c>
      <c r="U38">
        <v>147.572124308376</v>
      </c>
      <c r="V38">
        <v>235.64805868432299</v>
      </c>
      <c r="W38">
        <v>147.13042799089499</v>
      </c>
      <c r="X38">
        <v>170.25311107310901</v>
      </c>
      <c r="Y38">
        <v>934.234050849798</v>
      </c>
      <c r="Z38">
        <v>161.17794409745599</v>
      </c>
      <c r="AA38">
        <v>559.43553296543598</v>
      </c>
      <c r="AB38">
        <v>1075.8995041813</v>
      </c>
      <c r="AC38">
        <v>574.16986870610799</v>
      </c>
      <c r="AD38">
        <v>644.16938107507997</v>
      </c>
      <c r="AE38">
        <v>536.82472839417403</v>
      </c>
      <c r="AF38">
        <v>409.07872465251802</v>
      </c>
      <c r="AG38">
        <v>670.675657162368</v>
      </c>
    </row>
    <row r="39" spans="1:33" x14ac:dyDescent="0.25">
      <c r="A39" s="1">
        <v>44090</v>
      </c>
      <c r="B39">
        <v>16056.0924331147</v>
      </c>
      <c r="C39">
        <v>9332.1433889877608</v>
      </c>
      <c r="D39">
        <v>11423.7165913516</v>
      </c>
      <c r="E39">
        <v>15247.473882550499</v>
      </c>
      <c r="F39">
        <v>15256.0997735528</v>
      </c>
      <c r="G39">
        <v>14462.5365297354</v>
      </c>
      <c r="H39">
        <v>26602.207602421699</v>
      </c>
      <c r="I39">
        <v>19300.283749596201</v>
      </c>
      <c r="J39">
        <v>2112.75320705384</v>
      </c>
      <c r="K39">
        <v>1812.6669347105501</v>
      </c>
      <c r="L39">
        <v>787.59823804970802</v>
      </c>
      <c r="M39">
        <v>12558.3267730388</v>
      </c>
      <c r="N39">
        <v>3210.27419799885</v>
      </c>
      <c r="O39">
        <v>657.26831755839703</v>
      </c>
      <c r="P39">
        <v>2072.1460983458801</v>
      </c>
      <c r="Q39">
        <v>10487.0918537092</v>
      </c>
      <c r="R39">
        <v>886.47973757962995</v>
      </c>
      <c r="S39">
        <v>245.74703386854</v>
      </c>
      <c r="T39">
        <v>237.46874556036701</v>
      </c>
      <c r="U39">
        <v>151.23631854079801</v>
      </c>
      <c r="V39">
        <v>243.702430513693</v>
      </c>
      <c r="W39">
        <v>150.60966585991099</v>
      </c>
      <c r="X39">
        <v>170.66492015988001</v>
      </c>
      <c r="Y39">
        <v>914.93272373672005</v>
      </c>
      <c r="Z39">
        <v>159.84038016710201</v>
      </c>
      <c r="AA39">
        <v>540.975208109189</v>
      </c>
      <c r="AB39">
        <v>1031.8128307582699</v>
      </c>
      <c r="AC39">
        <v>573.09248872199703</v>
      </c>
      <c r="AD39">
        <v>630.54478263452495</v>
      </c>
      <c r="AE39">
        <v>532.14091848981695</v>
      </c>
      <c r="AF39">
        <v>418.45688435651999</v>
      </c>
      <c r="AG39">
        <v>650.97175367251896</v>
      </c>
    </row>
    <row r="40" spans="1:33" x14ac:dyDescent="0.25">
      <c r="A40" s="1">
        <v>44091</v>
      </c>
      <c r="B40">
        <v>15108.3111579092</v>
      </c>
      <c r="C40">
        <v>9166.3137104953803</v>
      </c>
      <c r="D40">
        <v>11267.2593448159</v>
      </c>
      <c r="E40">
        <v>14627.6256246509</v>
      </c>
      <c r="F40">
        <v>15374.157596216601</v>
      </c>
      <c r="G40">
        <v>15000.8181991484</v>
      </c>
      <c r="H40">
        <v>26723.752162091601</v>
      </c>
      <c r="I40">
        <v>19169.529516799801</v>
      </c>
      <c r="J40">
        <v>2068.6760017995098</v>
      </c>
      <c r="K40">
        <v>1826.19382879811</v>
      </c>
      <c r="L40">
        <v>780.51798073297596</v>
      </c>
      <c r="M40">
        <v>12975.637468074299</v>
      </c>
      <c r="N40">
        <v>3559.3649154904501</v>
      </c>
      <c r="O40">
        <v>685.21435255706604</v>
      </c>
      <c r="P40">
        <v>2114.0540764186799</v>
      </c>
      <c r="Q40">
        <v>10953.523203996199</v>
      </c>
      <c r="R40">
        <v>894.056657278545</v>
      </c>
      <c r="S40">
        <v>244.53693577060201</v>
      </c>
      <c r="T40">
        <v>252.05579451525</v>
      </c>
      <c r="U40">
        <v>153.42936156367099</v>
      </c>
      <c r="V40">
        <v>274.09760280490298</v>
      </c>
      <c r="W40">
        <v>153.22301189018</v>
      </c>
      <c r="X40">
        <v>180.75951810842199</v>
      </c>
      <c r="Y40">
        <v>906.71091871973499</v>
      </c>
      <c r="Z40">
        <v>159.146499526974</v>
      </c>
      <c r="AA40">
        <v>527.12236050965203</v>
      </c>
      <c r="AB40">
        <v>993.22408250592196</v>
      </c>
      <c r="AC40">
        <v>572.12001748111504</v>
      </c>
      <c r="AD40">
        <v>627.44462820460103</v>
      </c>
      <c r="AE40">
        <v>569.15513697935103</v>
      </c>
      <c r="AF40">
        <v>422.84932163922798</v>
      </c>
      <c r="AG40">
        <v>630.473634264152</v>
      </c>
    </row>
    <row r="41" spans="1:33" x14ac:dyDescent="0.25">
      <c r="A41" s="1">
        <v>44092</v>
      </c>
      <c r="B41">
        <v>14332.9483177766</v>
      </c>
      <c r="C41">
        <v>9584.4079477639898</v>
      </c>
      <c r="D41">
        <v>10987.494567629999</v>
      </c>
      <c r="E41">
        <v>14141.877445579899</v>
      </c>
      <c r="F41">
        <v>15646.245633733201</v>
      </c>
      <c r="G41">
        <v>15345.251998121899</v>
      </c>
      <c r="H41">
        <v>26940.1883544228</v>
      </c>
      <c r="I41">
        <v>19158.909295505699</v>
      </c>
      <c r="J41">
        <v>2042.04439447495</v>
      </c>
      <c r="K41">
        <v>1840.70015368278</v>
      </c>
      <c r="L41">
        <v>779.28237026139402</v>
      </c>
      <c r="M41">
        <v>13366.621594522299</v>
      </c>
      <c r="N41">
        <v>3811.8314449651398</v>
      </c>
      <c r="O41">
        <v>717.91896305959096</v>
      </c>
      <c r="P41">
        <v>2149.5192146563099</v>
      </c>
      <c r="Q41">
        <v>11307.309801482499</v>
      </c>
      <c r="R41">
        <v>909.06360410134596</v>
      </c>
      <c r="S41">
        <v>238.02813692670301</v>
      </c>
      <c r="T41">
        <v>268.95083541194998</v>
      </c>
      <c r="U41">
        <v>151.12948829099901</v>
      </c>
      <c r="V41">
        <v>295.10108426533799</v>
      </c>
      <c r="W41">
        <v>149.41099921854601</v>
      </c>
      <c r="X41">
        <v>189.506928308049</v>
      </c>
      <c r="Y41">
        <v>881.34730248247001</v>
      </c>
      <c r="Z41">
        <v>157.71759730892899</v>
      </c>
      <c r="AA41">
        <v>514.53125354375504</v>
      </c>
      <c r="AB41">
        <v>965.49842965177197</v>
      </c>
      <c r="AC41">
        <v>572.11171069181296</v>
      </c>
      <c r="AD41">
        <v>625.17274476984096</v>
      </c>
      <c r="AE41">
        <v>601.49366186990903</v>
      </c>
      <c r="AF41">
        <v>426.96108123265901</v>
      </c>
      <c r="AG41">
        <v>614.30557613315796</v>
      </c>
    </row>
    <row r="42" spans="1:33" x14ac:dyDescent="0.25">
      <c r="A42" s="1">
        <v>44093</v>
      </c>
      <c r="B42">
        <v>13711.8311280747</v>
      </c>
      <c r="C42">
        <v>9847.9706510404703</v>
      </c>
      <c r="D42">
        <v>10717.842474253301</v>
      </c>
      <c r="E42">
        <v>13730.9193568377</v>
      </c>
      <c r="F42">
        <v>15710.0151911333</v>
      </c>
      <c r="G42">
        <v>15274.171621212499</v>
      </c>
      <c r="H42">
        <v>26684.9980108815</v>
      </c>
      <c r="I42">
        <v>19141.3408477544</v>
      </c>
      <c r="J42">
        <v>2025.17089369881</v>
      </c>
      <c r="K42">
        <v>1850.5766085596099</v>
      </c>
      <c r="L42">
        <v>782.10351739796397</v>
      </c>
      <c r="M42">
        <v>13453.7609941345</v>
      </c>
      <c r="N42">
        <v>3891.46531526225</v>
      </c>
      <c r="O42">
        <v>689.26100442706399</v>
      </c>
      <c r="P42">
        <v>2175.2612360806502</v>
      </c>
      <c r="Q42">
        <v>11355.8245480489</v>
      </c>
      <c r="R42">
        <v>889.64451782020296</v>
      </c>
      <c r="S42">
        <v>235.68985611113499</v>
      </c>
      <c r="T42">
        <v>274.067457704905</v>
      </c>
      <c r="U42">
        <v>152.51671707845199</v>
      </c>
      <c r="V42">
        <v>294.05072371957999</v>
      </c>
      <c r="W42">
        <v>150.42449955429399</v>
      </c>
      <c r="X42">
        <v>189.56035176737501</v>
      </c>
      <c r="Y42">
        <v>855.03266125253799</v>
      </c>
      <c r="Z42">
        <v>154.00950436273101</v>
      </c>
      <c r="AA42">
        <v>508.27539892699502</v>
      </c>
      <c r="AB42">
        <v>941.05916780033999</v>
      </c>
      <c r="AC42">
        <v>572.02919499163102</v>
      </c>
      <c r="AD42">
        <v>621.03152374363799</v>
      </c>
      <c r="AE42">
        <v>598.23606505703901</v>
      </c>
      <c r="AF42">
        <v>435.31309608591698</v>
      </c>
      <c r="AG42">
        <v>598.69985866238403</v>
      </c>
    </row>
    <row r="43" spans="1:33" x14ac:dyDescent="0.25">
      <c r="A43" s="1">
        <v>44094</v>
      </c>
      <c r="B43">
        <v>13270.9900677391</v>
      </c>
      <c r="C43">
        <v>9911.51478735608</v>
      </c>
      <c r="D43">
        <v>10576.5094884681</v>
      </c>
      <c r="E43">
        <v>13429.8165567374</v>
      </c>
      <c r="F43">
        <v>15780.5548339211</v>
      </c>
      <c r="G43">
        <v>15358.468190756499</v>
      </c>
      <c r="H43">
        <v>26697.059013832699</v>
      </c>
      <c r="I43">
        <v>19073.435753613401</v>
      </c>
      <c r="J43">
        <v>2013.7859435584401</v>
      </c>
      <c r="K43">
        <v>1893.01610407199</v>
      </c>
      <c r="L43">
        <v>776.35642244418204</v>
      </c>
      <c r="M43">
        <v>13536.545573868199</v>
      </c>
      <c r="N43">
        <v>3889.2164226842401</v>
      </c>
      <c r="O43">
        <v>675.07767691619301</v>
      </c>
      <c r="P43">
        <v>2227.2933812636902</v>
      </c>
      <c r="Q43">
        <v>11524.6425755569</v>
      </c>
      <c r="R43">
        <v>884.18348932215804</v>
      </c>
      <c r="S43">
        <v>235.792856493964</v>
      </c>
      <c r="T43">
        <v>285.21385478615201</v>
      </c>
      <c r="U43">
        <v>144.96283805132299</v>
      </c>
      <c r="V43">
        <v>301.32223186707699</v>
      </c>
      <c r="W43">
        <v>142.03346413589401</v>
      </c>
      <c r="X43">
        <v>189.16746394778201</v>
      </c>
      <c r="Y43">
        <v>811.51006505740202</v>
      </c>
      <c r="Z43">
        <v>152.77687161483999</v>
      </c>
      <c r="AA43">
        <v>493.99868770979703</v>
      </c>
      <c r="AB43">
        <v>943.07237872658504</v>
      </c>
      <c r="AC43">
        <v>571.59094523942395</v>
      </c>
      <c r="AD43">
        <v>620.28953621350104</v>
      </c>
      <c r="AE43">
        <v>601.98982502077502</v>
      </c>
      <c r="AF43">
        <v>442.93633160842899</v>
      </c>
      <c r="AG43">
        <v>584.209183605563</v>
      </c>
    </row>
    <row r="44" spans="1:33" x14ac:dyDescent="0.25">
      <c r="A44" s="1">
        <v>44095</v>
      </c>
      <c r="B44">
        <v>13059.2762959431</v>
      </c>
      <c r="C44">
        <v>10311.8118461716</v>
      </c>
      <c r="D44">
        <v>10524.3898473057</v>
      </c>
      <c r="E44">
        <v>13268.230282683</v>
      </c>
      <c r="F44">
        <v>16055.0893204449</v>
      </c>
      <c r="G44">
        <v>15652.1378688104</v>
      </c>
      <c r="H44">
        <v>27295.041541260802</v>
      </c>
      <c r="I44">
        <v>19093.473152888499</v>
      </c>
      <c r="J44">
        <v>2013.0729720127799</v>
      </c>
      <c r="K44">
        <v>1984.1570046644599</v>
      </c>
      <c r="L44">
        <v>787.47781733341697</v>
      </c>
      <c r="M44">
        <v>13889.1201628526</v>
      </c>
      <c r="N44">
        <v>4148.0715746884798</v>
      </c>
      <c r="O44">
        <v>693.87907506683496</v>
      </c>
      <c r="P44">
        <v>2338.0139478719798</v>
      </c>
      <c r="Q44">
        <v>11933.8343311967</v>
      </c>
      <c r="R44">
        <v>915.29165006314599</v>
      </c>
      <c r="S44">
        <v>232.462042264134</v>
      </c>
      <c r="T44">
        <v>316.31378603953999</v>
      </c>
      <c r="U44">
        <v>141.864806769701</v>
      </c>
      <c r="V44">
        <v>327.02472686113498</v>
      </c>
      <c r="W44">
        <v>145.03090375465999</v>
      </c>
      <c r="X44">
        <v>200.874896507296</v>
      </c>
      <c r="Y44">
        <v>813.77168045398003</v>
      </c>
      <c r="Z44">
        <v>153.98464917254699</v>
      </c>
      <c r="AA44">
        <v>488.69319644637</v>
      </c>
      <c r="AB44">
        <v>909.53526363858896</v>
      </c>
      <c r="AC44">
        <v>571.69613490726601</v>
      </c>
      <c r="AD44">
        <v>629.69291236946594</v>
      </c>
      <c r="AE44">
        <v>571.684765422851</v>
      </c>
      <c r="AF44">
        <v>447.16516703084</v>
      </c>
      <c r="AG44">
        <v>569.17029561150798</v>
      </c>
    </row>
    <row r="45" spans="1:33" x14ac:dyDescent="0.25">
      <c r="A45" s="1">
        <v>44096</v>
      </c>
      <c r="B45">
        <v>12952.8537882688</v>
      </c>
      <c r="C45">
        <v>10924.6041292431</v>
      </c>
      <c r="D45">
        <v>10445.131771435401</v>
      </c>
      <c r="E45">
        <v>13151.1713065926</v>
      </c>
      <c r="F45">
        <v>16293.677605561499</v>
      </c>
      <c r="G45">
        <v>15713.410727471201</v>
      </c>
      <c r="H45">
        <v>27590.283420634001</v>
      </c>
      <c r="I45">
        <v>19185.353914378698</v>
      </c>
      <c r="J45">
        <v>2019.7751754103999</v>
      </c>
      <c r="K45">
        <v>2026.3240076049501</v>
      </c>
      <c r="L45">
        <v>794.706722776932</v>
      </c>
      <c r="M45">
        <v>13998.9371307047</v>
      </c>
      <c r="N45">
        <v>4318.1048066800504</v>
      </c>
      <c r="O45">
        <v>700.18186682493399</v>
      </c>
      <c r="P45">
        <v>2377.1996136910002</v>
      </c>
      <c r="Q45">
        <v>12064.1880602744</v>
      </c>
      <c r="R45">
        <v>937.25926326097294</v>
      </c>
      <c r="S45">
        <v>231.626764132619</v>
      </c>
      <c r="T45">
        <v>322.01140838268799</v>
      </c>
      <c r="U45">
        <v>141.158896172114</v>
      </c>
      <c r="V45">
        <v>320.21197963437601</v>
      </c>
      <c r="W45">
        <v>139.62018819119899</v>
      </c>
      <c r="X45">
        <v>187.200673644625</v>
      </c>
      <c r="Y45">
        <v>807.29786916078001</v>
      </c>
      <c r="Z45">
        <v>154.130091180888</v>
      </c>
      <c r="AA45">
        <v>494.27288026350601</v>
      </c>
      <c r="AB45">
        <v>924.44198753916601</v>
      </c>
      <c r="AC45">
        <v>574.76873980716005</v>
      </c>
      <c r="AD45">
        <v>632.31433094460101</v>
      </c>
      <c r="AE45">
        <v>584.95137637438995</v>
      </c>
      <c r="AF45">
        <v>453.20562020090301</v>
      </c>
      <c r="AG45">
        <v>559.66361733273197</v>
      </c>
    </row>
    <row r="46" spans="1:33" x14ac:dyDescent="0.25">
      <c r="A46" s="1">
        <v>44097</v>
      </c>
      <c r="B46">
        <v>12869.188227147801</v>
      </c>
      <c r="C46">
        <v>11519.011455016</v>
      </c>
      <c r="D46">
        <v>10462.772773034199</v>
      </c>
      <c r="E46">
        <v>13084.7273303578</v>
      </c>
      <c r="F46">
        <v>16254.9619966057</v>
      </c>
      <c r="G46">
        <v>15381.939008687399</v>
      </c>
      <c r="H46">
        <v>27574.985300776501</v>
      </c>
      <c r="I46">
        <v>19249.5320402814</v>
      </c>
      <c r="J46">
        <v>2020.8328525403699</v>
      </c>
      <c r="K46">
        <v>2042.16688285342</v>
      </c>
      <c r="L46">
        <v>793.69832544498104</v>
      </c>
      <c r="M46">
        <v>13807.489506244699</v>
      </c>
      <c r="N46">
        <v>4168.42390980854</v>
      </c>
      <c r="O46">
        <v>700.59787420289501</v>
      </c>
      <c r="P46">
        <v>2363.6316504746201</v>
      </c>
      <c r="Q46">
        <v>11798.074871000499</v>
      </c>
      <c r="R46">
        <v>947.03420904083896</v>
      </c>
      <c r="S46">
        <v>236.73214695517399</v>
      </c>
      <c r="T46">
        <v>320.33491678441698</v>
      </c>
      <c r="U46">
        <v>133.82913482579301</v>
      </c>
      <c r="V46">
        <v>307.19061418433301</v>
      </c>
      <c r="W46">
        <v>132.409411183938</v>
      </c>
      <c r="X46">
        <v>183.442693873537</v>
      </c>
      <c r="Y46">
        <v>801.16801705196201</v>
      </c>
      <c r="Z46">
        <v>153.50192189376099</v>
      </c>
      <c r="AA46">
        <v>481.980926846702</v>
      </c>
      <c r="AB46">
        <v>911.70558750576299</v>
      </c>
      <c r="AC46">
        <v>578.36964927689201</v>
      </c>
      <c r="AD46">
        <v>632.57433883578301</v>
      </c>
      <c r="AE46">
        <v>615.93988591759398</v>
      </c>
      <c r="AF46">
        <v>462.82586722828501</v>
      </c>
      <c r="AG46">
        <v>554.32147641335303</v>
      </c>
    </row>
    <row r="47" spans="1:33" x14ac:dyDescent="0.25">
      <c r="A47" s="1">
        <v>44098</v>
      </c>
      <c r="B47">
        <v>12757.3567321056</v>
      </c>
      <c r="C47">
        <v>11207.3685228043</v>
      </c>
      <c r="D47">
        <v>10760.320258725</v>
      </c>
      <c r="E47">
        <v>13087.5839740051</v>
      </c>
      <c r="F47">
        <v>16258.403264069801</v>
      </c>
      <c r="G47">
        <v>15443.456666967701</v>
      </c>
      <c r="H47">
        <v>27874.3541304475</v>
      </c>
      <c r="I47">
        <v>19271.922379448901</v>
      </c>
      <c r="J47">
        <v>2029.27856448182</v>
      </c>
      <c r="K47">
        <v>2098.9376697010598</v>
      </c>
      <c r="L47">
        <v>795.84199997962401</v>
      </c>
      <c r="M47">
        <v>13951.581797524501</v>
      </c>
      <c r="N47">
        <v>4469.4949707689102</v>
      </c>
      <c r="O47">
        <v>731.09039633227803</v>
      </c>
      <c r="P47">
        <v>2430.14450760616</v>
      </c>
      <c r="Q47">
        <v>11917.4301493613</v>
      </c>
      <c r="R47">
        <v>984.25363026867603</v>
      </c>
      <c r="S47">
        <v>234.80285843082001</v>
      </c>
      <c r="T47">
        <v>333.11119375753401</v>
      </c>
      <c r="U47">
        <v>128.350715481691</v>
      </c>
      <c r="V47">
        <v>308.74080602904297</v>
      </c>
      <c r="W47">
        <v>125.61752921825899</v>
      </c>
      <c r="X47">
        <v>177.74746249633</v>
      </c>
      <c r="Y47">
        <v>806.44008111824405</v>
      </c>
      <c r="Z47">
        <v>152.999949568989</v>
      </c>
      <c r="AA47">
        <v>470.79357782684099</v>
      </c>
      <c r="AB47">
        <v>883.30507453754501</v>
      </c>
      <c r="AC47">
        <v>579.35555976318801</v>
      </c>
      <c r="AD47">
        <v>637.35193371084495</v>
      </c>
      <c r="AE47">
        <v>653.23297999155102</v>
      </c>
      <c r="AF47">
        <v>465.69454091707797</v>
      </c>
      <c r="AG47">
        <v>544.75741848523501</v>
      </c>
    </row>
    <row r="48" spans="1:33" x14ac:dyDescent="0.25">
      <c r="A48" s="1">
        <v>44099</v>
      </c>
      <c r="B48">
        <v>12701.796413132501</v>
      </c>
      <c r="C48">
        <v>11864.348034004999</v>
      </c>
      <c r="D48">
        <v>11031.237905001801</v>
      </c>
      <c r="E48">
        <v>13209.114966913001</v>
      </c>
      <c r="F48">
        <v>16244.484010087899</v>
      </c>
      <c r="G48">
        <v>15297.5406435328</v>
      </c>
      <c r="H48">
        <v>27409.694845001799</v>
      </c>
      <c r="I48">
        <v>19304.766306098099</v>
      </c>
      <c r="J48">
        <v>2029.37034598587</v>
      </c>
      <c r="K48">
        <v>2060.45842273984</v>
      </c>
      <c r="L48">
        <v>805.46708262975801</v>
      </c>
      <c r="M48">
        <v>13663.796429334199</v>
      </c>
      <c r="N48">
        <v>4327.6540286621903</v>
      </c>
      <c r="O48">
        <v>720.71318621283501</v>
      </c>
      <c r="P48">
        <v>2430.5957056280399</v>
      </c>
      <c r="Q48">
        <v>11769.965889426599</v>
      </c>
      <c r="R48">
        <v>972.52049443193403</v>
      </c>
      <c r="S48">
        <v>227.659811341221</v>
      </c>
      <c r="T48">
        <v>306.33513303699198</v>
      </c>
      <c r="U48">
        <v>126.559898607791</v>
      </c>
      <c r="V48">
        <v>267.232743742548</v>
      </c>
      <c r="W48">
        <v>135.206140363087</v>
      </c>
      <c r="X48">
        <v>154.733385740188</v>
      </c>
      <c r="Y48">
        <v>795.90738570668805</v>
      </c>
      <c r="Z48">
        <v>149.55742951756699</v>
      </c>
      <c r="AA48">
        <v>469.53516658508102</v>
      </c>
      <c r="AB48">
        <v>845.95532789124104</v>
      </c>
      <c r="AC48">
        <v>580.97043192942704</v>
      </c>
      <c r="AD48">
        <v>630.66550289889403</v>
      </c>
      <c r="AE48">
        <v>631.91942287157497</v>
      </c>
      <c r="AF48">
        <v>471.802311145283</v>
      </c>
      <c r="AG48">
        <v>532.61777692426801</v>
      </c>
    </row>
    <row r="49" spans="1:33" x14ac:dyDescent="0.25">
      <c r="A49" s="1">
        <v>44100</v>
      </c>
      <c r="B49">
        <v>12777.1456609959</v>
      </c>
      <c r="C49">
        <v>12199.057615891699</v>
      </c>
      <c r="D49">
        <v>11252.5297269194</v>
      </c>
      <c r="E49">
        <v>13324.376537022201</v>
      </c>
      <c r="F49">
        <v>15855.019102374699</v>
      </c>
      <c r="G49">
        <v>14579.8482023948</v>
      </c>
      <c r="H49">
        <v>26313.731234492399</v>
      </c>
      <c r="I49">
        <v>19246.394518577701</v>
      </c>
      <c r="J49">
        <v>2020.78465940253</v>
      </c>
      <c r="K49">
        <v>2002.1789937929</v>
      </c>
      <c r="L49">
        <v>798.55052355842997</v>
      </c>
      <c r="M49">
        <v>12898.629904421899</v>
      </c>
      <c r="N49">
        <v>3729.1743392590902</v>
      </c>
      <c r="O49">
        <v>650.40186523212606</v>
      </c>
      <c r="P49">
        <v>2359.91881897542</v>
      </c>
      <c r="Q49">
        <v>11005.9047436086</v>
      </c>
      <c r="R49">
        <v>912.350628054151</v>
      </c>
      <c r="S49">
        <v>228.20299220932199</v>
      </c>
      <c r="T49">
        <v>266.80646829127198</v>
      </c>
      <c r="U49">
        <v>130.685914672374</v>
      </c>
      <c r="V49">
        <v>230.92312007337</v>
      </c>
      <c r="W49">
        <v>130.56697363682201</v>
      </c>
      <c r="X49">
        <v>143.105056627956</v>
      </c>
      <c r="Y49">
        <v>772.96358520230297</v>
      </c>
      <c r="Z49">
        <v>146.46268398747199</v>
      </c>
      <c r="AA49">
        <v>464.25858664997202</v>
      </c>
      <c r="AB49">
        <v>828.38409283616397</v>
      </c>
      <c r="AC49">
        <v>583.92222944208004</v>
      </c>
      <c r="AD49">
        <v>621.35428754251404</v>
      </c>
      <c r="AE49">
        <v>629.16318303639503</v>
      </c>
      <c r="AF49">
        <v>481.60547684513699</v>
      </c>
      <c r="AG49">
        <v>531.83577422651899</v>
      </c>
    </row>
    <row r="50" spans="1:33" x14ac:dyDescent="0.25">
      <c r="A50" s="1">
        <v>44101</v>
      </c>
      <c r="B50">
        <v>12962.7895257934</v>
      </c>
      <c r="C50">
        <v>12291.1521908207</v>
      </c>
      <c r="D50">
        <v>11657.0548580135</v>
      </c>
      <c r="E50">
        <v>13661.317868427001</v>
      </c>
      <c r="F50">
        <v>15616.599240071801</v>
      </c>
      <c r="G50">
        <v>14457.630097077301</v>
      </c>
      <c r="H50">
        <v>26000.013772456201</v>
      </c>
      <c r="I50">
        <v>19087.138437601599</v>
      </c>
      <c r="J50">
        <v>2017.1372737225099</v>
      </c>
      <c r="K50">
        <v>2020.9160117696099</v>
      </c>
      <c r="L50">
        <v>782.36002310233198</v>
      </c>
      <c r="M50">
        <v>12789.702810466501</v>
      </c>
      <c r="N50">
        <v>3642.9058065487998</v>
      </c>
      <c r="O50">
        <v>633.60631819045</v>
      </c>
      <c r="P50">
        <v>2394.9328911235598</v>
      </c>
      <c r="Q50">
        <v>10835.4180205136</v>
      </c>
      <c r="R50">
        <v>895.23002201450504</v>
      </c>
      <c r="S50">
        <v>225.598856222602</v>
      </c>
      <c r="T50">
        <v>255.99461240611299</v>
      </c>
      <c r="U50">
        <v>128.21496252357099</v>
      </c>
      <c r="V50">
        <v>244.458749363636</v>
      </c>
      <c r="W50">
        <v>128.08517405553499</v>
      </c>
      <c r="X50">
        <v>154.526902568747</v>
      </c>
      <c r="Y50">
        <v>768.30613034525402</v>
      </c>
      <c r="Z50">
        <v>143.95207622594901</v>
      </c>
      <c r="AA50">
        <v>461.73591418895001</v>
      </c>
      <c r="AB50">
        <v>819.48258953702498</v>
      </c>
      <c r="AC50">
        <v>588.82898810839004</v>
      </c>
      <c r="AD50">
        <v>616.77065943411105</v>
      </c>
      <c r="AE50">
        <v>628.53477975978001</v>
      </c>
      <c r="AF50">
        <v>488.31361245082502</v>
      </c>
      <c r="AG50">
        <v>531.94219864235799</v>
      </c>
    </row>
    <row r="51" spans="1:33" x14ac:dyDescent="0.25">
      <c r="A51" s="1">
        <v>44102</v>
      </c>
      <c r="B51">
        <v>13293.3675286731</v>
      </c>
      <c r="C51">
        <v>12238.794619546199</v>
      </c>
      <c r="D51">
        <v>12158.892627638799</v>
      </c>
      <c r="E51">
        <v>14115.120272292699</v>
      </c>
      <c r="F51">
        <v>15766.714578336399</v>
      </c>
      <c r="G51">
        <v>14856.1746875845</v>
      </c>
      <c r="H51">
        <v>26635.543742078298</v>
      </c>
      <c r="I51">
        <v>18961.576007100201</v>
      </c>
      <c r="J51">
        <v>2019.0398136244701</v>
      </c>
      <c r="K51">
        <v>2098.9909339268802</v>
      </c>
      <c r="L51">
        <v>795.89841212109502</v>
      </c>
      <c r="M51">
        <v>13182.218969028399</v>
      </c>
      <c r="N51">
        <v>3935.2013884527</v>
      </c>
      <c r="O51">
        <v>666.76742849469599</v>
      </c>
      <c r="P51">
        <v>2509.98221188349</v>
      </c>
      <c r="Q51">
        <v>11216.2415115766</v>
      </c>
      <c r="R51">
        <v>924.71113912302997</v>
      </c>
      <c r="S51">
        <v>222.06137721685801</v>
      </c>
      <c r="T51">
        <v>270.85763370029798</v>
      </c>
      <c r="U51">
        <v>125.56382926177901</v>
      </c>
      <c r="V51">
        <v>275.33026356761599</v>
      </c>
      <c r="W51">
        <v>125.60185639640299</v>
      </c>
      <c r="X51">
        <v>163.19825009772401</v>
      </c>
      <c r="Y51">
        <v>775.905595577398</v>
      </c>
      <c r="Z51">
        <v>139.573993511705</v>
      </c>
      <c r="AA51">
        <v>463.25057196521601</v>
      </c>
      <c r="AB51">
        <v>808.51822793596705</v>
      </c>
      <c r="AC51">
        <v>594.76180616899705</v>
      </c>
      <c r="AD51">
        <v>627.39106918295602</v>
      </c>
      <c r="AE51">
        <v>658.08041535479299</v>
      </c>
      <c r="AF51">
        <v>491.406412339214</v>
      </c>
      <c r="AG51">
        <v>526.59434022374001</v>
      </c>
    </row>
    <row r="52" spans="1:33" x14ac:dyDescent="0.25">
      <c r="A52" s="1">
        <v>44103</v>
      </c>
      <c r="B52">
        <v>13750.3652750447</v>
      </c>
      <c r="C52">
        <v>12175.4072040395</v>
      </c>
      <c r="D52">
        <v>12588.899816888899</v>
      </c>
      <c r="E52">
        <v>14518.799500894</v>
      </c>
      <c r="F52">
        <v>16131.870623852999</v>
      </c>
      <c r="G52">
        <v>15558.175276977699</v>
      </c>
      <c r="H52">
        <v>27503.056787461301</v>
      </c>
      <c r="I52">
        <v>18951.612529276299</v>
      </c>
      <c r="J52">
        <v>2038.23966446859</v>
      </c>
      <c r="K52">
        <v>2221.8276152172998</v>
      </c>
      <c r="L52">
        <v>830.42531437183004</v>
      </c>
      <c r="M52">
        <v>13753.8283835902</v>
      </c>
      <c r="N52">
        <v>4359.0047562761001</v>
      </c>
      <c r="O52">
        <v>735.10106914070104</v>
      </c>
      <c r="P52">
        <v>2669.6681087401398</v>
      </c>
      <c r="Q52">
        <v>11969.3085010913</v>
      </c>
      <c r="R52">
        <v>997.70563604241204</v>
      </c>
      <c r="S52">
        <v>216.818999291974</v>
      </c>
      <c r="T52">
        <v>305.50595634251499</v>
      </c>
      <c r="U52">
        <v>120.747951858341</v>
      </c>
      <c r="V52">
        <v>310.807149822577</v>
      </c>
      <c r="W52">
        <v>118.165611898816</v>
      </c>
      <c r="X52">
        <v>172.117093197272</v>
      </c>
      <c r="Y52">
        <v>765.53731242407503</v>
      </c>
      <c r="Z52">
        <v>135.367689398322</v>
      </c>
      <c r="AA52">
        <v>460.07821052118601</v>
      </c>
      <c r="AB52">
        <v>801.97251674988502</v>
      </c>
      <c r="AC52">
        <v>599.17852630771995</v>
      </c>
      <c r="AD52">
        <v>648.08974608081996</v>
      </c>
      <c r="AE52">
        <v>682.55464339281002</v>
      </c>
      <c r="AF52">
        <v>491.10937942277297</v>
      </c>
      <c r="AG52">
        <v>520.87532028099497</v>
      </c>
    </row>
    <row r="53" spans="1:33" x14ac:dyDescent="0.25">
      <c r="A53" s="1">
        <v>44104</v>
      </c>
      <c r="B53">
        <v>14068.0919079346</v>
      </c>
      <c r="C53">
        <v>12156.546084044299</v>
      </c>
      <c r="D53">
        <v>12829.512357993601</v>
      </c>
      <c r="E53">
        <v>14690.341600674899</v>
      </c>
      <c r="F53">
        <v>16292.82626731</v>
      </c>
      <c r="G53">
        <v>15480.2003996941</v>
      </c>
      <c r="H53">
        <v>27272.321453628902</v>
      </c>
      <c r="I53">
        <v>19093.105888387101</v>
      </c>
      <c r="J53">
        <v>2068.2122262235098</v>
      </c>
      <c r="K53">
        <v>2265.2313360190201</v>
      </c>
      <c r="L53">
        <v>842.17952514865999</v>
      </c>
      <c r="M53">
        <v>13746.213675823201</v>
      </c>
      <c r="N53">
        <v>4262.5048568467</v>
      </c>
      <c r="O53">
        <v>737.84250262068804</v>
      </c>
      <c r="P53">
        <v>2692.94725192536</v>
      </c>
      <c r="Q53">
        <v>11897.956197399801</v>
      </c>
      <c r="R53">
        <v>1015.32731121932</v>
      </c>
      <c r="S53">
        <v>214.29680635013599</v>
      </c>
      <c r="T53">
        <v>285.788119953592</v>
      </c>
      <c r="U53">
        <v>118.920483956026</v>
      </c>
      <c r="V53">
        <v>279.86413383131401</v>
      </c>
      <c r="W53">
        <v>117.741625119462</v>
      </c>
      <c r="X53">
        <v>158.665992102807</v>
      </c>
      <c r="Y53">
        <v>746.61933917283898</v>
      </c>
      <c r="Z53">
        <v>133.42804625260601</v>
      </c>
      <c r="AA53">
        <v>458.75166442094297</v>
      </c>
      <c r="AB53">
        <v>774.05403628863303</v>
      </c>
      <c r="AC53">
        <v>603.58612145446</v>
      </c>
      <c r="AD53">
        <v>655.80068943382105</v>
      </c>
      <c r="AE53">
        <v>605.90901353779498</v>
      </c>
      <c r="AF53">
        <v>493.65304006792701</v>
      </c>
      <c r="AG53">
        <v>516.57622898464399</v>
      </c>
    </row>
    <row r="54" spans="1:33" x14ac:dyDescent="0.25">
      <c r="A54" s="1">
        <v>44105</v>
      </c>
      <c r="B54">
        <v>14480.8396924065</v>
      </c>
      <c r="C54">
        <v>12150.269454331599</v>
      </c>
      <c r="D54">
        <v>13229.5459803633</v>
      </c>
      <c r="E54">
        <v>15040.176630984301</v>
      </c>
      <c r="F54">
        <v>16249.1175290629</v>
      </c>
      <c r="G54">
        <v>15562.5991835062</v>
      </c>
      <c r="H54">
        <v>27177.403018189201</v>
      </c>
      <c r="I54">
        <v>19234.810505543101</v>
      </c>
      <c r="J54">
        <v>2097.0979490480499</v>
      </c>
      <c r="K54">
        <v>2282.4052388191499</v>
      </c>
      <c r="L54">
        <v>840.79407107608995</v>
      </c>
      <c r="M54">
        <v>13793.9827020065</v>
      </c>
      <c r="N54">
        <v>4157.8225729440901</v>
      </c>
      <c r="O54">
        <v>709.80943150678604</v>
      </c>
      <c r="P54">
        <v>2719.8387761814502</v>
      </c>
      <c r="Q54">
        <v>11890.657677610299</v>
      </c>
      <c r="R54">
        <v>995.20515024862095</v>
      </c>
      <c r="S54">
        <v>212.563018042545</v>
      </c>
      <c r="T54">
        <v>265.20373975666502</v>
      </c>
      <c r="U54">
        <v>114.434239896024</v>
      </c>
      <c r="V54">
        <v>259.73521701963898</v>
      </c>
      <c r="W54">
        <v>113.957315382392</v>
      </c>
      <c r="X54">
        <v>151.34651118614499</v>
      </c>
      <c r="Y54">
        <v>758.80007401974001</v>
      </c>
      <c r="Z54">
        <v>133.24907487757301</v>
      </c>
      <c r="AA54">
        <v>463.00926279471201</v>
      </c>
      <c r="AB54">
        <v>799.62300010706099</v>
      </c>
      <c r="AC54">
        <v>609.12887163964297</v>
      </c>
      <c r="AD54">
        <v>650.81864638084403</v>
      </c>
      <c r="AE54">
        <v>598.99575414813899</v>
      </c>
      <c r="AF54">
        <v>499.19688910018903</v>
      </c>
      <c r="AG54">
        <v>514.43138605746401</v>
      </c>
    </row>
    <row r="55" spans="1:33" x14ac:dyDescent="0.25">
      <c r="A55" s="1">
        <v>44106</v>
      </c>
      <c r="B55">
        <v>15020.3844346355</v>
      </c>
      <c r="C55">
        <v>12137.896727781999</v>
      </c>
      <c r="D55">
        <v>13760.3558705221</v>
      </c>
      <c r="E55">
        <v>15478.930298830301</v>
      </c>
      <c r="F55">
        <v>16457.616169292502</v>
      </c>
      <c r="G55">
        <v>15950.3605736196</v>
      </c>
      <c r="H55">
        <v>27729.379738400799</v>
      </c>
      <c r="I55">
        <v>19348.4396475383</v>
      </c>
      <c r="J55">
        <v>2132.2284892283701</v>
      </c>
      <c r="K55">
        <v>2336.52758014141</v>
      </c>
      <c r="L55">
        <v>850.71010206751805</v>
      </c>
      <c r="M55">
        <v>14115.7571849836</v>
      </c>
      <c r="N55">
        <v>4327.5711265640302</v>
      </c>
      <c r="O55">
        <v>726.16317151657904</v>
      </c>
      <c r="P55">
        <v>2784.6974819304201</v>
      </c>
      <c r="Q55">
        <v>12227.621087478199</v>
      </c>
      <c r="R55">
        <v>1008.97996227602</v>
      </c>
      <c r="S55">
        <v>210.07425759548701</v>
      </c>
      <c r="T55">
        <v>270.75482560026899</v>
      </c>
      <c r="U55">
        <v>115.586404798164</v>
      </c>
      <c r="V55">
        <v>275.04348252259899</v>
      </c>
      <c r="W55">
        <v>119.65268308999001</v>
      </c>
      <c r="X55">
        <v>153.875119956276</v>
      </c>
      <c r="Y55">
        <v>762.34071869819695</v>
      </c>
      <c r="Z55">
        <v>131.96715170631001</v>
      </c>
      <c r="AA55">
        <v>459.52500324681199</v>
      </c>
      <c r="AB55">
        <v>818.37020286446398</v>
      </c>
      <c r="AC55">
        <v>613.77435036281599</v>
      </c>
      <c r="AD55">
        <v>658.26501929927804</v>
      </c>
      <c r="AE55">
        <v>652.40898060160305</v>
      </c>
      <c r="AF55">
        <v>501.96489303677203</v>
      </c>
      <c r="AG55">
        <v>515.53530268185705</v>
      </c>
    </row>
    <row r="56" spans="1:33" x14ac:dyDescent="0.25">
      <c r="A56" s="1">
        <v>44107</v>
      </c>
      <c r="B56">
        <v>15566.870067595901</v>
      </c>
      <c r="C56">
        <v>12128.5804760172</v>
      </c>
      <c r="D56">
        <v>14282.705652279299</v>
      </c>
      <c r="E56">
        <v>15871.7883093444</v>
      </c>
      <c r="F56">
        <v>16784.1555138857</v>
      </c>
      <c r="G56">
        <v>16371.1014683875</v>
      </c>
      <c r="H56">
        <v>28290.720128861201</v>
      </c>
      <c r="I56">
        <v>19489.579043071699</v>
      </c>
      <c r="J56">
        <v>2178.3250921726599</v>
      </c>
      <c r="K56">
        <v>2406.7855347663099</v>
      </c>
      <c r="L56">
        <v>869.32867695163498</v>
      </c>
      <c r="M56">
        <v>14558.073334512599</v>
      </c>
      <c r="N56">
        <v>4542.1562071197204</v>
      </c>
      <c r="O56">
        <v>761.54947810223405</v>
      </c>
      <c r="P56">
        <v>2877.4080092121699</v>
      </c>
      <c r="Q56">
        <v>12689.789998164601</v>
      </c>
      <c r="R56">
        <v>1045.75936829937</v>
      </c>
      <c r="S56">
        <v>207.94503881965301</v>
      </c>
      <c r="T56">
        <v>279.68863886405398</v>
      </c>
      <c r="U56">
        <v>118.505798520274</v>
      </c>
      <c r="V56">
        <v>280.47135075220399</v>
      </c>
      <c r="W56">
        <v>114.87422976832499</v>
      </c>
      <c r="X56">
        <v>153.71666695109599</v>
      </c>
      <c r="Y56">
        <v>759.39125526747</v>
      </c>
      <c r="Z56">
        <v>129.07111362236699</v>
      </c>
      <c r="AA56">
        <v>460.19442364847902</v>
      </c>
      <c r="AB56">
        <v>821.16632997494798</v>
      </c>
      <c r="AC56">
        <v>618.61452348867704</v>
      </c>
      <c r="AD56">
        <v>672.03500746294901</v>
      </c>
      <c r="AE56">
        <v>634.11920042622398</v>
      </c>
      <c r="AF56">
        <v>503.63761047022001</v>
      </c>
      <c r="AG56">
        <v>514.672576528489</v>
      </c>
    </row>
    <row r="57" spans="1:33" x14ac:dyDescent="0.25">
      <c r="A57" s="1">
        <v>44108</v>
      </c>
      <c r="B57">
        <v>15970.8779337094</v>
      </c>
      <c r="C57">
        <v>12160.7315973596</v>
      </c>
      <c r="D57">
        <v>14579.111100947601</v>
      </c>
      <c r="E57">
        <v>16075.858259539</v>
      </c>
      <c r="F57">
        <v>16902.790704283099</v>
      </c>
      <c r="G57">
        <v>16364.050049875799</v>
      </c>
      <c r="H57">
        <v>28311.877600471002</v>
      </c>
      <c r="I57">
        <v>19655.810654390101</v>
      </c>
      <c r="J57">
        <v>2211.6332850313001</v>
      </c>
      <c r="K57">
        <v>2425.3315162429399</v>
      </c>
      <c r="L57">
        <v>874.18028434208099</v>
      </c>
      <c r="M57">
        <v>14569.8891747418</v>
      </c>
      <c r="N57">
        <v>4442.5870956878598</v>
      </c>
      <c r="O57">
        <v>757.46965830817396</v>
      </c>
      <c r="P57">
        <v>2881.6635611001102</v>
      </c>
      <c r="Q57">
        <v>12663.448088249301</v>
      </c>
      <c r="R57">
        <v>1054.4172543526799</v>
      </c>
      <c r="S57">
        <v>206.93592265672001</v>
      </c>
      <c r="T57">
        <v>270.34443818570298</v>
      </c>
      <c r="U57">
        <v>114.581725814085</v>
      </c>
      <c r="V57">
        <v>262.19136192431603</v>
      </c>
      <c r="W57">
        <v>113.361424953865</v>
      </c>
      <c r="X57">
        <v>151.15393469683701</v>
      </c>
      <c r="Y57">
        <v>750.26320138528001</v>
      </c>
      <c r="Z57">
        <v>125.46696045271101</v>
      </c>
      <c r="AA57">
        <v>463.01283218269202</v>
      </c>
      <c r="AB57">
        <v>814.81545008195303</v>
      </c>
      <c r="AC57">
        <v>623.51267598664106</v>
      </c>
      <c r="AD57">
        <v>675.96951951497294</v>
      </c>
      <c r="AE57">
        <v>644.22534030584404</v>
      </c>
      <c r="AF57">
        <v>507.67590871218698</v>
      </c>
      <c r="AG57">
        <v>511.64037741576101</v>
      </c>
    </row>
    <row r="58" spans="1:33" x14ac:dyDescent="0.25">
      <c r="A58" s="1">
        <v>44109</v>
      </c>
      <c r="B58">
        <v>16251.785079789201</v>
      </c>
      <c r="C58">
        <v>12252.1309104883</v>
      </c>
      <c r="D58">
        <v>14762.8409578432</v>
      </c>
      <c r="E58">
        <v>16232.9058839627</v>
      </c>
      <c r="F58">
        <v>16883.9486138885</v>
      </c>
      <c r="G58">
        <v>16162.7173296818</v>
      </c>
      <c r="H58">
        <v>28095.870794399001</v>
      </c>
      <c r="I58">
        <v>19781.386656169801</v>
      </c>
      <c r="J58">
        <v>2231.2626715358901</v>
      </c>
      <c r="K58">
        <v>2423.1040241999199</v>
      </c>
      <c r="L58">
        <v>865.628266891865</v>
      </c>
      <c r="M58">
        <v>14376.0499059662</v>
      </c>
      <c r="N58">
        <v>4183.4673616535501</v>
      </c>
      <c r="O58">
        <v>741.84282057698704</v>
      </c>
      <c r="P58">
        <v>2867.29421712363</v>
      </c>
      <c r="Q58">
        <v>12470.1913730218</v>
      </c>
      <c r="R58">
        <v>1045.9941524368001</v>
      </c>
      <c r="S58">
        <v>206.53827526736501</v>
      </c>
      <c r="T58">
        <v>257.14176585098198</v>
      </c>
      <c r="U58">
        <v>114.371401979205</v>
      </c>
      <c r="V58">
        <v>241.730090440911</v>
      </c>
      <c r="W58">
        <v>113.03450858558701</v>
      </c>
      <c r="X58">
        <v>142.17172590216899</v>
      </c>
      <c r="Y58">
        <v>743.823764839604</v>
      </c>
      <c r="Z58">
        <v>123.291514747352</v>
      </c>
      <c r="AA58">
        <v>461.01804901898299</v>
      </c>
      <c r="AB58">
        <v>843.82349369415897</v>
      </c>
      <c r="AC58">
        <v>621.39797117912497</v>
      </c>
      <c r="AD58">
        <v>669.37901515489796</v>
      </c>
      <c r="AE58">
        <v>622.63061992182998</v>
      </c>
      <c r="AF58">
        <v>514.28813033218205</v>
      </c>
      <c r="AG58">
        <v>511.61036007393</v>
      </c>
    </row>
    <row r="59" spans="1:33" x14ac:dyDescent="0.25">
      <c r="A59" s="1">
        <v>44110</v>
      </c>
      <c r="B59">
        <v>16576.5587197147</v>
      </c>
      <c r="C59">
        <v>12375.3091246234</v>
      </c>
      <c r="D59">
        <v>15128.9643473213</v>
      </c>
      <c r="E59">
        <v>16626.7708785045</v>
      </c>
      <c r="F59">
        <v>16917.324035687001</v>
      </c>
      <c r="G59">
        <v>16389.866121250499</v>
      </c>
      <c r="H59">
        <v>28936.4838216272</v>
      </c>
      <c r="I59">
        <v>19837.521414323899</v>
      </c>
      <c r="J59">
        <v>2259.2262862749499</v>
      </c>
      <c r="K59">
        <v>2506.5518775741798</v>
      </c>
      <c r="L59">
        <v>877.32065481972097</v>
      </c>
      <c r="M59">
        <v>14721.4962460277</v>
      </c>
      <c r="N59">
        <v>4537.1383085589996</v>
      </c>
      <c r="O59">
        <v>794.23670318801703</v>
      </c>
      <c r="P59">
        <v>2956.76504110939</v>
      </c>
      <c r="Q59">
        <v>12799.4908195649</v>
      </c>
      <c r="R59">
        <v>1090.9585728448601</v>
      </c>
      <c r="S59">
        <v>205.441220448249</v>
      </c>
      <c r="T59">
        <v>289.854751177352</v>
      </c>
      <c r="U59">
        <v>114.40044452649001</v>
      </c>
      <c r="V59">
        <v>276.07265788959802</v>
      </c>
      <c r="W59">
        <v>112.455910558311</v>
      </c>
      <c r="X59">
        <v>143.807374181462</v>
      </c>
      <c r="Y59">
        <v>747.89681349752004</v>
      </c>
      <c r="Z59">
        <v>121.45276300803999</v>
      </c>
      <c r="AA59">
        <v>461.41880322947901</v>
      </c>
      <c r="AB59">
        <v>841.87220645185505</v>
      </c>
      <c r="AC59">
        <v>620.25837919999003</v>
      </c>
      <c r="AD59">
        <v>680.03232633837604</v>
      </c>
      <c r="AE59">
        <v>570.40709720018799</v>
      </c>
      <c r="AF59">
        <v>518.10173877895704</v>
      </c>
      <c r="AG59">
        <v>511.01281821696699</v>
      </c>
    </row>
    <row r="60" spans="1:33" x14ac:dyDescent="0.25">
      <c r="A60" s="1">
        <v>44111</v>
      </c>
      <c r="B60">
        <v>16889.430683341099</v>
      </c>
      <c r="C60">
        <v>12487.3839285131</v>
      </c>
      <c r="D60">
        <v>15495.560317335299</v>
      </c>
      <c r="E60">
        <v>16999.6012075539</v>
      </c>
      <c r="F60">
        <v>17205.186419908401</v>
      </c>
      <c r="G60">
        <v>16588.1818319702</v>
      </c>
      <c r="H60">
        <v>29726.348574321</v>
      </c>
      <c r="I60">
        <v>19925.1655968134</v>
      </c>
      <c r="J60">
        <v>2297.1794686724602</v>
      </c>
      <c r="K60">
        <v>2558.07188618601</v>
      </c>
      <c r="L60">
        <v>893.96966239307505</v>
      </c>
      <c r="M60">
        <v>15150.0175746555</v>
      </c>
      <c r="N60">
        <v>5134.9541178365698</v>
      </c>
      <c r="O60">
        <v>874.561370409848</v>
      </c>
      <c r="P60">
        <v>2984.66811821991</v>
      </c>
      <c r="Q60">
        <v>13175.5859899391</v>
      </c>
      <c r="R60">
        <v>1194.7459756313599</v>
      </c>
      <c r="S60">
        <v>204.649021256053</v>
      </c>
      <c r="T60">
        <v>345.377121159588</v>
      </c>
      <c r="U60">
        <v>115.56432016654099</v>
      </c>
      <c r="V60">
        <v>306.285503810401</v>
      </c>
      <c r="W60">
        <v>111.40894811401</v>
      </c>
      <c r="X60">
        <v>145.95639219794</v>
      </c>
      <c r="Y60">
        <v>753.25240075767499</v>
      </c>
      <c r="Z60">
        <v>121.382874068704</v>
      </c>
      <c r="AA60">
        <v>462.66461291448502</v>
      </c>
      <c r="AB60">
        <v>847.90611896891801</v>
      </c>
      <c r="AC60">
        <v>622.41435432170499</v>
      </c>
      <c r="AD60">
        <v>699.26549425757901</v>
      </c>
      <c r="AE60">
        <v>538.44985604342196</v>
      </c>
      <c r="AF60">
        <v>520.35736142916403</v>
      </c>
      <c r="AG60">
        <v>511.08571693336501</v>
      </c>
    </row>
    <row r="61" spans="1:33" x14ac:dyDescent="0.25">
      <c r="A61" s="1">
        <v>44112</v>
      </c>
      <c r="B61">
        <v>17163.173839540599</v>
      </c>
      <c r="C61">
        <v>12629.3511635917</v>
      </c>
      <c r="D61">
        <v>15699.328225699101</v>
      </c>
      <c r="E61">
        <v>17286.742548608399</v>
      </c>
      <c r="F61">
        <v>17357.057696673801</v>
      </c>
      <c r="G61">
        <v>16662.984348207799</v>
      </c>
      <c r="H61">
        <v>29911.6093154749</v>
      </c>
      <c r="I61">
        <v>20058.558483840199</v>
      </c>
      <c r="J61">
        <v>2325.67607448834</v>
      </c>
      <c r="K61">
        <v>2563.87577109932</v>
      </c>
      <c r="L61">
        <v>894.89420676117004</v>
      </c>
      <c r="M61">
        <v>15257.531425233499</v>
      </c>
      <c r="N61">
        <v>5460.4637024794101</v>
      </c>
      <c r="O61">
        <v>890.72691031924603</v>
      </c>
      <c r="P61">
        <v>3006.8962153287398</v>
      </c>
      <c r="Q61">
        <v>13259.312176114299</v>
      </c>
      <c r="R61">
        <v>1226.0779815567701</v>
      </c>
      <c r="S61">
        <v>204.21740858428601</v>
      </c>
      <c r="T61">
        <v>364.56084399116202</v>
      </c>
      <c r="U61">
        <v>111.6996305687</v>
      </c>
      <c r="V61">
        <v>303.56153325136199</v>
      </c>
      <c r="W61">
        <v>109.446403535708</v>
      </c>
      <c r="X61">
        <v>138.49751464817899</v>
      </c>
      <c r="Y61">
        <v>758.79966897352699</v>
      </c>
      <c r="Z61">
        <v>122.54780703227399</v>
      </c>
      <c r="AA61">
        <v>461.119046980468</v>
      </c>
      <c r="AB61">
        <v>870.27302165359004</v>
      </c>
      <c r="AC61">
        <v>622.42129864045705</v>
      </c>
      <c r="AD61">
        <v>700.624625576928</v>
      </c>
      <c r="AE61">
        <v>549.34269391989994</v>
      </c>
      <c r="AF61">
        <v>525.68247794108595</v>
      </c>
      <c r="AG61">
        <v>511.834130218052</v>
      </c>
    </row>
    <row r="62" spans="1:33" x14ac:dyDescent="0.25">
      <c r="A62" s="1">
        <v>44113</v>
      </c>
      <c r="B62">
        <v>17349.000253493399</v>
      </c>
      <c r="C62">
        <v>13077.1172385516</v>
      </c>
      <c r="D62">
        <v>15565.284677559501</v>
      </c>
      <c r="E62">
        <v>17453.890476557699</v>
      </c>
      <c r="F62">
        <v>16989.629126415199</v>
      </c>
      <c r="G62">
        <v>16325.673108422399</v>
      </c>
      <c r="H62">
        <v>29368.945967328498</v>
      </c>
      <c r="I62">
        <v>20227.7902911526</v>
      </c>
      <c r="J62">
        <v>2304.1102780650299</v>
      </c>
      <c r="K62">
        <v>2473.8253098974001</v>
      </c>
      <c r="L62">
        <v>881.80703679741396</v>
      </c>
      <c r="M62">
        <v>14762.503331502499</v>
      </c>
      <c r="N62">
        <v>5084.2629221318603</v>
      </c>
      <c r="O62">
        <v>795.564970551751</v>
      </c>
      <c r="P62">
        <v>2870.0118957724899</v>
      </c>
      <c r="Q62">
        <v>12798.496372960801</v>
      </c>
      <c r="R62">
        <v>1142.5624930353299</v>
      </c>
      <c r="S62">
        <v>203.32432755056999</v>
      </c>
      <c r="T62">
        <v>311.147070445645</v>
      </c>
      <c r="U62">
        <v>110.83664749310999</v>
      </c>
      <c r="V62">
        <v>253.85516545041</v>
      </c>
      <c r="W62">
        <v>110.10524873710899</v>
      </c>
      <c r="X62">
        <v>131.74304483595401</v>
      </c>
      <c r="Y62">
        <v>749.15698376968396</v>
      </c>
      <c r="Z62">
        <v>121.56102396523301</v>
      </c>
      <c r="AA62">
        <v>464.56752090401898</v>
      </c>
      <c r="AB62">
        <v>863.65932880644698</v>
      </c>
      <c r="AC62">
        <v>619.61172927759105</v>
      </c>
      <c r="AD62">
        <v>681.89400920962805</v>
      </c>
      <c r="AE62">
        <v>549.143755937317</v>
      </c>
      <c r="AF62">
        <v>534.36659674695795</v>
      </c>
      <c r="AG62">
        <v>513.34539235740601</v>
      </c>
    </row>
    <row r="63" spans="1:33" x14ac:dyDescent="0.25">
      <c r="A63" s="1">
        <v>44114</v>
      </c>
      <c r="B63">
        <v>17347.018830916</v>
      </c>
      <c r="C63">
        <v>13366.078257524099</v>
      </c>
      <c r="D63">
        <v>14681.082922031999</v>
      </c>
      <c r="E63">
        <v>17446.753772226901</v>
      </c>
      <c r="F63">
        <v>16686.956784996801</v>
      </c>
      <c r="G63">
        <v>16071.3073560496</v>
      </c>
      <c r="H63">
        <v>29032.071867501501</v>
      </c>
      <c r="I63">
        <v>20238.4852642855</v>
      </c>
      <c r="J63">
        <v>2282.1093653223202</v>
      </c>
      <c r="K63">
        <v>2400.4820605364498</v>
      </c>
      <c r="L63">
        <v>858.93291720968205</v>
      </c>
      <c r="M63">
        <v>14478.683155221401</v>
      </c>
      <c r="N63">
        <v>4826.7146165887198</v>
      </c>
      <c r="O63">
        <v>747.84824038777799</v>
      </c>
      <c r="P63">
        <v>2737.7757120852302</v>
      </c>
      <c r="Q63">
        <v>12400.989812338001</v>
      </c>
      <c r="R63">
        <v>1095.4525451436</v>
      </c>
      <c r="S63">
        <v>202.10949044853001</v>
      </c>
      <c r="T63">
        <v>303.08799744200002</v>
      </c>
      <c r="U63">
        <v>110.722658642845</v>
      </c>
      <c r="V63">
        <v>267.98568448943098</v>
      </c>
      <c r="W63">
        <v>109.861588148889</v>
      </c>
      <c r="X63">
        <v>146.213636023806</v>
      </c>
      <c r="Y63">
        <v>749.629973742689</v>
      </c>
      <c r="Z63">
        <v>120.731546734291</v>
      </c>
      <c r="AA63">
        <v>463.86781682254298</v>
      </c>
      <c r="AB63">
        <v>852.67815931540395</v>
      </c>
      <c r="AC63">
        <v>614.568916937739</v>
      </c>
      <c r="AD63">
        <v>662.47315887452203</v>
      </c>
      <c r="AE63">
        <v>510.77623185058701</v>
      </c>
      <c r="AF63">
        <v>542.69535071868597</v>
      </c>
      <c r="AG63">
        <v>515.72413403662597</v>
      </c>
    </row>
    <row r="64" spans="1:33" x14ac:dyDescent="0.25">
      <c r="A64" s="1">
        <v>44115</v>
      </c>
      <c r="B64">
        <v>17245.298831473599</v>
      </c>
      <c r="C64">
        <v>12347.8604840923</v>
      </c>
      <c r="D64">
        <v>13696.5790388041</v>
      </c>
      <c r="E64">
        <v>16959.052257605301</v>
      </c>
      <c r="F64">
        <v>16343.3820722007</v>
      </c>
      <c r="G64">
        <v>15351.4891462905</v>
      </c>
      <c r="H64">
        <v>27538.2078972985</v>
      </c>
      <c r="I64">
        <v>20140.600287549601</v>
      </c>
      <c r="J64">
        <v>2235.4401039014501</v>
      </c>
      <c r="K64">
        <v>2172.2145921044398</v>
      </c>
      <c r="L64">
        <v>820.80097547618698</v>
      </c>
      <c r="M64">
        <v>13562.675444342</v>
      </c>
      <c r="N64">
        <v>3844.7237248709798</v>
      </c>
      <c r="O64">
        <v>671.95715337038496</v>
      </c>
      <c r="P64">
        <v>2491.62465330542</v>
      </c>
      <c r="Q64">
        <v>11553.4487799814</v>
      </c>
      <c r="R64">
        <v>962.66158167621802</v>
      </c>
      <c r="S64">
        <v>200.06670612171399</v>
      </c>
      <c r="T64">
        <v>241.39749454756699</v>
      </c>
      <c r="U64">
        <v>112.38753971526501</v>
      </c>
      <c r="V64">
        <v>194.98881221161901</v>
      </c>
      <c r="W64">
        <v>112.729728802213</v>
      </c>
      <c r="X64">
        <v>124.676003788326</v>
      </c>
      <c r="Y64">
        <v>755.73911582346898</v>
      </c>
      <c r="Z64">
        <v>120.539557748356</v>
      </c>
      <c r="AA64">
        <v>471.62008042372702</v>
      </c>
      <c r="AB64">
        <v>850.86508753275803</v>
      </c>
      <c r="AC64">
        <v>609.18162929412904</v>
      </c>
      <c r="AD64">
        <v>625.56835194337395</v>
      </c>
      <c r="AE64">
        <v>501.60777750816101</v>
      </c>
      <c r="AF64">
        <v>553.58319702759195</v>
      </c>
      <c r="AG64">
        <v>518.51956539672597</v>
      </c>
    </row>
    <row r="65" spans="1:33" x14ac:dyDescent="0.25">
      <c r="A65" s="1">
        <v>44116</v>
      </c>
      <c r="B65">
        <v>16854.563543048</v>
      </c>
      <c r="C65">
        <v>11457.2351076348</v>
      </c>
      <c r="D65">
        <v>13471.950242453901</v>
      </c>
      <c r="E65">
        <v>16562.341269977798</v>
      </c>
      <c r="F65">
        <v>16007.9710333896</v>
      </c>
      <c r="G65">
        <v>15106.6936039998</v>
      </c>
      <c r="H65">
        <v>27179.7336283359</v>
      </c>
      <c r="I65">
        <v>19936.405980407999</v>
      </c>
      <c r="J65">
        <v>2214.8707912346799</v>
      </c>
      <c r="K65">
        <v>2097.4792606395099</v>
      </c>
      <c r="L65">
        <v>791.67301155817097</v>
      </c>
      <c r="M65">
        <v>13240.4906847495</v>
      </c>
      <c r="N65">
        <v>3602.7297206389198</v>
      </c>
      <c r="O65">
        <v>632.19305435340505</v>
      </c>
      <c r="P65">
        <v>2418.1652903813902</v>
      </c>
      <c r="Q65">
        <v>11114.204407327201</v>
      </c>
      <c r="R65">
        <v>900.30923010321601</v>
      </c>
      <c r="S65">
        <v>199.32812133628599</v>
      </c>
      <c r="T65">
        <v>234.36013561948101</v>
      </c>
      <c r="U65">
        <v>113.727695300596</v>
      </c>
      <c r="V65">
        <v>227.81876766830399</v>
      </c>
      <c r="W65">
        <v>111.98094898884899</v>
      </c>
      <c r="X65">
        <v>130.96472664247199</v>
      </c>
      <c r="Y65">
        <v>760.72520897164895</v>
      </c>
      <c r="Z65">
        <v>120.669227070388</v>
      </c>
      <c r="AA65">
        <v>472.98631553699403</v>
      </c>
      <c r="AB65">
        <v>779.28888377106796</v>
      </c>
      <c r="AC65">
        <v>603.96271367042004</v>
      </c>
      <c r="AD65">
        <v>612.59776093039795</v>
      </c>
      <c r="AE65">
        <v>521.65852651481896</v>
      </c>
      <c r="AF65">
        <v>563.97159895399398</v>
      </c>
      <c r="AG65">
        <v>521.15486225608197</v>
      </c>
    </row>
    <row r="66" spans="1:33" x14ac:dyDescent="0.25">
      <c r="A66" s="1">
        <v>44117</v>
      </c>
      <c r="B66">
        <v>16464.5605924437</v>
      </c>
      <c r="C66">
        <v>10787.4180628302</v>
      </c>
      <c r="D66">
        <v>13213.340302558499</v>
      </c>
      <c r="E66">
        <v>16276.2187332372</v>
      </c>
      <c r="F66">
        <v>16310.6006168313</v>
      </c>
      <c r="G66">
        <v>15688.810994142699</v>
      </c>
      <c r="H66">
        <v>27500.2639512434</v>
      </c>
      <c r="I66">
        <v>19765.784037633399</v>
      </c>
      <c r="J66">
        <v>2198.8699473363499</v>
      </c>
      <c r="K66">
        <v>2141.12329332639</v>
      </c>
      <c r="L66">
        <v>797.31562746640702</v>
      </c>
      <c r="M66">
        <v>13787.2008618074</v>
      </c>
      <c r="N66">
        <v>4058.13406665195</v>
      </c>
      <c r="O66">
        <v>682.27444214383195</v>
      </c>
      <c r="P66">
        <v>2512.9225138106199</v>
      </c>
      <c r="Q66">
        <v>11747.6195694944</v>
      </c>
      <c r="R66">
        <v>935.53227530917104</v>
      </c>
      <c r="S66">
        <v>197.31472123227999</v>
      </c>
      <c r="T66">
        <v>273.87614520371102</v>
      </c>
      <c r="U66">
        <v>110.89391838582399</v>
      </c>
      <c r="V66">
        <v>295.77868580760202</v>
      </c>
      <c r="W66">
        <v>109.47407505526201</v>
      </c>
      <c r="X66">
        <v>159.66576877088499</v>
      </c>
      <c r="Y66">
        <v>768.70984280315497</v>
      </c>
      <c r="Z66">
        <v>119.737973563176</v>
      </c>
      <c r="AA66">
        <v>479.51958376890798</v>
      </c>
      <c r="AB66">
        <v>824.73386008275702</v>
      </c>
      <c r="AC66">
        <v>598.65605411022602</v>
      </c>
      <c r="AD66">
        <v>620.91529359419599</v>
      </c>
      <c r="AE66">
        <v>513.66175959722</v>
      </c>
      <c r="AF66">
        <v>568.97752487388505</v>
      </c>
      <c r="AG66">
        <v>525.19976681659898</v>
      </c>
    </row>
    <row r="67" spans="1:33" x14ac:dyDescent="0.25">
      <c r="A67" s="1">
        <v>44118</v>
      </c>
      <c r="B67">
        <v>16032.3309753387</v>
      </c>
      <c r="C67">
        <v>10799.746124294899</v>
      </c>
      <c r="D67">
        <v>12692.895305853401</v>
      </c>
      <c r="E67">
        <v>15895.612746717001</v>
      </c>
      <c r="F67">
        <v>16564.024766967701</v>
      </c>
      <c r="G67">
        <v>15741.2091544002</v>
      </c>
      <c r="H67">
        <v>27091.599312721599</v>
      </c>
      <c r="I67">
        <v>19742.198297622199</v>
      </c>
      <c r="J67">
        <v>2185.47106243394</v>
      </c>
      <c r="K67">
        <v>2158.95314571782</v>
      </c>
      <c r="L67">
        <v>824.745682063652</v>
      </c>
      <c r="M67">
        <v>13846.0346764228</v>
      </c>
      <c r="N67">
        <v>4102.2759755521702</v>
      </c>
      <c r="O67">
        <v>763.05851487283405</v>
      </c>
      <c r="P67">
        <v>2554.2962554199298</v>
      </c>
      <c r="Q67">
        <v>11748.8599535945</v>
      </c>
      <c r="R67">
        <v>966.64901004874605</v>
      </c>
      <c r="S67">
        <v>195.98024872931899</v>
      </c>
      <c r="T67">
        <v>282.61072611773602</v>
      </c>
      <c r="U67">
        <v>109.74418537023099</v>
      </c>
      <c r="V67">
        <v>256.79893173833898</v>
      </c>
      <c r="W67">
        <v>107.61178635180799</v>
      </c>
      <c r="X67">
        <v>139.40740337211901</v>
      </c>
      <c r="Y67">
        <v>776.51518031360297</v>
      </c>
      <c r="Z67">
        <v>119.396302517013</v>
      </c>
      <c r="AA67">
        <v>487.17015871100699</v>
      </c>
      <c r="AB67">
        <v>818.54968708790602</v>
      </c>
      <c r="AC67">
        <v>590.78469783902699</v>
      </c>
      <c r="AD67">
        <v>627.55354109263806</v>
      </c>
      <c r="AE67">
        <v>508.12657871250002</v>
      </c>
      <c r="AF67">
        <v>573.95481016187898</v>
      </c>
      <c r="AG67">
        <v>525.51297915580301</v>
      </c>
    </row>
    <row r="68" spans="1:33" x14ac:dyDescent="0.25">
      <c r="A68" s="1">
        <v>44119</v>
      </c>
      <c r="B68">
        <v>15459.675267294</v>
      </c>
      <c r="C68">
        <v>10635.814423124501</v>
      </c>
      <c r="D68">
        <v>12353.219897011801</v>
      </c>
      <c r="E68">
        <v>15548.0153770585</v>
      </c>
      <c r="F68">
        <v>16802.015426606398</v>
      </c>
      <c r="G68">
        <v>16057.4986255452</v>
      </c>
      <c r="H68">
        <v>27241.175734221499</v>
      </c>
      <c r="I68">
        <v>19787.446705550301</v>
      </c>
      <c r="J68">
        <v>2190.2569418998301</v>
      </c>
      <c r="K68">
        <v>2206.8214279809899</v>
      </c>
      <c r="L68">
        <v>846.43591942624198</v>
      </c>
      <c r="M68">
        <v>14147.0928212663</v>
      </c>
      <c r="N68">
        <v>4313.7008060985199</v>
      </c>
      <c r="O68">
        <v>835.42569295465603</v>
      </c>
      <c r="P68">
        <v>2620.28915360357</v>
      </c>
      <c r="Q68">
        <v>12028.6065933646</v>
      </c>
      <c r="R68">
        <v>1012.14978498265</v>
      </c>
      <c r="S68">
        <v>194.58259965154801</v>
      </c>
      <c r="T68">
        <v>282.18228935443</v>
      </c>
      <c r="U68">
        <v>109.838328409696</v>
      </c>
      <c r="V68">
        <v>256.48090382767998</v>
      </c>
      <c r="W68">
        <v>109.98153887347701</v>
      </c>
      <c r="X68">
        <v>134.902105553865</v>
      </c>
      <c r="Y68">
        <v>792.61011152288302</v>
      </c>
      <c r="Z68">
        <v>119.631052484208</v>
      </c>
      <c r="AA68">
        <v>487.241583086464</v>
      </c>
      <c r="AB68">
        <v>835.52017532935804</v>
      </c>
      <c r="AC68">
        <v>587.44064962718198</v>
      </c>
      <c r="AD68">
        <v>651.76535216075797</v>
      </c>
      <c r="AE68">
        <v>483.46309296318401</v>
      </c>
      <c r="AF68">
        <v>578.79100035625697</v>
      </c>
      <c r="AG68">
        <v>527.852245494253</v>
      </c>
    </row>
    <row r="69" spans="1:33" x14ac:dyDescent="0.25">
      <c r="A69" s="1">
        <v>44120</v>
      </c>
      <c r="B69">
        <v>14947.5168437544</v>
      </c>
      <c r="C69">
        <v>10701.995033785101</v>
      </c>
      <c r="D69">
        <v>12229.7850229863</v>
      </c>
      <c r="E69">
        <v>15264.0884454228</v>
      </c>
      <c r="F69">
        <v>17342.919599374</v>
      </c>
      <c r="G69">
        <v>17037.516052049399</v>
      </c>
      <c r="H69">
        <v>27897.661383631701</v>
      </c>
      <c r="I69">
        <v>19887.334933825401</v>
      </c>
      <c r="J69">
        <v>2219.3016627162901</v>
      </c>
      <c r="K69">
        <v>2363.4148020151401</v>
      </c>
      <c r="L69">
        <v>899.85555633928402</v>
      </c>
      <c r="M69">
        <v>15078.7722323004</v>
      </c>
      <c r="N69">
        <v>4934.3540316496801</v>
      </c>
      <c r="O69">
        <v>940.62348358790803</v>
      </c>
      <c r="P69">
        <v>2832.3768838522301</v>
      </c>
      <c r="Q69">
        <v>12943.676677505</v>
      </c>
      <c r="R69">
        <v>1105.91778814601</v>
      </c>
      <c r="S69">
        <v>192.632693692233</v>
      </c>
      <c r="T69">
        <v>332.741162041422</v>
      </c>
      <c r="U69">
        <v>110.108210466443</v>
      </c>
      <c r="V69">
        <v>330.237407756778</v>
      </c>
      <c r="W69">
        <v>109.47441440154201</v>
      </c>
      <c r="X69">
        <v>155.59062134988901</v>
      </c>
      <c r="Y69">
        <v>801.08261340404204</v>
      </c>
      <c r="Z69">
        <v>120.06890121547799</v>
      </c>
      <c r="AA69">
        <v>486.40056732205898</v>
      </c>
      <c r="AB69">
        <v>850.91649172328505</v>
      </c>
      <c r="AC69">
        <v>585.69110734796004</v>
      </c>
      <c r="AD69">
        <v>705.14446832010503</v>
      </c>
      <c r="AE69">
        <v>397.40863593256</v>
      </c>
      <c r="AF69">
        <v>580.65868475210596</v>
      </c>
      <c r="AG69">
        <v>532.13572088264198</v>
      </c>
    </row>
    <row r="70" spans="1:33" x14ac:dyDescent="0.25">
      <c r="A70" s="1">
        <v>44121</v>
      </c>
      <c r="B70">
        <v>14589.127406072101</v>
      </c>
      <c r="C70">
        <v>11431.570095166901</v>
      </c>
      <c r="D70">
        <v>12129.0964189812</v>
      </c>
      <c r="E70">
        <v>15029.828221584199</v>
      </c>
      <c r="F70">
        <v>18044.731363557399</v>
      </c>
      <c r="G70">
        <v>18059.649054207999</v>
      </c>
      <c r="H70">
        <v>28793.8513827112</v>
      </c>
      <c r="I70">
        <v>20152.695788195</v>
      </c>
      <c r="J70">
        <v>2272.06958344247</v>
      </c>
      <c r="K70">
        <v>2576.4400060200101</v>
      </c>
      <c r="L70">
        <v>979.06972556722098</v>
      </c>
      <c r="M70">
        <v>16068.143084396601</v>
      </c>
      <c r="N70">
        <v>5752.4599035686097</v>
      </c>
      <c r="O70">
        <v>1035.0331827687801</v>
      </c>
      <c r="P70">
        <v>3114.9044773159799</v>
      </c>
      <c r="Q70">
        <v>14019.077270558801</v>
      </c>
      <c r="R70">
        <v>1203.5559439688</v>
      </c>
      <c r="S70">
        <v>190.81938886322399</v>
      </c>
      <c r="T70">
        <v>434.16992534580498</v>
      </c>
      <c r="U70">
        <v>109.801849640706</v>
      </c>
      <c r="V70">
        <v>474.05039077974902</v>
      </c>
      <c r="W70">
        <v>113.301813589842</v>
      </c>
      <c r="X70">
        <v>228.80796402679499</v>
      </c>
      <c r="Y70">
        <v>806.82708580095095</v>
      </c>
      <c r="Z70">
        <v>120.18699773476</v>
      </c>
      <c r="AA70">
        <v>489.865001950612</v>
      </c>
      <c r="AB70">
        <v>870.56568340072602</v>
      </c>
      <c r="AC70">
        <v>578.44329944806304</v>
      </c>
      <c r="AD70">
        <v>769.60714570285495</v>
      </c>
      <c r="AE70">
        <v>341.13899031525199</v>
      </c>
      <c r="AF70">
        <v>582.85032572739703</v>
      </c>
      <c r="AG70">
        <v>533.39288538409801</v>
      </c>
    </row>
    <row r="71" spans="1:33" x14ac:dyDescent="0.25">
      <c r="A71" s="1">
        <v>44122</v>
      </c>
      <c r="B71">
        <v>14409.168158345499</v>
      </c>
      <c r="C71">
        <v>12347.0178745332</v>
      </c>
      <c r="D71">
        <v>12024.441961083499</v>
      </c>
      <c r="E71">
        <v>14849.478875819999</v>
      </c>
      <c r="F71">
        <v>18639.562164504099</v>
      </c>
      <c r="G71">
        <v>18516.3437577855</v>
      </c>
      <c r="H71">
        <v>29379.974539238501</v>
      </c>
      <c r="I71">
        <v>20599.5522497157</v>
      </c>
      <c r="J71">
        <v>2331.4419087901001</v>
      </c>
      <c r="K71">
        <v>2712.40012676174</v>
      </c>
      <c r="L71">
        <v>1031.5428462493801</v>
      </c>
      <c r="M71">
        <v>16632.986930293198</v>
      </c>
      <c r="N71">
        <v>6349.1188844022599</v>
      </c>
      <c r="O71">
        <v>1024.4681644080499</v>
      </c>
      <c r="P71">
        <v>3265.4534454688101</v>
      </c>
      <c r="Q71">
        <v>14613.648793483</v>
      </c>
      <c r="R71">
        <v>1241.88880761776</v>
      </c>
      <c r="S71">
        <v>189.74402302022901</v>
      </c>
      <c r="T71">
        <v>570.90405832407998</v>
      </c>
      <c r="U71">
        <v>113.01425395718201</v>
      </c>
      <c r="V71">
        <v>647.92074233267795</v>
      </c>
      <c r="W71">
        <v>116.864926296303</v>
      </c>
      <c r="X71">
        <v>319.54650369901702</v>
      </c>
      <c r="Y71">
        <v>790.88106382714102</v>
      </c>
      <c r="Z71">
        <v>119.965586360263</v>
      </c>
      <c r="AA71">
        <v>496.07926493819701</v>
      </c>
      <c r="AB71">
        <v>874.47113262372704</v>
      </c>
      <c r="AC71">
        <v>547.25987918904298</v>
      </c>
      <c r="AD71">
        <v>805.46772640204495</v>
      </c>
      <c r="AE71">
        <v>267.514274617838</v>
      </c>
      <c r="AF71">
        <v>586.28945197981795</v>
      </c>
      <c r="AG71">
        <v>536.25444230807204</v>
      </c>
    </row>
    <row r="72" spans="1:33" x14ac:dyDescent="0.25">
      <c r="A72" s="1">
        <v>44123</v>
      </c>
      <c r="B72">
        <v>14355.570208433301</v>
      </c>
      <c r="C72">
        <v>12995.5341384447</v>
      </c>
      <c r="D72">
        <v>12027.2682004574</v>
      </c>
      <c r="E72">
        <v>14790.330423015799</v>
      </c>
      <c r="F72">
        <v>18901.6921134724</v>
      </c>
      <c r="G72">
        <v>18488.975089963598</v>
      </c>
      <c r="H72">
        <v>29401.582652358298</v>
      </c>
      <c r="I72">
        <v>21023.500618302802</v>
      </c>
      <c r="J72">
        <v>2377.8081410387799</v>
      </c>
      <c r="K72">
        <v>2762.99515097618</v>
      </c>
      <c r="L72">
        <v>1035.22527426845</v>
      </c>
      <c r="M72">
        <v>16641.618865634799</v>
      </c>
      <c r="N72">
        <v>6470.74824346677</v>
      </c>
      <c r="O72">
        <v>978.19423326785295</v>
      </c>
      <c r="P72">
        <v>3304.0910274775501</v>
      </c>
      <c r="Q72">
        <v>14730.6389207706</v>
      </c>
      <c r="R72">
        <v>1230.27856586139</v>
      </c>
      <c r="S72">
        <v>189.470346882733</v>
      </c>
      <c r="T72">
        <v>654.63174449671203</v>
      </c>
      <c r="U72">
        <v>116.673684570083</v>
      </c>
      <c r="V72">
        <v>687.74916582120102</v>
      </c>
      <c r="W72">
        <v>110.51544438169999</v>
      </c>
      <c r="X72">
        <v>339.42703565628602</v>
      </c>
      <c r="Y72">
        <v>757.32778689324698</v>
      </c>
      <c r="Z72">
        <v>120.280581948715</v>
      </c>
      <c r="AA72">
        <v>501.96579697917798</v>
      </c>
      <c r="AB72">
        <v>861.28925305231905</v>
      </c>
      <c r="AC72">
        <v>543.66388846620896</v>
      </c>
      <c r="AD72">
        <v>805.473078431418</v>
      </c>
      <c r="AE72">
        <v>209.946262986525</v>
      </c>
      <c r="AF72">
        <v>587.94684330371501</v>
      </c>
      <c r="AG72">
        <v>543.43482960292999</v>
      </c>
    </row>
    <row r="73" spans="1:33" x14ac:dyDescent="0.25">
      <c r="A73" s="1">
        <v>44124</v>
      </c>
      <c r="B73">
        <v>14291.8850484699</v>
      </c>
      <c r="C73">
        <v>13286.635413989099</v>
      </c>
      <c r="D73">
        <v>12203.186481061701</v>
      </c>
      <c r="E73">
        <v>14815.5072292439</v>
      </c>
      <c r="F73">
        <v>18998.431047112401</v>
      </c>
      <c r="G73">
        <v>18418.9840894423</v>
      </c>
      <c r="H73">
        <v>29545.689914750299</v>
      </c>
      <c r="I73">
        <v>21301.2548444194</v>
      </c>
      <c r="J73">
        <v>2404.7294337865601</v>
      </c>
      <c r="K73">
        <v>2804.90301449143</v>
      </c>
      <c r="L73">
        <v>1028.8040152804499</v>
      </c>
      <c r="M73">
        <v>16584.2087663538</v>
      </c>
      <c r="N73">
        <v>6606.2505859994099</v>
      </c>
      <c r="O73">
        <v>947.93567131800705</v>
      </c>
      <c r="P73">
        <v>3349.0684507169599</v>
      </c>
      <c r="Q73">
        <v>14738.0262271015</v>
      </c>
      <c r="R73">
        <v>1215.3714208645899</v>
      </c>
      <c r="S73">
        <v>189.871948269928</v>
      </c>
      <c r="T73">
        <v>722.17435090318895</v>
      </c>
      <c r="U73">
        <v>110.472658718245</v>
      </c>
      <c r="V73">
        <v>721.47187844704195</v>
      </c>
      <c r="W73">
        <v>114.157291675008</v>
      </c>
      <c r="X73">
        <v>356.24116919250201</v>
      </c>
      <c r="Y73">
        <v>741.93267749235895</v>
      </c>
      <c r="Z73">
        <v>121.38317272680101</v>
      </c>
      <c r="AA73">
        <v>504.61411661104302</v>
      </c>
      <c r="AB73">
        <v>851.86677982492404</v>
      </c>
      <c r="AC73">
        <v>472.56915313674602</v>
      </c>
      <c r="AD73">
        <v>797.789763296003</v>
      </c>
      <c r="AE73">
        <v>201.05635656798199</v>
      </c>
      <c r="AF73">
        <v>585.28643373464297</v>
      </c>
      <c r="AG73">
        <v>553.06408234003197</v>
      </c>
    </row>
    <row r="74" spans="1:33" x14ac:dyDescent="0.25">
      <c r="A74" s="1">
        <v>44125</v>
      </c>
      <c r="B74">
        <v>14293.2854405504</v>
      </c>
      <c r="C74">
        <v>13677.836237777199</v>
      </c>
      <c r="D74">
        <v>12482.281559288</v>
      </c>
      <c r="E74">
        <v>14992.110093569399</v>
      </c>
      <c r="F74">
        <v>19059.520377117398</v>
      </c>
      <c r="G74">
        <v>18605.476883740801</v>
      </c>
      <c r="H74">
        <v>29822.794489871001</v>
      </c>
      <c r="I74">
        <v>21497.627075676501</v>
      </c>
      <c r="J74">
        <v>2431.52490744531</v>
      </c>
      <c r="K74">
        <v>2916.3846119626501</v>
      </c>
      <c r="L74">
        <v>1030.6395640160299</v>
      </c>
      <c r="M74">
        <v>16811.937696436202</v>
      </c>
      <c r="N74">
        <v>6861.9228680488004</v>
      </c>
      <c r="O74">
        <v>964.46358509322897</v>
      </c>
      <c r="P74">
        <v>3503.2916702572602</v>
      </c>
      <c r="Q74">
        <v>14922.6060426516</v>
      </c>
      <c r="R74">
        <v>1239.12253395013</v>
      </c>
      <c r="S74">
        <v>191.05594325842901</v>
      </c>
      <c r="T74">
        <v>748.14847700342705</v>
      </c>
      <c r="U74">
        <v>110.204444317645</v>
      </c>
      <c r="V74">
        <v>634.22792477076905</v>
      </c>
      <c r="W74">
        <v>112.725574628644</v>
      </c>
      <c r="X74">
        <v>238.875690517522</v>
      </c>
      <c r="Y74">
        <v>742.66839541109005</v>
      </c>
      <c r="Z74">
        <v>122.489693475815</v>
      </c>
      <c r="AA74">
        <v>507.28138735505701</v>
      </c>
      <c r="AB74">
        <v>849.83835446656201</v>
      </c>
      <c r="AC74">
        <v>420.320193503724</v>
      </c>
      <c r="AD74">
        <v>807.86952671391305</v>
      </c>
      <c r="AE74">
        <v>234.61664804087999</v>
      </c>
      <c r="AF74">
        <v>576.72808613161806</v>
      </c>
      <c r="AG74">
        <v>561.41847965166301</v>
      </c>
    </row>
    <row r="75" spans="1:33" x14ac:dyDescent="0.25">
      <c r="A75" s="1">
        <v>44126</v>
      </c>
      <c r="B75">
        <v>14370.3207499855</v>
      </c>
      <c r="C75">
        <v>14260.385696367701</v>
      </c>
      <c r="D75">
        <v>12743.5495523432</v>
      </c>
      <c r="E75">
        <v>15094.050081466599</v>
      </c>
      <c r="F75">
        <v>19111.405979221301</v>
      </c>
      <c r="G75">
        <v>18621.053679996501</v>
      </c>
      <c r="H75">
        <v>29962.1903284205</v>
      </c>
      <c r="I75">
        <v>21623.300895983699</v>
      </c>
      <c r="J75">
        <v>2447.5952837220202</v>
      </c>
      <c r="K75">
        <v>2989.1656147664999</v>
      </c>
      <c r="L75">
        <v>1050.14837982982</v>
      </c>
      <c r="M75">
        <v>16839.914736451399</v>
      </c>
      <c r="N75">
        <v>6750.4754298498701</v>
      </c>
      <c r="O75">
        <v>1048.26032208844</v>
      </c>
      <c r="P75">
        <v>3607.4179482477798</v>
      </c>
      <c r="Q75">
        <v>14836.1131777674</v>
      </c>
      <c r="R75">
        <v>1296.3084290966699</v>
      </c>
      <c r="S75">
        <v>193.185170195496</v>
      </c>
      <c r="T75">
        <v>668.42985274580406</v>
      </c>
      <c r="U75">
        <v>110.277222923586</v>
      </c>
      <c r="V75">
        <v>513.61852577068998</v>
      </c>
      <c r="W75">
        <v>110.220167586318</v>
      </c>
      <c r="X75">
        <v>156.922365336285</v>
      </c>
      <c r="Y75">
        <v>758.68386169049495</v>
      </c>
      <c r="Z75">
        <v>123.365864609506</v>
      </c>
      <c r="AA75">
        <v>512.13813126598404</v>
      </c>
      <c r="AB75">
        <v>859.24408604069401</v>
      </c>
      <c r="AC75">
        <v>393.17467891059698</v>
      </c>
      <c r="AD75">
        <v>826.42562477860304</v>
      </c>
      <c r="AE75">
        <v>289.79983776268199</v>
      </c>
      <c r="AF75">
        <v>567.50752610007601</v>
      </c>
      <c r="AG75">
        <v>565.49948660300902</v>
      </c>
    </row>
    <row r="76" spans="1:33" x14ac:dyDescent="0.25">
      <c r="A76" s="1">
        <v>44127</v>
      </c>
      <c r="B76">
        <v>14488.468298059701</v>
      </c>
      <c r="C76">
        <v>14305.2768462002</v>
      </c>
      <c r="D76">
        <v>12961.1380685189</v>
      </c>
      <c r="E76">
        <v>15069.8157220756</v>
      </c>
      <c r="F76">
        <v>19074.514070265399</v>
      </c>
      <c r="G76">
        <v>18515.384162306302</v>
      </c>
      <c r="H76">
        <v>30155.821514301999</v>
      </c>
      <c r="I76">
        <v>21672.698862743298</v>
      </c>
      <c r="J76">
        <v>2459.3560431999399</v>
      </c>
      <c r="K76">
        <v>2978.6194628743701</v>
      </c>
      <c r="L76">
        <v>1066.3912630617999</v>
      </c>
      <c r="M76">
        <v>16778.582978984999</v>
      </c>
      <c r="N76">
        <v>6452.1682307074298</v>
      </c>
      <c r="O76">
        <v>1089.30480348419</v>
      </c>
      <c r="P76">
        <v>3549.7338128534702</v>
      </c>
      <c r="Q76">
        <v>14667.7458877352</v>
      </c>
      <c r="R76">
        <v>1350.8327048071201</v>
      </c>
      <c r="S76">
        <v>195.10033507544199</v>
      </c>
      <c r="T76">
        <v>578.02227204888197</v>
      </c>
      <c r="U76">
        <v>110.595527267392</v>
      </c>
      <c r="V76">
        <v>414.03855154107498</v>
      </c>
      <c r="W76">
        <v>110.217776304125</v>
      </c>
      <c r="X76">
        <v>137.89584073775401</v>
      </c>
      <c r="Y76">
        <v>757.33216492680594</v>
      </c>
      <c r="Z76">
        <v>124.011365634548</v>
      </c>
      <c r="AA76">
        <v>517.61099937040103</v>
      </c>
      <c r="AB76">
        <v>863.22353668950302</v>
      </c>
      <c r="AC76">
        <v>377.10031063889301</v>
      </c>
      <c r="AD76">
        <v>843.02556174979895</v>
      </c>
      <c r="AE76">
        <v>330.80579841150097</v>
      </c>
      <c r="AF76">
        <v>553.96690538913094</v>
      </c>
      <c r="AG76">
        <v>568.21084782893797</v>
      </c>
    </row>
    <row r="77" spans="1:33" x14ac:dyDescent="0.25">
      <c r="A77" s="1">
        <v>44128</v>
      </c>
      <c r="B77">
        <v>14599.3269771578</v>
      </c>
      <c r="C77">
        <v>14591.485745312801</v>
      </c>
      <c r="D77">
        <v>13257.0108816054</v>
      </c>
      <c r="E77">
        <v>15093.1244594621</v>
      </c>
      <c r="F77">
        <v>18916.861659165101</v>
      </c>
      <c r="G77">
        <v>18222.836413947101</v>
      </c>
      <c r="H77">
        <v>29757.632654573899</v>
      </c>
      <c r="I77">
        <v>21682.7759215398</v>
      </c>
      <c r="J77">
        <v>2457.4202574512301</v>
      </c>
      <c r="K77">
        <v>2888.1987148605999</v>
      </c>
      <c r="L77">
        <v>1087.06071132028</v>
      </c>
      <c r="M77">
        <v>16378.3919846351</v>
      </c>
      <c r="N77">
        <v>6028.3241867063198</v>
      </c>
      <c r="O77">
        <v>1077.2635093152701</v>
      </c>
      <c r="P77">
        <v>3410.6180270538798</v>
      </c>
      <c r="Q77">
        <v>14365.336151572499</v>
      </c>
      <c r="R77">
        <v>1329.9254341875801</v>
      </c>
      <c r="S77">
        <v>198.15147338161799</v>
      </c>
      <c r="T77">
        <v>506.29689467297999</v>
      </c>
      <c r="U77">
        <v>110.453449388839</v>
      </c>
      <c r="V77">
        <v>420.46120774132902</v>
      </c>
      <c r="W77">
        <v>108.97203416563001</v>
      </c>
      <c r="X77">
        <v>178.49687310085301</v>
      </c>
      <c r="Y77">
        <v>730.097277180177</v>
      </c>
      <c r="Z77">
        <v>123.89935702013</v>
      </c>
      <c r="AA77">
        <v>526.54222238563898</v>
      </c>
      <c r="AB77">
        <v>867.97472412317904</v>
      </c>
      <c r="AC77">
        <v>403.14714385308099</v>
      </c>
      <c r="AD77">
        <v>847.29809701372596</v>
      </c>
      <c r="AE77">
        <v>307.19136402422703</v>
      </c>
      <c r="AF77">
        <v>538.43945521022295</v>
      </c>
      <c r="AG77">
        <v>568.92529802044999</v>
      </c>
    </row>
    <row r="78" spans="1:33" x14ac:dyDescent="0.25">
      <c r="A78" s="1">
        <v>44129</v>
      </c>
      <c r="B78">
        <v>14762.9026619011</v>
      </c>
      <c r="C78">
        <v>14444.7398339261</v>
      </c>
      <c r="D78">
        <v>13538.0626390622</v>
      </c>
      <c r="E78">
        <v>14963.947684193499</v>
      </c>
      <c r="F78">
        <v>18786.024705584099</v>
      </c>
      <c r="G78">
        <v>17815.7316306678</v>
      </c>
      <c r="H78">
        <v>28598.1531537066</v>
      </c>
      <c r="I78">
        <v>21712.642989365901</v>
      </c>
      <c r="J78">
        <v>2450.8808545100801</v>
      </c>
      <c r="K78">
        <v>2734.6551562125601</v>
      </c>
      <c r="L78">
        <v>1077.9322403348899</v>
      </c>
      <c r="M78">
        <v>15750.112859770001</v>
      </c>
      <c r="N78">
        <v>5169.2293149666102</v>
      </c>
      <c r="O78">
        <v>1003.97454759701</v>
      </c>
      <c r="P78">
        <v>3208.35354311731</v>
      </c>
      <c r="Q78">
        <v>13908.979591406</v>
      </c>
      <c r="R78">
        <v>1266.4254523805801</v>
      </c>
      <c r="S78">
        <v>201.763124694591</v>
      </c>
      <c r="T78">
        <v>430.30177933683399</v>
      </c>
      <c r="U78">
        <v>111.54078892149499</v>
      </c>
      <c r="V78">
        <v>362.48742367709099</v>
      </c>
      <c r="W78">
        <v>116.13028634061899</v>
      </c>
      <c r="X78">
        <v>176.19938186066301</v>
      </c>
      <c r="Y78">
        <v>657.34369578146095</v>
      </c>
      <c r="Z78">
        <v>123.52995059084201</v>
      </c>
      <c r="AA78">
        <v>539.99562390784797</v>
      </c>
      <c r="AB78">
        <v>844.40103841987798</v>
      </c>
      <c r="AC78">
        <v>423.33704041509299</v>
      </c>
      <c r="AD78">
        <v>827.38242254793897</v>
      </c>
      <c r="AE78">
        <v>226.64534970220899</v>
      </c>
      <c r="AF78">
        <v>513.04701380972597</v>
      </c>
      <c r="AG78">
        <v>568.42068322577404</v>
      </c>
    </row>
    <row r="79" spans="1:33" x14ac:dyDescent="0.25">
      <c r="A79" s="1">
        <v>44130</v>
      </c>
      <c r="B79">
        <v>14725.077764305401</v>
      </c>
      <c r="C79">
        <v>13666.4191218583</v>
      </c>
      <c r="D79">
        <v>13833.5179125421</v>
      </c>
      <c r="E79">
        <v>14807.5821894172</v>
      </c>
      <c r="F79">
        <v>17913.300478613201</v>
      </c>
      <c r="G79">
        <v>16314.043769632</v>
      </c>
      <c r="H79">
        <v>27065.479200579801</v>
      </c>
      <c r="I79">
        <v>21704.371236729799</v>
      </c>
      <c r="J79">
        <v>2384.6325273580601</v>
      </c>
      <c r="K79">
        <v>2443.7066041303501</v>
      </c>
      <c r="L79">
        <v>971.16377155134501</v>
      </c>
      <c r="M79">
        <v>13869.556724267701</v>
      </c>
      <c r="N79">
        <v>3746.15159361111</v>
      </c>
      <c r="O79">
        <v>824.78665381594499</v>
      </c>
      <c r="P79">
        <v>2772.6657608412102</v>
      </c>
      <c r="Q79">
        <v>11818.228538444801</v>
      </c>
      <c r="R79">
        <v>1084.27213845202</v>
      </c>
      <c r="S79">
        <v>210.29267457866601</v>
      </c>
      <c r="T79">
        <v>335.96332543179</v>
      </c>
      <c r="U79">
        <v>114.77691000306299</v>
      </c>
      <c r="V79">
        <v>250.35709828159699</v>
      </c>
      <c r="W79">
        <v>110.97088267644</v>
      </c>
      <c r="X79">
        <v>144.402940836797</v>
      </c>
      <c r="Y79">
        <v>552.79481949482602</v>
      </c>
      <c r="Z79">
        <v>123.664582974493</v>
      </c>
      <c r="AA79">
        <v>558.31285846400499</v>
      </c>
      <c r="AB79">
        <v>754.96095961668505</v>
      </c>
      <c r="AC79">
        <v>426.60239858959</v>
      </c>
      <c r="AD79">
        <v>754.21818291814395</v>
      </c>
      <c r="AE79">
        <v>239.75285413601901</v>
      </c>
      <c r="AF79">
        <v>455.39965436479099</v>
      </c>
      <c r="AG79">
        <v>570.37618718721205</v>
      </c>
    </row>
    <row r="80" spans="1:33" x14ac:dyDescent="0.25">
      <c r="A80" s="1">
        <v>44131</v>
      </c>
      <c r="B80">
        <v>14868.0529141239</v>
      </c>
      <c r="C80">
        <v>11972.5051034964</v>
      </c>
      <c r="D80">
        <v>13965.0168189246</v>
      </c>
      <c r="E80">
        <v>15242.297068567001</v>
      </c>
      <c r="F80">
        <v>17433.431326669401</v>
      </c>
      <c r="G80">
        <v>16408.396467791001</v>
      </c>
      <c r="H80">
        <v>27759.442217355299</v>
      </c>
      <c r="I80">
        <v>21370.6471314995</v>
      </c>
      <c r="J80">
        <v>2387.4661403865498</v>
      </c>
      <c r="K80">
        <v>2355.8297086216298</v>
      </c>
      <c r="L80">
        <v>915.16729480103402</v>
      </c>
      <c r="M80">
        <v>14506.7935861682</v>
      </c>
      <c r="N80">
        <v>4653.4583435326203</v>
      </c>
      <c r="O80">
        <v>785.77809752741996</v>
      </c>
      <c r="P80">
        <v>2751.9631673164299</v>
      </c>
      <c r="Q80">
        <v>12511.2744282493</v>
      </c>
      <c r="R80">
        <v>1042.2817239449701</v>
      </c>
      <c r="S80">
        <v>210.28632414837199</v>
      </c>
      <c r="T80">
        <v>371.81398121141802</v>
      </c>
      <c r="U80">
        <v>111.067480133779</v>
      </c>
      <c r="V80">
        <v>356.36905363090898</v>
      </c>
      <c r="W80">
        <v>109.32461260423899</v>
      </c>
      <c r="X80">
        <v>188.11051752814501</v>
      </c>
      <c r="Y80">
        <v>626.32324538525199</v>
      </c>
      <c r="Z80">
        <v>125.183923737141</v>
      </c>
      <c r="AA80">
        <v>560.66209697063402</v>
      </c>
      <c r="AB80">
        <v>810.63702989718104</v>
      </c>
      <c r="AC80">
        <v>423.18051255753699</v>
      </c>
      <c r="AD80">
        <v>725.33490056791902</v>
      </c>
      <c r="AE80">
        <v>281.40574284849401</v>
      </c>
      <c r="AF80">
        <v>437.15038406571801</v>
      </c>
      <c r="AG80">
        <v>575.47425368058305</v>
      </c>
    </row>
    <row r="81" spans="1:33" x14ac:dyDescent="0.25">
      <c r="A81" s="1">
        <v>44132</v>
      </c>
      <c r="B81">
        <v>15259.362092694601</v>
      </c>
      <c r="C81">
        <v>11660.6257971959</v>
      </c>
      <c r="D81">
        <v>13868.788325080001</v>
      </c>
      <c r="E81">
        <v>15418.381119523799</v>
      </c>
      <c r="F81">
        <v>17535.670298236</v>
      </c>
      <c r="G81">
        <v>16779.6615132308</v>
      </c>
      <c r="H81">
        <v>28316.612424903298</v>
      </c>
      <c r="I81">
        <v>21073.418306957199</v>
      </c>
      <c r="J81">
        <v>2383.2336812336898</v>
      </c>
      <c r="K81">
        <v>2328.52376420682</v>
      </c>
      <c r="L81">
        <v>905.02094485765599</v>
      </c>
      <c r="M81">
        <v>14758.623135534701</v>
      </c>
      <c r="N81">
        <v>4873.0825365784804</v>
      </c>
      <c r="O81">
        <v>769.35874978671495</v>
      </c>
      <c r="P81">
        <v>2719.84586052431</v>
      </c>
      <c r="Q81">
        <v>12834.1058643956</v>
      </c>
      <c r="R81">
        <v>1023.94678205696</v>
      </c>
      <c r="S81">
        <v>214.34253982052999</v>
      </c>
      <c r="T81">
        <v>385.68358722161997</v>
      </c>
      <c r="U81">
        <v>109.285950691249</v>
      </c>
      <c r="V81">
        <v>410.34209219092099</v>
      </c>
      <c r="W81">
        <v>109.76081142514001</v>
      </c>
      <c r="X81">
        <v>212.30769662896401</v>
      </c>
      <c r="Y81">
        <v>683.61973574543902</v>
      </c>
      <c r="Z81">
        <v>126.40344514506199</v>
      </c>
      <c r="AA81">
        <v>568.31591546268498</v>
      </c>
      <c r="AB81">
        <v>886.34536743228603</v>
      </c>
      <c r="AC81">
        <v>394.75250508076198</v>
      </c>
      <c r="AD81">
        <v>711.68947138170904</v>
      </c>
      <c r="AE81">
        <v>337.29968820484299</v>
      </c>
      <c r="AF81">
        <v>438.52997063603499</v>
      </c>
      <c r="AG81">
        <v>594.772131139762</v>
      </c>
    </row>
    <row r="82" spans="1:33" x14ac:dyDescent="0.25">
      <c r="A82" s="1">
        <v>44133</v>
      </c>
      <c r="B82">
        <v>15386.7735246308</v>
      </c>
      <c r="C82">
        <v>11789.1633370664</v>
      </c>
      <c r="D82">
        <v>13442.5313154122</v>
      </c>
      <c r="E82">
        <v>15486.825610243999</v>
      </c>
      <c r="F82">
        <v>17725.317316210301</v>
      </c>
      <c r="G82">
        <v>17027.151581620401</v>
      </c>
      <c r="H82">
        <v>28599.537067479399</v>
      </c>
      <c r="I82">
        <v>21009.855895876801</v>
      </c>
      <c r="J82">
        <v>2384.8173301409502</v>
      </c>
      <c r="K82">
        <v>2338.40578632909</v>
      </c>
      <c r="L82">
        <v>905.93021224795802</v>
      </c>
      <c r="M82">
        <v>15023.3987051069</v>
      </c>
      <c r="N82">
        <v>4888.5248389968701</v>
      </c>
      <c r="O82">
        <v>827.20588012937003</v>
      </c>
      <c r="P82">
        <v>2724.1423452387498</v>
      </c>
      <c r="Q82">
        <v>13009.1591173367</v>
      </c>
      <c r="R82">
        <v>1042.6760423458099</v>
      </c>
      <c r="S82">
        <v>218.01100452173199</v>
      </c>
      <c r="T82">
        <v>381.87530643744799</v>
      </c>
      <c r="U82">
        <v>109.17870629043099</v>
      </c>
      <c r="V82">
        <v>327.40627936200798</v>
      </c>
      <c r="W82">
        <v>119.065317757771</v>
      </c>
      <c r="X82">
        <v>145.83370165836101</v>
      </c>
      <c r="Y82">
        <v>708.04102508538301</v>
      </c>
      <c r="Z82">
        <v>126.586925105517</v>
      </c>
      <c r="AA82">
        <v>582.68565826947395</v>
      </c>
      <c r="AB82">
        <v>912.39893422117996</v>
      </c>
      <c r="AC82">
        <v>404.64657105479199</v>
      </c>
      <c r="AD82">
        <v>708.69897221184794</v>
      </c>
      <c r="AE82">
        <v>357.30587507341397</v>
      </c>
      <c r="AF82">
        <v>443.44299965256403</v>
      </c>
      <c r="AG82">
        <v>597.88266769813094</v>
      </c>
    </row>
    <row r="83" spans="1:33" x14ac:dyDescent="0.25">
      <c r="A83" s="1">
        <v>44134</v>
      </c>
      <c r="B83">
        <v>15394.881830157199</v>
      </c>
      <c r="C83">
        <v>11840.9424274827</v>
      </c>
      <c r="D83">
        <v>13053.870671193699</v>
      </c>
      <c r="E83">
        <v>15497.953373275999</v>
      </c>
      <c r="F83">
        <v>17795.386517584899</v>
      </c>
      <c r="G83">
        <v>17174.209047499298</v>
      </c>
      <c r="H83">
        <v>28855.480541599001</v>
      </c>
      <c r="I83">
        <v>21014.263815829901</v>
      </c>
      <c r="J83">
        <v>2396.6704901935</v>
      </c>
      <c r="K83">
        <v>2362.6683739768</v>
      </c>
      <c r="L83">
        <v>914.80903903797605</v>
      </c>
      <c r="M83">
        <v>15211.190346310001</v>
      </c>
      <c r="N83">
        <v>4846.5994887710904</v>
      </c>
      <c r="O83">
        <v>883.23124681913396</v>
      </c>
      <c r="P83">
        <v>2751.4292313292999</v>
      </c>
      <c r="Q83">
        <v>13143.4476857996</v>
      </c>
      <c r="R83">
        <v>1079.95253915541</v>
      </c>
      <c r="S83">
        <v>221.22292404518001</v>
      </c>
      <c r="T83">
        <v>366.67504435309598</v>
      </c>
      <c r="U83">
        <v>109.21361877887701</v>
      </c>
      <c r="V83">
        <v>303.09766246515699</v>
      </c>
      <c r="W83">
        <v>116.977100006341</v>
      </c>
      <c r="X83">
        <v>138.06692792943801</v>
      </c>
      <c r="Y83">
        <v>693.18790807946095</v>
      </c>
      <c r="Z83">
        <v>126.191217834963</v>
      </c>
      <c r="AA83">
        <v>592.95423127223205</v>
      </c>
      <c r="AB83">
        <v>905.33341763234898</v>
      </c>
      <c r="AC83">
        <v>426.38028918319401</v>
      </c>
      <c r="AD83">
        <v>716.85561200724601</v>
      </c>
      <c r="AE83">
        <v>311.65933136414498</v>
      </c>
      <c r="AF83">
        <v>447.57572682032099</v>
      </c>
      <c r="AG83">
        <v>593.241663735526</v>
      </c>
    </row>
    <row r="84" spans="1:33" x14ac:dyDescent="0.25">
      <c r="A84" s="1">
        <v>44135</v>
      </c>
      <c r="B84">
        <v>15324.1082117407</v>
      </c>
      <c r="C84">
        <v>12026.1013205155</v>
      </c>
      <c r="D84">
        <v>12743.9607330486</v>
      </c>
      <c r="E84">
        <v>15418.868538729401</v>
      </c>
      <c r="F84">
        <v>17829.2955838995</v>
      </c>
      <c r="G84">
        <v>17049.242881967999</v>
      </c>
      <c r="H84">
        <v>28494.884242732998</v>
      </c>
      <c r="I84">
        <v>21033.181252328199</v>
      </c>
      <c r="J84">
        <v>2397.6328107104</v>
      </c>
      <c r="K84">
        <v>2354.2389963822002</v>
      </c>
      <c r="L84">
        <v>924.72739397493206</v>
      </c>
      <c r="M84">
        <v>15137.867577544301</v>
      </c>
      <c r="N84">
        <v>4768.4324813168496</v>
      </c>
      <c r="O84">
        <v>879.01953815187801</v>
      </c>
      <c r="P84">
        <v>2749.1267898146202</v>
      </c>
      <c r="Q84">
        <v>13097.0763705628</v>
      </c>
      <c r="R84">
        <v>1074.1713957406801</v>
      </c>
      <c r="S84">
        <v>223.53095822086499</v>
      </c>
      <c r="T84">
        <v>354.50799396754201</v>
      </c>
      <c r="U84">
        <v>112.73307079847299</v>
      </c>
      <c r="V84">
        <v>316.30342877637798</v>
      </c>
      <c r="W84">
        <v>114.153178555051</v>
      </c>
      <c r="X84">
        <v>160.344021804428</v>
      </c>
      <c r="Y84">
        <v>652.55214855003896</v>
      </c>
      <c r="Z84">
        <v>125.237205232924</v>
      </c>
      <c r="AA84">
        <v>601.26836737964197</v>
      </c>
      <c r="AB84">
        <v>869.82310559073903</v>
      </c>
      <c r="AC84">
        <v>425.31413617788598</v>
      </c>
      <c r="AD84">
        <v>725.45786619828402</v>
      </c>
      <c r="AE84">
        <v>297.133818703722</v>
      </c>
      <c r="AF84">
        <v>442.01185141781701</v>
      </c>
      <c r="AG84">
        <v>594.94597455950202</v>
      </c>
    </row>
    <row r="85" spans="1:33" x14ac:dyDescent="0.25">
      <c r="A85" s="1">
        <v>44136</v>
      </c>
      <c r="B85">
        <v>15156.6970272364</v>
      </c>
      <c r="C85">
        <v>11895.726242352401</v>
      </c>
      <c r="D85">
        <v>12536.9152399003</v>
      </c>
      <c r="E85">
        <v>15232.190745255701</v>
      </c>
      <c r="F85">
        <v>17623.148790494201</v>
      </c>
      <c r="G85">
        <v>16951.021189849402</v>
      </c>
      <c r="H85">
        <v>28349.6535818927</v>
      </c>
      <c r="I85">
        <v>21013.5987828299</v>
      </c>
      <c r="J85">
        <v>2385.2675322230398</v>
      </c>
      <c r="K85">
        <v>2312.1485208658</v>
      </c>
      <c r="L85">
        <v>914.15384290562804</v>
      </c>
      <c r="M85">
        <v>15062.369296806901</v>
      </c>
      <c r="N85">
        <v>4837.6492858738702</v>
      </c>
      <c r="O85">
        <v>807.13896537847302</v>
      </c>
      <c r="P85">
        <v>2695.68896245821</v>
      </c>
      <c r="Q85">
        <v>13026.740656170199</v>
      </c>
      <c r="R85">
        <v>1037.08385677154</v>
      </c>
      <c r="S85">
        <v>225.17501018964001</v>
      </c>
      <c r="T85">
        <v>373.38076423407301</v>
      </c>
      <c r="U85">
        <v>115.645760188162</v>
      </c>
      <c r="V85">
        <v>384.40809453910299</v>
      </c>
      <c r="W85">
        <v>112.760406727473</v>
      </c>
      <c r="X85">
        <v>199.25904870406299</v>
      </c>
      <c r="Y85">
        <v>629.67755387256204</v>
      </c>
      <c r="Z85">
        <v>123.85983406509</v>
      </c>
      <c r="AA85">
        <v>608.05754275264997</v>
      </c>
      <c r="AB85">
        <v>847.09807763859305</v>
      </c>
      <c r="AC85">
        <v>417.88134282691198</v>
      </c>
      <c r="AD85">
        <v>720.21008994225895</v>
      </c>
      <c r="AE85">
        <v>242.21317670889701</v>
      </c>
      <c r="AF85">
        <v>432.904333571552</v>
      </c>
      <c r="AG85">
        <v>604.03274529237603</v>
      </c>
    </row>
    <row r="86" spans="1:33" x14ac:dyDescent="0.25">
      <c r="A86" s="1">
        <v>44137</v>
      </c>
      <c r="B86">
        <v>14929.002127072101</v>
      </c>
      <c r="C86">
        <v>11946.7310417425</v>
      </c>
      <c r="D86">
        <v>12460.3174230105</v>
      </c>
      <c r="E86">
        <v>15105.4674008982</v>
      </c>
      <c r="F86">
        <v>17598.085589428301</v>
      </c>
      <c r="G86">
        <v>17204.521140938301</v>
      </c>
      <c r="H86">
        <v>28727.686054106001</v>
      </c>
      <c r="I86">
        <v>20948.4352044322</v>
      </c>
      <c r="J86">
        <v>2366.2677576902902</v>
      </c>
      <c r="K86">
        <v>2319.4864428300498</v>
      </c>
      <c r="L86">
        <v>898.50805291066399</v>
      </c>
      <c r="M86">
        <v>15318.3725614714</v>
      </c>
      <c r="N86">
        <v>5195.1044550834104</v>
      </c>
      <c r="O86">
        <v>795.98488572282804</v>
      </c>
      <c r="P86">
        <v>2734.0703121500701</v>
      </c>
      <c r="Q86">
        <v>13320.5319443974</v>
      </c>
      <c r="R86">
        <v>1021.04339823543</v>
      </c>
      <c r="S86">
        <v>227.01996363948501</v>
      </c>
      <c r="T86">
        <v>438.040211451397</v>
      </c>
      <c r="U86">
        <v>112.40671525297699</v>
      </c>
      <c r="V86">
        <v>439.53484603175798</v>
      </c>
      <c r="W86">
        <v>111.925097093893</v>
      </c>
      <c r="X86">
        <v>201.288363614031</v>
      </c>
      <c r="Y86">
        <v>635.96660976007104</v>
      </c>
      <c r="Z86">
        <v>123.343938469546</v>
      </c>
      <c r="AA86">
        <v>613.190098270813</v>
      </c>
      <c r="AB86">
        <v>848.56682236501194</v>
      </c>
      <c r="AC86">
        <v>418.02851096041002</v>
      </c>
      <c r="AD86">
        <v>715.62983987724999</v>
      </c>
      <c r="AE86">
        <v>256.96095757914497</v>
      </c>
      <c r="AF86">
        <v>435.98282561547097</v>
      </c>
      <c r="AG86">
        <v>613.35124904441602</v>
      </c>
    </row>
    <row r="87" spans="1:33" x14ac:dyDescent="0.25">
      <c r="A87" s="1">
        <v>44138</v>
      </c>
      <c r="B87">
        <v>14755.1617131124</v>
      </c>
      <c r="C87">
        <v>12513.7633320849</v>
      </c>
      <c r="D87">
        <v>12404.713891821501</v>
      </c>
      <c r="E87">
        <v>15088.9489251423</v>
      </c>
      <c r="F87">
        <v>17830.7346752392</v>
      </c>
      <c r="G87">
        <v>17386.3185382589</v>
      </c>
      <c r="H87">
        <v>29290.166738719901</v>
      </c>
      <c r="I87">
        <v>20936.318183435</v>
      </c>
      <c r="J87">
        <v>2350.2886412744101</v>
      </c>
      <c r="K87">
        <v>2365.6705533591098</v>
      </c>
      <c r="L87">
        <v>912.41544206172102</v>
      </c>
      <c r="M87">
        <v>15651.529285299899</v>
      </c>
      <c r="N87">
        <v>5580.7652125308396</v>
      </c>
      <c r="O87">
        <v>847.31088635063804</v>
      </c>
      <c r="P87">
        <v>2808.76351297358</v>
      </c>
      <c r="Q87">
        <v>13633.350540203401</v>
      </c>
      <c r="R87">
        <v>1057.2814174054299</v>
      </c>
      <c r="S87">
        <v>228.44466347301801</v>
      </c>
      <c r="T87">
        <v>501.01724372243802</v>
      </c>
      <c r="U87">
        <v>112.35916650961499</v>
      </c>
      <c r="V87">
        <v>430.80227518860698</v>
      </c>
      <c r="W87">
        <v>115.927751688524</v>
      </c>
      <c r="X87">
        <v>170.95090082809301</v>
      </c>
      <c r="Y87">
        <v>654.11962827390698</v>
      </c>
      <c r="Z87">
        <v>123.36281407934899</v>
      </c>
      <c r="AA87">
        <v>616.52589779851996</v>
      </c>
      <c r="AB87">
        <v>821.40931779692505</v>
      </c>
      <c r="AC87">
        <v>414.65077363678802</v>
      </c>
      <c r="AD87">
        <v>727.77291342511501</v>
      </c>
      <c r="AE87">
        <v>329.95315878322202</v>
      </c>
      <c r="AF87">
        <v>438.70770584171498</v>
      </c>
      <c r="AG87">
        <v>627.00751177404402</v>
      </c>
    </row>
    <row r="88" spans="1:33" x14ac:dyDescent="0.25">
      <c r="A88" s="1">
        <v>44139</v>
      </c>
      <c r="B88">
        <v>14656.4715765453</v>
      </c>
      <c r="C88">
        <v>13273.9973365963</v>
      </c>
      <c r="D88">
        <v>12288.2230917541</v>
      </c>
      <c r="E88">
        <v>14951.3821076116</v>
      </c>
      <c r="F88">
        <v>17555.078041463101</v>
      </c>
      <c r="G88">
        <v>16846.850643806501</v>
      </c>
      <c r="H88">
        <v>28609.8784112871</v>
      </c>
      <c r="I88">
        <v>20969.597246435202</v>
      </c>
      <c r="J88">
        <v>2321.2879313579201</v>
      </c>
      <c r="K88">
        <v>2313.09389409395</v>
      </c>
      <c r="L88">
        <v>922.42761889264204</v>
      </c>
      <c r="M88">
        <v>15247.339794422</v>
      </c>
      <c r="N88">
        <v>5202.4428815273204</v>
      </c>
      <c r="O88">
        <v>844.93549175727799</v>
      </c>
      <c r="P88">
        <v>2750.2877541599801</v>
      </c>
      <c r="Q88">
        <v>13120.572742727099</v>
      </c>
      <c r="R88">
        <v>1043.29582244835</v>
      </c>
      <c r="S88">
        <v>228.77230885237901</v>
      </c>
      <c r="T88">
        <v>437.71154113017502</v>
      </c>
      <c r="U88">
        <v>112.39814977990601</v>
      </c>
      <c r="V88">
        <v>332.06448160449401</v>
      </c>
      <c r="W88">
        <v>117.56602548424399</v>
      </c>
      <c r="X88">
        <v>123.950976545632</v>
      </c>
      <c r="Y88">
        <v>667.13971889662798</v>
      </c>
      <c r="Z88">
        <v>123.367585371459</v>
      </c>
      <c r="AA88">
        <v>619.10152451608803</v>
      </c>
      <c r="AB88">
        <v>824.65970817411403</v>
      </c>
      <c r="AC88">
        <v>408.68371237568499</v>
      </c>
      <c r="AD88">
        <v>730.85319372007598</v>
      </c>
      <c r="AE88">
        <v>428.06529675330898</v>
      </c>
      <c r="AF88">
        <v>435.90906990563099</v>
      </c>
      <c r="AG88">
        <v>642.64736976100005</v>
      </c>
    </row>
    <row r="89" spans="1:33" x14ac:dyDescent="0.25">
      <c r="A89" s="1">
        <v>44140</v>
      </c>
      <c r="B89">
        <v>14509.775344562</v>
      </c>
      <c r="C89">
        <v>12666.2647443307</v>
      </c>
      <c r="D89">
        <v>12307.6777975451</v>
      </c>
      <c r="E89">
        <v>14845.6979312027</v>
      </c>
      <c r="F89">
        <v>17007.716644268701</v>
      </c>
      <c r="G89">
        <v>16519.586466813202</v>
      </c>
      <c r="H89">
        <v>28288.050754757998</v>
      </c>
      <c r="I89">
        <v>20874.315639299199</v>
      </c>
      <c r="J89">
        <v>2288.38456996286</v>
      </c>
      <c r="K89">
        <v>2331.37932035829</v>
      </c>
      <c r="L89">
        <v>927.30924305149995</v>
      </c>
      <c r="M89">
        <v>14832.2347570489</v>
      </c>
      <c r="N89">
        <v>4907.5710536255601</v>
      </c>
      <c r="O89">
        <v>828.47856257153296</v>
      </c>
      <c r="P89">
        <v>2768.9193698661902</v>
      </c>
      <c r="Q89">
        <v>12711.598355058901</v>
      </c>
      <c r="R89">
        <v>1045.1506475891499</v>
      </c>
      <c r="S89">
        <v>228.60570729326199</v>
      </c>
      <c r="T89">
        <v>406.16743436838601</v>
      </c>
      <c r="U89">
        <v>112.436296325359</v>
      </c>
      <c r="V89">
        <v>314.37476582286399</v>
      </c>
      <c r="W89">
        <v>116.70636281597599</v>
      </c>
      <c r="X89">
        <v>122.944594219744</v>
      </c>
      <c r="Y89">
        <v>708.46000865243298</v>
      </c>
      <c r="Z89">
        <v>124.14996691093999</v>
      </c>
      <c r="AA89">
        <v>616.14304034422105</v>
      </c>
      <c r="AB89">
        <v>840.53321953789305</v>
      </c>
      <c r="AC89">
        <v>418.21682190627001</v>
      </c>
      <c r="AD89">
        <v>740.38728964509096</v>
      </c>
      <c r="AE89">
        <v>475.06988022717701</v>
      </c>
      <c r="AF89">
        <v>434.46096871792201</v>
      </c>
      <c r="AG89">
        <v>659.23941266287898</v>
      </c>
    </row>
    <row r="90" spans="1:33" x14ac:dyDescent="0.25">
      <c r="A90" s="1">
        <v>44141</v>
      </c>
      <c r="B90">
        <v>14458.635932175999</v>
      </c>
      <c r="C90">
        <v>12281.9718494033</v>
      </c>
      <c r="D90">
        <v>12416.671976572899</v>
      </c>
      <c r="E90">
        <v>15080.9939162549</v>
      </c>
      <c r="F90">
        <v>17473.880781615899</v>
      </c>
      <c r="G90">
        <v>17308.026654450201</v>
      </c>
      <c r="H90">
        <v>30555.677137156199</v>
      </c>
      <c r="I90">
        <v>20852.893906233799</v>
      </c>
      <c r="J90">
        <v>2304.01428259053</v>
      </c>
      <c r="K90">
        <v>2564.99009854115</v>
      </c>
      <c r="L90">
        <v>936.27055593039404</v>
      </c>
      <c r="M90">
        <v>15823.751825936901</v>
      </c>
      <c r="N90">
        <v>5688.0795745615596</v>
      </c>
      <c r="O90">
        <v>965.868067991668</v>
      </c>
      <c r="P90">
        <v>3050.3294147647998</v>
      </c>
      <c r="Q90">
        <v>13741.3011129609</v>
      </c>
      <c r="R90">
        <v>1204.77737723274</v>
      </c>
      <c r="S90">
        <v>230.426723258104</v>
      </c>
      <c r="T90">
        <v>525.74186464643299</v>
      </c>
      <c r="U90">
        <v>112.961444769488</v>
      </c>
      <c r="V90">
        <v>440.03147804806298</v>
      </c>
      <c r="W90">
        <v>117.171963436792</v>
      </c>
      <c r="X90">
        <v>187.793230444644</v>
      </c>
      <c r="Y90">
        <v>763.59960258345097</v>
      </c>
      <c r="Z90">
        <v>125.01939457498401</v>
      </c>
      <c r="AA90">
        <v>613.88473818619605</v>
      </c>
      <c r="AB90">
        <v>883.28939363612506</v>
      </c>
      <c r="AC90">
        <v>444.255884684477</v>
      </c>
      <c r="AD90">
        <v>772.77740578428404</v>
      </c>
      <c r="AE90">
        <v>527.83976121274895</v>
      </c>
      <c r="AF90">
        <v>434.46407342957798</v>
      </c>
      <c r="AG90">
        <v>672.20750696239895</v>
      </c>
    </row>
    <row r="91" spans="1:33" x14ac:dyDescent="0.25">
      <c r="A91" s="1">
        <v>44142</v>
      </c>
      <c r="B91">
        <v>14529.9462347476</v>
      </c>
      <c r="C91">
        <v>14066.6814215963</v>
      </c>
      <c r="D91">
        <v>12499.5821484198</v>
      </c>
      <c r="E91">
        <v>14811.536424768099</v>
      </c>
      <c r="F91">
        <v>17479.062879859001</v>
      </c>
      <c r="G91">
        <v>16817.3818962771</v>
      </c>
      <c r="H91">
        <v>29033.108103436502</v>
      </c>
      <c r="I91">
        <v>20861.423129143899</v>
      </c>
      <c r="J91">
        <v>2296.45142796345</v>
      </c>
      <c r="K91">
        <v>2348.6224180126401</v>
      </c>
      <c r="L91">
        <v>938.68431764088496</v>
      </c>
      <c r="M91">
        <v>15108.806243284</v>
      </c>
      <c r="N91">
        <v>5366.99211252841</v>
      </c>
      <c r="O91">
        <v>893.10792906298605</v>
      </c>
      <c r="P91">
        <v>2769.2955262833998</v>
      </c>
      <c r="Q91">
        <v>13060.34599915</v>
      </c>
      <c r="R91">
        <v>1114.8075123297699</v>
      </c>
      <c r="S91">
        <v>231.070260353316</v>
      </c>
      <c r="T91">
        <v>420.536048848777</v>
      </c>
      <c r="U91">
        <v>115.234743518101</v>
      </c>
      <c r="V91">
        <v>365.52704146696902</v>
      </c>
      <c r="W91">
        <v>120.554298031337</v>
      </c>
      <c r="X91">
        <v>179.88663210006999</v>
      </c>
      <c r="Y91">
        <v>743.448934687465</v>
      </c>
      <c r="Z91">
        <v>124.769710328163</v>
      </c>
      <c r="AA91">
        <v>617.94927324271305</v>
      </c>
      <c r="AB91">
        <v>881.09420064445203</v>
      </c>
      <c r="AC91">
        <v>479.37546025923302</v>
      </c>
      <c r="AD91">
        <v>751.21532907320898</v>
      </c>
      <c r="AE91">
        <v>586.55461942124202</v>
      </c>
      <c r="AF91">
        <v>433.922292416473</v>
      </c>
      <c r="AG91">
        <v>676.02254735992597</v>
      </c>
    </row>
    <row r="92" spans="1:33" x14ac:dyDescent="0.25">
      <c r="A92" s="1">
        <v>44143</v>
      </c>
      <c r="B92">
        <v>14466.990926914799</v>
      </c>
      <c r="C92">
        <v>12949.607602964799</v>
      </c>
      <c r="D92">
        <v>12326.017795035101</v>
      </c>
      <c r="E92">
        <v>14409.6840637649</v>
      </c>
      <c r="F92">
        <v>16747.317040439601</v>
      </c>
      <c r="G92">
        <v>15357.6614843835</v>
      </c>
      <c r="H92">
        <v>27634.471630845401</v>
      </c>
      <c r="I92">
        <v>20851.115599584198</v>
      </c>
      <c r="J92">
        <v>2261.1357018183799</v>
      </c>
      <c r="K92">
        <v>2048.8735136325099</v>
      </c>
      <c r="L92">
        <v>891.13522156455997</v>
      </c>
      <c r="M92">
        <v>13341.204884696999</v>
      </c>
      <c r="N92">
        <v>3705.2572147600399</v>
      </c>
      <c r="O92">
        <v>780.63645755591097</v>
      </c>
      <c r="P92">
        <v>2295.8403205602999</v>
      </c>
      <c r="Q92">
        <v>11639.8501497504</v>
      </c>
      <c r="R92">
        <v>978.40811169933795</v>
      </c>
      <c r="S92">
        <v>231.62086088856401</v>
      </c>
      <c r="T92">
        <v>288.32689478921202</v>
      </c>
      <c r="U92">
        <v>122.131246895337</v>
      </c>
      <c r="V92">
        <v>220.14906072931501</v>
      </c>
      <c r="W92">
        <v>124.112461150884</v>
      </c>
      <c r="X92">
        <v>139.19507325646501</v>
      </c>
      <c r="Y92">
        <v>686.83425523894402</v>
      </c>
      <c r="Z92">
        <v>123.951257463036</v>
      </c>
      <c r="AA92">
        <v>626.55289122363502</v>
      </c>
      <c r="AB92">
        <v>844.911856716138</v>
      </c>
      <c r="AC92">
        <v>515.53194968053504</v>
      </c>
      <c r="AD92">
        <v>702.54511589659</v>
      </c>
      <c r="AE92">
        <v>582.359433314076</v>
      </c>
      <c r="AF92">
        <v>432.62908287539</v>
      </c>
      <c r="AG92">
        <v>675.36594685166597</v>
      </c>
    </row>
    <row r="93" spans="1:33" x14ac:dyDescent="0.25">
      <c r="A93" s="1">
        <v>44144</v>
      </c>
      <c r="B93">
        <v>14289.2850120721</v>
      </c>
      <c r="C93">
        <v>11753.918803074401</v>
      </c>
      <c r="D93">
        <v>12565.465698542401</v>
      </c>
      <c r="E93">
        <v>14262.066125741499</v>
      </c>
      <c r="F93">
        <v>15502.781720597801</v>
      </c>
      <c r="G93">
        <v>14230.8538851957</v>
      </c>
      <c r="H93">
        <v>26350.7812366629</v>
      </c>
      <c r="I93">
        <v>20337.941050113899</v>
      </c>
      <c r="J93">
        <v>2209.73184784963</v>
      </c>
      <c r="K93">
        <v>1850.4846186453101</v>
      </c>
      <c r="L93">
        <v>828.29404983822997</v>
      </c>
      <c r="M93">
        <v>12233.9974482619</v>
      </c>
      <c r="N93">
        <v>2970.0511275909498</v>
      </c>
      <c r="O93">
        <v>602.920916401093</v>
      </c>
      <c r="P93">
        <v>2059.4297459939498</v>
      </c>
      <c r="Q93">
        <v>10156.1956262037</v>
      </c>
      <c r="R93">
        <v>833.12495964101595</v>
      </c>
      <c r="S93">
        <v>231.13568610044101</v>
      </c>
      <c r="T93">
        <v>265.965062947516</v>
      </c>
      <c r="U93">
        <v>124.54844451770199</v>
      </c>
      <c r="V93">
        <v>216.38344514120101</v>
      </c>
      <c r="W93">
        <v>124.67334056594601</v>
      </c>
      <c r="X93">
        <v>140.47827266293999</v>
      </c>
      <c r="Y93">
        <v>639.72394583349001</v>
      </c>
      <c r="Z93">
        <v>124.48618285892999</v>
      </c>
      <c r="AA93">
        <v>634.96583273181295</v>
      </c>
      <c r="AB93">
        <v>828.56285018011101</v>
      </c>
      <c r="AC93">
        <v>560.95087233218396</v>
      </c>
      <c r="AD93">
        <v>666.49440474870505</v>
      </c>
      <c r="AE93">
        <v>611.37990639395696</v>
      </c>
      <c r="AF93">
        <v>430.30948059930398</v>
      </c>
      <c r="AG93">
        <v>676.64578698933406</v>
      </c>
    </row>
    <row r="94" spans="1:33" x14ac:dyDescent="0.25">
      <c r="A94" s="1">
        <v>44145</v>
      </c>
      <c r="B94">
        <v>14122.9128269746</v>
      </c>
      <c r="C94">
        <v>10176.458440210999</v>
      </c>
      <c r="D94">
        <v>12667.839568281701</v>
      </c>
      <c r="E94">
        <v>14191.5694041685</v>
      </c>
      <c r="F94">
        <v>15020.669746547001</v>
      </c>
      <c r="G94">
        <v>14056.885242710599</v>
      </c>
      <c r="H94">
        <v>26498.463799278099</v>
      </c>
      <c r="I94">
        <v>19731.1316773773</v>
      </c>
      <c r="J94">
        <v>2174.3859478509398</v>
      </c>
      <c r="K94">
        <v>1778.0057035510299</v>
      </c>
      <c r="L94">
        <v>796.17062352426694</v>
      </c>
      <c r="M94">
        <v>12119.0407867228</v>
      </c>
      <c r="N94">
        <v>2922.3345184545401</v>
      </c>
      <c r="O94">
        <v>614.77607374343199</v>
      </c>
      <c r="P94">
        <v>2020.0405149932101</v>
      </c>
      <c r="Q94">
        <v>9918.4665915235692</v>
      </c>
      <c r="R94">
        <v>793.271216089174</v>
      </c>
      <c r="S94">
        <v>231.669625020236</v>
      </c>
      <c r="T94">
        <v>251.501597947433</v>
      </c>
      <c r="U94">
        <v>124.793086439001</v>
      </c>
      <c r="V94">
        <v>207.26991740727101</v>
      </c>
      <c r="W94">
        <v>124.91613156355901</v>
      </c>
      <c r="X94">
        <v>137.76335548591999</v>
      </c>
      <c r="Y94">
        <v>696.13148706176605</v>
      </c>
      <c r="Z94">
        <v>125.53470066029701</v>
      </c>
      <c r="AA94">
        <v>633.57938529766795</v>
      </c>
      <c r="AB94">
        <v>877.71964705593905</v>
      </c>
      <c r="AC94">
        <v>567.35672355776001</v>
      </c>
      <c r="AD94">
        <v>648.36426044438099</v>
      </c>
      <c r="AE94">
        <v>604.37934510108096</v>
      </c>
      <c r="AF94">
        <v>433.28371432825998</v>
      </c>
      <c r="AG94">
        <v>685.35702859197897</v>
      </c>
    </row>
    <row r="95" spans="1:33" x14ac:dyDescent="0.25">
      <c r="A95" s="1">
        <v>44146</v>
      </c>
      <c r="B95">
        <v>14054.289591271499</v>
      </c>
      <c r="C95">
        <v>9638.7561337432508</v>
      </c>
      <c r="D95">
        <v>12386.6812757439</v>
      </c>
      <c r="E95">
        <v>14223.4813164602</v>
      </c>
      <c r="F95">
        <v>15380.071821837801</v>
      </c>
      <c r="G95">
        <v>14757.697664573299</v>
      </c>
      <c r="H95">
        <v>26847.9413686062</v>
      </c>
      <c r="I95">
        <v>19259.251346018202</v>
      </c>
      <c r="J95">
        <v>2137.6139940701701</v>
      </c>
      <c r="K95">
        <v>1821.0944043443501</v>
      </c>
      <c r="L95">
        <v>800.62888530030602</v>
      </c>
      <c r="M95">
        <v>12785.2759071008</v>
      </c>
      <c r="N95">
        <v>3370.4340318960299</v>
      </c>
      <c r="O95">
        <v>704.76730158188104</v>
      </c>
      <c r="P95">
        <v>2129.5358365325001</v>
      </c>
      <c r="Q95">
        <v>10621.5409045164</v>
      </c>
      <c r="R95">
        <v>848.906526943735</v>
      </c>
      <c r="S95">
        <v>232.241818131776</v>
      </c>
      <c r="T95">
        <v>265.78992103095197</v>
      </c>
      <c r="U95">
        <v>124.838660361861</v>
      </c>
      <c r="V95">
        <v>246.22664990043401</v>
      </c>
      <c r="W95">
        <v>124.838244418266</v>
      </c>
      <c r="X95">
        <v>146.66357673388899</v>
      </c>
      <c r="Y95">
        <v>725.58602573893199</v>
      </c>
      <c r="Z95">
        <v>126.655042515316</v>
      </c>
      <c r="AA95">
        <v>630.47824775064203</v>
      </c>
      <c r="AB95">
        <v>889.00162496569897</v>
      </c>
      <c r="AC95">
        <v>571.62317369704999</v>
      </c>
      <c r="AD95">
        <v>647.19875250514701</v>
      </c>
      <c r="AE95">
        <v>591.31963847493796</v>
      </c>
      <c r="AF95">
        <v>440.74004118229601</v>
      </c>
      <c r="AG95">
        <v>698.77295590525796</v>
      </c>
    </row>
    <row r="96" spans="1:33" x14ac:dyDescent="0.25">
      <c r="A96" s="1">
        <v>44147</v>
      </c>
      <c r="B96">
        <v>14036.905806201299</v>
      </c>
      <c r="C96">
        <v>9933.9410979028708</v>
      </c>
      <c r="D96">
        <v>11808.109040354</v>
      </c>
      <c r="E96">
        <v>14236.8568912972</v>
      </c>
      <c r="F96">
        <v>15863.244897398999</v>
      </c>
      <c r="G96">
        <v>15164.127633238701</v>
      </c>
      <c r="H96">
        <v>27121.094071625299</v>
      </c>
      <c r="I96">
        <v>19111.834265398698</v>
      </c>
      <c r="J96">
        <v>2109.2434165467698</v>
      </c>
      <c r="K96">
        <v>1861.6926938782301</v>
      </c>
      <c r="L96">
        <v>824.22901302528101</v>
      </c>
      <c r="M96">
        <v>13164.2984223946</v>
      </c>
      <c r="N96">
        <v>3666.5669409991501</v>
      </c>
      <c r="O96">
        <v>750.70832198765299</v>
      </c>
      <c r="P96">
        <v>2181.8630023392502</v>
      </c>
      <c r="Q96">
        <v>11049.2996858229</v>
      </c>
      <c r="R96">
        <v>891.00513179612506</v>
      </c>
      <c r="S96">
        <v>231.78991285989301</v>
      </c>
      <c r="T96">
        <v>281.13882600812201</v>
      </c>
      <c r="U96">
        <v>124.873216816519</v>
      </c>
      <c r="V96">
        <v>270.50716461124898</v>
      </c>
      <c r="W96">
        <v>124.278839643382</v>
      </c>
      <c r="X96">
        <v>154.00129946086099</v>
      </c>
      <c r="Y96">
        <v>741.58052533661896</v>
      </c>
      <c r="Z96">
        <v>127.339257338067</v>
      </c>
      <c r="AA96">
        <v>631.31978735539496</v>
      </c>
      <c r="AB96">
        <v>860.52115478756502</v>
      </c>
      <c r="AC96">
        <v>578.39525882814905</v>
      </c>
      <c r="AD96">
        <v>654.803843814331</v>
      </c>
      <c r="AE96">
        <v>613.178299366376</v>
      </c>
      <c r="AF96">
        <v>448.68239531896899</v>
      </c>
      <c r="AG96">
        <v>697.74344807955094</v>
      </c>
    </row>
    <row r="97" spans="1:33" x14ac:dyDescent="0.25">
      <c r="A97" s="1">
        <v>44148</v>
      </c>
      <c r="B97">
        <v>13949.588877497899</v>
      </c>
      <c r="C97">
        <v>10150.266825053101</v>
      </c>
      <c r="D97">
        <v>11474.829187114799</v>
      </c>
      <c r="E97">
        <v>14287.411395379901</v>
      </c>
      <c r="F97">
        <v>16322.985004558501</v>
      </c>
      <c r="G97">
        <v>16249.0367538587</v>
      </c>
      <c r="H97">
        <v>28087.991029341902</v>
      </c>
      <c r="I97">
        <v>19168.972065874001</v>
      </c>
      <c r="J97">
        <v>2101.95927887774</v>
      </c>
      <c r="K97">
        <v>1981.98921845773</v>
      </c>
      <c r="L97">
        <v>836.54131299179301</v>
      </c>
      <c r="M97">
        <v>14234.984045610499</v>
      </c>
      <c r="N97">
        <v>4432.42351314198</v>
      </c>
      <c r="O97">
        <v>802.131047178828</v>
      </c>
      <c r="P97">
        <v>2352.3159734666901</v>
      </c>
      <c r="Q97">
        <v>12137.1983830382</v>
      </c>
      <c r="R97">
        <v>955.583633540395</v>
      </c>
      <c r="S97">
        <v>230.604030942729</v>
      </c>
      <c r="T97">
        <v>348.49390505384599</v>
      </c>
      <c r="U97">
        <v>123.829648484632</v>
      </c>
      <c r="V97">
        <v>380.34587670184601</v>
      </c>
      <c r="W97">
        <v>120.12278477693999</v>
      </c>
      <c r="X97">
        <v>209.63570671913399</v>
      </c>
      <c r="Y97">
        <v>787.24930696598403</v>
      </c>
      <c r="Z97">
        <v>127.947407232014</v>
      </c>
      <c r="AA97">
        <v>625.97570789571103</v>
      </c>
      <c r="AB97">
        <v>903.21966295066898</v>
      </c>
      <c r="AC97">
        <v>578.48462366004696</v>
      </c>
      <c r="AD97">
        <v>683.07313360945898</v>
      </c>
      <c r="AE97">
        <v>611.79702952028197</v>
      </c>
      <c r="AF97">
        <v>454.30591618764697</v>
      </c>
      <c r="AG97">
        <v>683.23880186449401</v>
      </c>
    </row>
    <row r="98" spans="1:33" x14ac:dyDescent="0.25">
      <c r="A98" s="1">
        <v>44149</v>
      </c>
      <c r="B98">
        <v>13903.9982462672</v>
      </c>
      <c r="C98">
        <v>10899.826439079399</v>
      </c>
      <c r="D98">
        <v>11136.079712734399</v>
      </c>
      <c r="E98">
        <v>14093.111347112401</v>
      </c>
      <c r="F98">
        <v>16831.281453942</v>
      </c>
      <c r="G98">
        <v>16295.435083638</v>
      </c>
      <c r="H98">
        <v>27602.9670547608</v>
      </c>
      <c r="I98">
        <v>19343.979227715001</v>
      </c>
      <c r="J98">
        <v>2100.6158068370501</v>
      </c>
      <c r="K98">
        <v>2018.4456537057399</v>
      </c>
      <c r="L98">
        <v>863.556073517134</v>
      </c>
      <c r="M98">
        <v>14256.966428366301</v>
      </c>
      <c r="N98">
        <v>4657.6393237518696</v>
      </c>
      <c r="O98">
        <v>765.09423315789002</v>
      </c>
      <c r="P98">
        <v>2373.3868692117599</v>
      </c>
      <c r="Q98">
        <v>12200.1081779009</v>
      </c>
      <c r="R98">
        <v>962.86560028485599</v>
      </c>
      <c r="S98">
        <v>228.51246468647801</v>
      </c>
      <c r="T98">
        <v>380.31077026428602</v>
      </c>
      <c r="U98">
        <v>121.187105220192</v>
      </c>
      <c r="V98">
        <v>426.03182498222401</v>
      </c>
      <c r="W98">
        <v>124.21467953569601</v>
      </c>
      <c r="X98">
        <v>229.269035940674</v>
      </c>
      <c r="Y98">
        <v>816.47826431345402</v>
      </c>
      <c r="Z98">
        <v>128.55692176255499</v>
      </c>
      <c r="AA98">
        <v>626.78547363294001</v>
      </c>
      <c r="AB98">
        <v>930.41903424300904</v>
      </c>
      <c r="AC98">
        <v>575.82190119309905</v>
      </c>
      <c r="AD98">
        <v>688.94314040955805</v>
      </c>
      <c r="AE98">
        <v>638.38763980429303</v>
      </c>
      <c r="AF98">
        <v>461.41722595430201</v>
      </c>
      <c r="AG98">
        <v>673.92844519881305</v>
      </c>
    </row>
    <row r="99" spans="1:33" x14ac:dyDescent="0.25">
      <c r="A99" s="1">
        <v>44150</v>
      </c>
      <c r="B99">
        <v>13713.5680616955</v>
      </c>
      <c r="C99">
        <v>10774.227152158601</v>
      </c>
      <c r="D99">
        <v>11131.5177025667</v>
      </c>
      <c r="E99">
        <v>13928.0357421067</v>
      </c>
      <c r="F99">
        <v>16623.1625388885</v>
      </c>
      <c r="G99">
        <v>16257.7894269442</v>
      </c>
      <c r="H99">
        <v>27724.804835253999</v>
      </c>
      <c r="I99">
        <v>19520.443917950201</v>
      </c>
      <c r="J99">
        <v>2099.5909510727602</v>
      </c>
      <c r="K99">
        <v>2033.78150700777</v>
      </c>
      <c r="L99">
        <v>847.21264811377603</v>
      </c>
      <c r="M99">
        <v>14388.7435228044</v>
      </c>
      <c r="N99">
        <v>4840.04224290813</v>
      </c>
      <c r="O99">
        <v>731.87382835318795</v>
      </c>
      <c r="P99">
        <v>2412.1553265549601</v>
      </c>
      <c r="Q99">
        <v>12321.4987564557</v>
      </c>
      <c r="R99">
        <v>930.32706547473504</v>
      </c>
      <c r="S99">
        <v>226.685235748119</v>
      </c>
      <c r="T99">
        <v>454.49505611599398</v>
      </c>
      <c r="U99">
        <v>124.26230359708801</v>
      </c>
      <c r="V99">
        <v>510.11148284919699</v>
      </c>
      <c r="W99">
        <v>124.449804145334</v>
      </c>
      <c r="X99">
        <v>281.22593817585698</v>
      </c>
      <c r="Y99">
        <v>806.98923621575295</v>
      </c>
      <c r="Z99">
        <v>129.38718950433099</v>
      </c>
      <c r="AA99">
        <v>626.50634951764698</v>
      </c>
      <c r="AB99">
        <v>915.59987940246299</v>
      </c>
      <c r="AC99">
        <v>576.71044316991697</v>
      </c>
      <c r="AD99">
        <v>688.25977438985103</v>
      </c>
      <c r="AE99">
        <v>668.85255315079996</v>
      </c>
      <c r="AF99">
        <v>469.90570935083599</v>
      </c>
      <c r="AG99">
        <v>678.00645995517402</v>
      </c>
    </row>
    <row r="100" spans="1:33" x14ac:dyDescent="0.25">
      <c r="A100" s="1">
        <v>44151</v>
      </c>
      <c r="B100">
        <v>13481.2053563625</v>
      </c>
      <c r="C100">
        <v>10925.778384511699</v>
      </c>
      <c r="D100">
        <v>11288.278874256999</v>
      </c>
      <c r="E100">
        <v>13917.979304451999</v>
      </c>
      <c r="F100">
        <v>16874.257287973101</v>
      </c>
      <c r="G100">
        <v>16736.287148003001</v>
      </c>
      <c r="H100">
        <v>28140.501288482301</v>
      </c>
      <c r="I100">
        <v>19688.458991871401</v>
      </c>
      <c r="J100">
        <v>2091.8212843116498</v>
      </c>
      <c r="K100">
        <v>2135.8416763738101</v>
      </c>
      <c r="L100">
        <v>846.653749685393</v>
      </c>
      <c r="M100">
        <v>14825.746754911401</v>
      </c>
      <c r="N100">
        <v>5282.6133782460602</v>
      </c>
      <c r="O100">
        <v>761.86628036179695</v>
      </c>
      <c r="P100">
        <v>2570.91989176383</v>
      </c>
      <c r="Q100">
        <v>12832.7205177913</v>
      </c>
      <c r="R100">
        <v>954.171633652428</v>
      </c>
      <c r="S100">
        <v>225.049139801238</v>
      </c>
      <c r="T100">
        <v>561.89589148155198</v>
      </c>
      <c r="U100">
        <v>124.385745638714</v>
      </c>
      <c r="V100">
        <v>575.29510239693695</v>
      </c>
      <c r="W100">
        <v>124.285412380827</v>
      </c>
      <c r="X100">
        <v>292.44640077658499</v>
      </c>
      <c r="Y100">
        <v>819.126722427407</v>
      </c>
      <c r="Z100">
        <v>130.80262377202499</v>
      </c>
      <c r="AA100">
        <v>623.432115146407</v>
      </c>
      <c r="AB100">
        <v>926.10902699565202</v>
      </c>
      <c r="AC100">
        <v>583.20670558918698</v>
      </c>
      <c r="AD100">
        <v>693.49261124916598</v>
      </c>
      <c r="AE100">
        <v>688.63414721795596</v>
      </c>
      <c r="AF100">
        <v>475.00510714116001</v>
      </c>
      <c r="AG100">
        <v>690.07779809771796</v>
      </c>
    </row>
    <row r="101" spans="1:33" x14ac:dyDescent="0.25">
      <c r="A101" s="1">
        <v>44152</v>
      </c>
      <c r="B101">
        <v>13442.857177989999</v>
      </c>
      <c r="C101">
        <v>11441.2860694303</v>
      </c>
      <c r="D101">
        <v>11633.385577077401</v>
      </c>
      <c r="E101">
        <v>14405.490986572901</v>
      </c>
      <c r="F101">
        <v>17795.8069655324</v>
      </c>
      <c r="G101">
        <v>18329.457084815898</v>
      </c>
      <c r="H101">
        <v>30052.513331520298</v>
      </c>
      <c r="I101">
        <v>19964.540806996501</v>
      </c>
      <c r="J101">
        <v>2119.4149114110401</v>
      </c>
      <c r="K101">
        <v>2565.24113685777</v>
      </c>
      <c r="L101">
        <v>908.32787923800197</v>
      </c>
      <c r="M101">
        <v>16508.622729734601</v>
      </c>
      <c r="N101">
        <v>6738.7114558640696</v>
      </c>
      <c r="O101">
        <v>900.76277071793299</v>
      </c>
      <c r="P101">
        <v>3168.9619467892499</v>
      </c>
      <c r="Q101">
        <v>14364.4608231494</v>
      </c>
      <c r="R101">
        <v>1102.02091963412</v>
      </c>
      <c r="S101">
        <v>223.67195337024299</v>
      </c>
      <c r="T101">
        <v>895.436948955003</v>
      </c>
      <c r="U101">
        <v>124.412520445853</v>
      </c>
      <c r="V101">
        <v>822.47424614453496</v>
      </c>
      <c r="W101">
        <v>124.207486309386</v>
      </c>
      <c r="X101">
        <v>398.11368112964402</v>
      </c>
      <c r="Y101">
        <v>844.85768018137503</v>
      </c>
      <c r="Z101">
        <v>133.045399570483</v>
      </c>
      <c r="AA101">
        <v>618.50890248766905</v>
      </c>
      <c r="AB101">
        <v>928.17269066618098</v>
      </c>
      <c r="AC101">
        <v>585.67408254829002</v>
      </c>
      <c r="AD101">
        <v>750.95444827055996</v>
      </c>
      <c r="AE101">
        <v>698.21789707731205</v>
      </c>
      <c r="AF101">
        <v>475.54149735472402</v>
      </c>
      <c r="AG101">
        <v>697.95722761281695</v>
      </c>
    </row>
    <row r="102" spans="1:33" x14ac:dyDescent="0.25">
      <c r="A102" s="1">
        <v>44153</v>
      </c>
      <c r="B102">
        <v>13483.806730922201</v>
      </c>
      <c r="C102">
        <v>12965.648499827499</v>
      </c>
      <c r="D102">
        <v>11616.210976505599</v>
      </c>
      <c r="E102">
        <v>14140.4704967419</v>
      </c>
      <c r="F102">
        <v>18678.584675149799</v>
      </c>
      <c r="G102">
        <v>18042.109600059801</v>
      </c>
      <c r="H102">
        <v>29555.077626653201</v>
      </c>
      <c r="I102">
        <v>20499.1030358479</v>
      </c>
      <c r="J102">
        <v>2160.7935369568499</v>
      </c>
      <c r="K102">
        <v>2679.88322519847</v>
      </c>
      <c r="L102">
        <v>958.82429979041001</v>
      </c>
      <c r="M102">
        <v>16290.5825817062</v>
      </c>
      <c r="N102">
        <v>6431.3672217088397</v>
      </c>
      <c r="O102">
        <v>945.44126170535401</v>
      </c>
      <c r="P102">
        <v>3288.4783479507901</v>
      </c>
      <c r="Q102">
        <v>14254.3699890766</v>
      </c>
      <c r="R102">
        <v>1157.34373738217</v>
      </c>
      <c r="S102">
        <v>221.58574997363701</v>
      </c>
      <c r="T102">
        <v>703.52389770013997</v>
      </c>
      <c r="U102">
        <v>124.148057527338</v>
      </c>
      <c r="V102">
        <v>520.26672233460704</v>
      </c>
      <c r="W102">
        <v>125.048214604042</v>
      </c>
      <c r="X102">
        <v>185.58995385385899</v>
      </c>
      <c r="Y102">
        <v>807.29334253453703</v>
      </c>
      <c r="Z102">
        <v>135.291908921979</v>
      </c>
      <c r="AA102">
        <v>614.91518992238002</v>
      </c>
      <c r="AB102">
        <v>911.80155560169999</v>
      </c>
      <c r="AC102">
        <v>587.73025112275195</v>
      </c>
      <c r="AD102">
        <v>778.77282018043002</v>
      </c>
      <c r="AE102">
        <v>685.70415165647</v>
      </c>
      <c r="AF102">
        <v>478.48249958963203</v>
      </c>
      <c r="AG102">
        <v>696.71716552287501</v>
      </c>
    </row>
    <row r="103" spans="1:33" x14ac:dyDescent="0.25">
      <c r="A103" s="1">
        <v>44154</v>
      </c>
      <c r="B103">
        <v>13425.8232570076</v>
      </c>
      <c r="C103">
        <v>12790.6189573888</v>
      </c>
      <c r="D103">
        <v>11982.805824358</v>
      </c>
      <c r="E103">
        <v>14224.6753793683</v>
      </c>
      <c r="F103">
        <v>17546.311025970899</v>
      </c>
      <c r="G103">
        <v>16158.324675189</v>
      </c>
      <c r="H103">
        <v>27808.9457291238</v>
      </c>
      <c r="I103">
        <v>20540.4982772197</v>
      </c>
      <c r="J103">
        <v>2146.8161042861302</v>
      </c>
      <c r="K103">
        <v>2462.6221180024099</v>
      </c>
      <c r="L103">
        <v>941.76689016740795</v>
      </c>
      <c r="M103">
        <v>14495.4362786368</v>
      </c>
      <c r="N103">
        <v>4751.7213584154897</v>
      </c>
      <c r="O103">
        <v>859.97340084239897</v>
      </c>
      <c r="P103">
        <v>2954.6245686265702</v>
      </c>
      <c r="Q103">
        <v>12393.6786015454</v>
      </c>
      <c r="R103">
        <v>1085.0059845544899</v>
      </c>
      <c r="S103">
        <v>221.45724456248101</v>
      </c>
      <c r="T103">
        <v>447.37165326436298</v>
      </c>
      <c r="U103">
        <v>124.202489424772</v>
      </c>
      <c r="V103">
        <v>260.20425130089501</v>
      </c>
      <c r="W103">
        <v>125.577124259214</v>
      </c>
      <c r="X103">
        <v>125.187996672265</v>
      </c>
      <c r="Y103">
        <v>775.46469426922999</v>
      </c>
      <c r="Z103">
        <v>136.33317122995601</v>
      </c>
      <c r="AA103">
        <v>622.08208634749201</v>
      </c>
      <c r="AB103">
        <v>865.27633085415096</v>
      </c>
      <c r="AC103">
        <v>600.33688504092197</v>
      </c>
      <c r="AD103">
        <v>753.99771801588804</v>
      </c>
      <c r="AE103">
        <v>667.48752809685504</v>
      </c>
      <c r="AF103">
        <v>488.30409334966902</v>
      </c>
      <c r="AG103">
        <v>698.46290318417698</v>
      </c>
    </row>
    <row r="104" spans="1:33" x14ac:dyDescent="0.25">
      <c r="A104" s="1">
        <v>44155</v>
      </c>
      <c r="B104">
        <v>13496.692551385</v>
      </c>
      <c r="C104">
        <v>12407.2585576563</v>
      </c>
      <c r="D104">
        <v>12491.583165636101</v>
      </c>
      <c r="E104">
        <v>14674.681067109999</v>
      </c>
      <c r="F104">
        <v>16332.782064911</v>
      </c>
      <c r="G104">
        <v>15271.551058270899</v>
      </c>
      <c r="H104">
        <v>27096.620049162</v>
      </c>
      <c r="I104">
        <v>20076.023804083099</v>
      </c>
      <c r="J104">
        <v>2131.5401074963502</v>
      </c>
      <c r="K104">
        <v>2345.8904036990498</v>
      </c>
      <c r="L104">
        <v>924.641612140093</v>
      </c>
      <c r="M104">
        <v>13502.972907793401</v>
      </c>
      <c r="N104">
        <v>3929.9923878395002</v>
      </c>
      <c r="O104">
        <v>814.57280741570401</v>
      </c>
      <c r="P104">
        <v>2793.4563188050201</v>
      </c>
      <c r="Q104">
        <v>11184.1028848349</v>
      </c>
      <c r="R104">
        <v>1044.79468751793</v>
      </c>
      <c r="S104">
        <v>221.82311679782501</v>
      </c>
      <c r="T104">
        <v>357.866482847849</v>
      </c>
      <c r="U104">
        <v>124.41611183401</v>
      </c>
      <c r="V104">
        <v>203.17474391107601</v>
      </c>
      <c r="W104">
        <v>125.782996175359</v>
      </c>
      <c r="X104">
        <v>126.25709944054201</v>
      </c>
      <c r="Y104">
        <v>770.00420872226005</v>
      </c>
      <c r="Z104">
        <v>137.526402992584</v>
      </c>
      <c r="AA104">
        <v>615.09453020789294</v>
      </c>
      <c r="AB104">
        <v>873.22324754568604</v>
      </c>
      <c r="AC104">
        <v>612.56167668873297</v>
      </c>
      <c r="AD104">
        <v>744.18846820737804</v>
      </c>
      <c r="AE104">
        <v>674.624262964124</v>
      </c>
      <c r="AF104">
        <v>496.96395574234299</v>
      </c>
      <c r="AG104">
        <v>699.75804812508795</v>
      </c>
    </row>
    <row r="105" spans="1:33" x14ac:dyDescent="0.25">
      <c r="A105" s="1">
        <v>44156</v>
      </c>
      <c r="B105">
        <v>13771.1198785462</v>
      </c>
      <c r="C105">
        <v>12071.6793627444</v>
      </c>
      <c r="D105">
        <v>13049.832579525801</v>
      </c>
      <c r="E105">
        <v>14951.457863526301</v>
      </c>
      <c r="F105">
        <v>15686.2899202928</v>
      </c>
      <c r="G105">
        <v>14732.3032184395</v>
      </c>
      <c r="H105">
        <v>26863.9984948192</v>
      </c>
      <c r="I105">
        <v>19693.7652591814</v>
      </c>
      <c r="J105">
        <v>2114.56961446593</v>
      </c>
      <c r="K105">
        <v>2242.4602173503799</v>
      </c>
      <c r="L105">
        <v>907.56229150878096</v>
      </c>
      <c r="M105">
        <v>12898.550446040699</v>
      </c>
      <c r="N105">
        <v>3431.0161739938899</v>
      </c>
      <c r="O105">
        <v>808.51585326843599</v>
      </c>
      <c r="P105">
        <v>2651.4555625992998</v>
      </c>
      <c r="Q105">
        <v>10529.7910442141</v>
      </c>
      <c r="R105">
        <v>1031.06828381013</v>
      </c>
      <c r="S105">
        <v>222.83807353065799</v>
      </c>
      <c r="T105">
        <v>304.10971334780203</v>
      </c>
      <c r="U105">
        <v>124.619129743793</v>
      </c>
      <c r="V105">
        <v>184.41539183062801</v>
      </c>
      <c r="W105">
        <v>125.582123950875</v>
      </c>
      <c r="X105">
        <v>131.03832053846401</v>
      </c>
      <c r="Y105">
        <v>760.37236606758802</v>
      </c>
      <c r="Z105">
        <v>138.66556024209899</v>
      </c>
      <c r="AA105">
        <v>606.37271303597095</v>
      </c>
      <c r="AB105">
        <v>868.76272974342498</v>
      </c>
      <c r="AC105">
        <v>617.47851440606803</v>
      </c>
      <c r="AD105">
        <v>738.00966877153701</v>
      </c>
      <c r="AE105">
        <v>700.48779276304595</v>
      </c>
      <c r="AF105">
        <v>502.16164918991302</v>
      </c>
      <c r="AG105">
        <v>696.23649483360998</v>
      </c>
    </row>
    <row r="106" spans="1:33" x14ac:dyDescent="0.25">
      <c r="A106" s="1">
        <v>44157</v>
      </c>
      <c r="B106">
        <v>14270.416639433601</v>
      </c>
      <c r="C106">
        <v>11754.940351404</v>
      </c>
      <c r="D106">
        <v>13621.772915407901</v>
      </c>
      <c r="E106">
        <v>15244.3264432749</v>
      </c>
      <c r="F106">
        <v>15466.389073975301</v>
      </c>
      <c r="G106">
        <v>14734.7101500268</v>
      </c>
      <c r="H106">
        <v>27396.7123744048</v>
      </c>
      <c r="I106">
        <v>19473.114487816001</v>
      </c>
      <c r="J106">
        <v>2112.9877646663599</v>
      </c>
      <c r="K106">
        <v>2213.1384688354401</v>
      </c>
      <c r="L106">
        <v>912.01267480292802</v>
      </c>
      <c r="M106">
        <v>12804.2409419868</v>
      </c>
      <c r="N106">
        <v>3159.5895595126199</v>
      </c>
      <c r="O106">
        <v>843.74961517914096</v>
      </c>
      <c r="P106">
        <v>2605.7213051046401</v>
      </c>
      <c r="Q106">
        <v>10537.3591301251</v>
      </c>
      <c r="R106">
        <v>1056.88645201182</v>
      </c>
      <c r="S106">
        <v>224.624828112757</v>
      </c>
      <c r="T106">
        <v>278.48065180403199</v>
      </c>
      <c r="U106">
        <v>125.604173509842</v>
      </c>
      <c r="V106">
        <v>192.18020457830499</v>
      </c>
      <c r="W106">
        <v>125.477910854412</v>
      </c>
      <c r="X106">
        <v>135.50521350707001</v>
      </c>
      <c r="Y106">
        <v>745.15683293795098</v>
      </c>
      <c r="Z106">
        <v>139.87660122697699</v>
      </c>
      <c r="AA106">
        <v>595.71613346658603</v>
      </c>
      <c r="AB106">
        <v>856.85825224025905</v>
      </c>
      <c r="AC106">
        <v>618.01953483585203</v>
      </c>
      <c r="AD106">
        <v>744.86892665634502</v>
      </c>
      <c r="AE106">
        <v>680.934969570465</v>
      </c>
      <c r="AF106">
        <v>506.97824445616197</v>
      </c>
      <c r="AG106">
        <v>683.76116705569598</v>
      </c>
    </row>
    <row r="107" spans="1:33" x14ac:dyDescent="0.25">
      <c r="A107" s="1">
        <v>44158</v>
      </c>
      <c r="B107">
        <v>14937.922092790701</v>
      </c>
      <c r="C107">
        <v>11910.6671403741</v>
      </c>
      <c r="D107">
        <v>13748.21176532</v>
      </c>
      <c r="E107">
        <v>15361.3674459187</v>
      </c>
      <c r="F107">
        <v>15515.8303981029</v>
      </c>
      <c r="G107">
        <v>14761.869964539599</v>
      </c>
      <c r="H107">
        <v>27180.416720135501</v>
      </c>
      <c r="I107">
        <v>19336.702558463301</v>
      </c>
      <c r="J107">
        <v>2119.4705962205799</v>
      </c>
      <c r="K107">
        <v>2206.8172825168999</v>
      </c>
      <c r="L107">
        <v>923.37850088086498</v>
      </c>
      <c r="M107">
        <v>12781.0425724298</v>
      </c>
      <c r="N107">
        <v>2902.5505627341699</v>
      </c>
      <c r="O107">
        <v>901.112534731496</v>
      </c>
      <c r="P107">
        <v>2577.2634953730999</v>
      </c>
      <c r="Q107">
        <v>10566.079984301799</v>
      </c>
      <c r="R107">
        <v>1106.1071859952799</v>
      </c>
      <c r="S107">
        <v>226.44122402787801</v>
      </c>
      <c r="T107">
        <v>252.153137416059</v>
      </c>
      <c r="U107">
        <v>125.34200270596</v>
      </c>
      <c r="V107">
        <v>177.125756530297</v>
      </c>
      <c r="W107">
        <v>131.40034276726999</v>
      </c>
      <c r="X107">
        <v>134.052154112323</v>
      </c>
      <c r="Y107">
        <v>719.29235976774396</v>
      </c>
      <c r="Z107">
        <v>139.554073292032</v>
      </c>
      <c r="AA107">
        <v>593.62657928160604</v>
      </c>
      <c r="AB107">
        <v>821.45817291547405</v>
      </c>
      <c r="AC107">
        <v>618.50632578531497</v>
      </c>
      <c r="AD107">
        <v>751.89056496409</v>
      </c>
      <c r="AE107">
        <v>688.83259617443105</v>
      </c>
      <c r="AF107">
        <v>509.60896552062502</v>
      </c>
      <c r="AG107">
        <v>667.229562145866</v>
      </c>
    </row>
    <row r="108" spans="1:33" x14ac:dyDescent="0.25">
      <c r="A108" s="1">
        <v>44159</v>
      </c>
      <c r="B108">
        <v>15452.6479991335</v>
      </c>
      <c r="C108">
        <v>11079.5700082365</v>
      </c>
      <c r="D108">
        <v>12779.974357662701</v>
      </c>
      <c r="E108">
        <v>15399.278462009601</v>
      </c>
      <c r="F108">
        <v>15504.121670852501</v>
      </c>
      <c r="G108">
        <v>14727.337188143199</v>
      </c>
      <c r="H108">
        <v>27043.801261410801</v>
      </c>
      <c r="I108">
        <v>19265.2715584537</v>
      </c>
      <c r="J108">
        <v>2122.9059428976698</v>
      </c>
      <c r="K108">
        <v>2186.4898516538101</v>
      </c>
      <c r="L108">
        <v>938.934534359022</v>
      </c>
      <c r="M108">
        <v>12696.731204056499</v>
      </c>
      <c r="N108">
        <v>2742.1474641397099</v>
      </c>
      <c r="O108">
        <v>901.494666031939</v>
      </c>
      <c r="P108">
        <v>2532.6529422502399</v>
      </c>
      <c r="Q108">
        <v>10411.187707209199</v>
      </c>
      <c r="R108">
        <v>1111.7929342048001</v>
      </c>
      <c r="S108">
        <v>227.751745817217</v>
      </c>
      <c r="T108">
        <v>233.386858320139</v>
      </c>
      <c r="U108">
        <v>126.358202666034</v>
      </c>
      <c r="V108">
        <v>180.26365681342901</v>
      </c>
      <c r="W108">
        <v>135.78991447696399</v>
      </c>
      <c r="X108">
        <v>135.217704616791</v>
      </c>
      <c r="Y108">
        <v>689.24275576989498</v>
      </c>
      <c r="Z108">
        <v>138.883891412764</v>
      </c>
      <c r="AA108">
        <v>602.51471283091598</v>
      </c>
      <c r="AB108">
        <v>794.00751172123796</v>
      </c>
      <c r="AC108">
        <v>622.849124566201</v>
      </c>
      <c r="AD108">
        <v>754.70513144983101</v>
      </c>
      <c r="AE108">
        <v>698.21815727492299</v>
      </c>
      <c r="AF108">
        <v>513.96602173560404</v>
      </c>
      <c r="AG108">
        <v>658.55372916752901</v>
      </c>
    </row>
    <row r="109" spans="1:33" x14ac:dyDescent="0.25">
      <c r="A109" s="1">
        <v>44160</v>
      </c>
      <c r="B109">
        <v>15752.1366219597</v>
      </c>
      <c r="C109">
        <v>9960.3592207430302</v>
      </c>
      <c r="D109">
        <v>12145.0711895527</v>
      </c>
      <c r="E109">
        <v>15338.3881284664</v>
      </c>
      <c r="F109">
        <v>15666.7569622848</v>
      </c>
      <c r="G109">
        <v>14768.1688673727</v>
      </c>
      <c r="H109">
        <v>26965.786091618302</v>
      </c>
      <c r="I109">
        <v>19254.493891780599</v>
      </c>
      <c r="J109">
        <v>2132.4495966834902</v>
      </c>
      <c r="K109">
        <v>2171.8845634457098</v>
      </c>
      <c r="L109">
        <v>966.76307860492295</v>
      </c>
      <c r="M109">
        <v>12709.0626605613</v>
      </c>
      <c r="N109">
        <v>2736.4515107044799</v>
      </c>
      <c r="O109">
        <v>902.20338231738003</v>
      </c>
      <c r="P109">
        <v>2521.4843492773002</v>
      </c>
      <c r="Q109">
        <v>10532.877851273601</v>
      </c>
      <c r="R109">
        <v>1133.7450191477301</v>
      </c>
      <c r="S109">
        <v>229.16616500226399</v>
      </c>
      <c r="T109">
        <v>218.78677505756599</v>
      </c>
      <c r="U109">
        <v>133.068940345832</v>
      </c>
      <c r="V109">
        <v>179.923633471882</v>
      </c>
      <c r="W109">
        <v>132.05808786124601</v>
      </c>
      <c r="X109">
        <v>142.11965659730899</v>
      </c>
      <c r="Y109">
        <v>737.21244151727797</v>
      </c>
      <c r="Z109">
        <v>138.32960609082701</v>
      </c>
      <c r="AA109">
        <v>610.02045068074904</v>
      </c>
      <c r="AB109">
        <v>822.45630997274498</v>
      </c>
      <c r="AC109">
        <v>625.88357423361299</v>
      </c>
      <c r="AD109">
        <v>765.50544270752005</v>
      </c>
      <c r="AE109">
        <v>700.01809367529904</v>
      </c>
      <c r="AF109">
        <v>516.74549115135005</v>
      </c>
      <c r="AG109">
        <v>654.63648233871095</v>
      </c>
    </row>
    <row r="110" spans="1:33" x14ac:dyDescent="0.25">
      <c r="A110" s="1">
        <v>44161</v>
      </c>
      <c r="B110">
        <v>15450.9267660101</v>
      </c>
      <c r="C110">
        <v>9927.2428330517796</v>
      </c>
      <c r="D110">
        <v>11729.301092367399</v>
      </c>
      <c r="E110">
        <v>14996.296084314699</v>
      </c>
      <c r="F110">
        <v>15299.082457799001</v>
      </c>
      <c r="G110">
        <v>14015.802085200299</v>
      </c>
      <c r="H110">
        <v>25908.535940182701</v>
      </c>
      <c r="I110">
        <v>19225.472049125001</v>
      </c>
      <c r="J110">
        <v>2128.0492973662799</v>
      </c>
      <c r="K110">
        <v>2042.3015391563999</v>
      </c>
      <c r="L110">
        <v>855.81997650939002</v>
      </c>
      <c r="M110">
        <v>11755.825859583299</v>
      </c>
      <c r="N110">
        <v>2090.9873543766598</v>
      </c>
      <c r="O110">
        <v>837.16114093635701</v>
      </c>
      <c r="P110">
        <v>2290.7633385480199</v>
      </c>
      <c r="Q110">
        <v>9750.0098369581901</v>
      </c>
      <c r="R110">
        <v>1063.01803139565</v>
      </c>
      <c r="S110">
        <v>229.761564313788</v>
      </c>
      <c r="T110">
        <v>203.41009741501</v>
      </c>
      <c r="U110">
        <v>129.70124197510799</v>
      </c>
      <c r="V110">
        <v>170.64049458523101</v>
      </c>
      <c r="W110">
        <v>132.19965745761999</v>
      </c>
      <c r="X110">
        <v>144.928970759762</v>
      </c>
      <c r="Y110">
        <v>710.14943813717002</v>
      </c>
      <c r="Z110">
        <v>136.72537799533501</v>
      </c>
      <c r="AA110">
        <v>605.96174017418502</v>
      </c>
      <c r="AB110">
        <v>772.49986799067597</v>
      </c>
      <c r="AC110">
        <v>628.67076404583099</v>
      </c>
      <c r="AD110">
        <v>714.59291119175805</v>
      </c>
      <c r="AE110">
        <v>744.70467120485102</v>
      </c>
      <c r="AF110">
        <v>522.20438828283602</v>
      </c>
      <c r="AG110">
        <v>655.10436747786105</v>
      </c>
    </row>
    <row r="111" spans="1:33" x14ac:dyDescent="0.25">
      <c r="A111" s="1">
        <v>44162</v>
      </c>
      <c r="B111">
        <v>15007.8098484782</v>
      </c>
      <c r="C111">
        <v>9396.5134484135197</v>
      </c>
      <c r="D111">
        <v>11491.0386857166</v>
      </c>
      <c r="E111">
        <v>14892.2482132719</v>
      </c>
      <c r="F111">
        <v>15249.447198943801</v>
      </c>
      <c r="G111">
        <v>14828.5908750748</v>
      </c>
      <c r="H111">
        <v>27309.538328528899</v>
      </c>
      <c r="I111">
        <v>19138.536099177101</v>
      </c>
      <c r="J111">
        <v>2137.1315595310002</v>
      </c>
      <c r="K111">
        <v>2089.7913859750602</v>
      </c>
      <c r="L111">
        <v>862.37372228934498</v>
      </c>
      <c r="M111">
        <v>12882.934883628701</v>
      </c>
      <c r="N111">
        <v>3280.6370453443401</v>
      </c>
      <c r="O111">
        <v>809.71061799560505</v>
      </c>
      <c r="P111">
        <v>2402.3972733953801</v>
      </c>
      <c r="Q111">
        <v>10761.048597311299</v>
      </c>
      <c r="R111">
        <v>1079.64648896631</v>
      </c>
      <c r="S111">
        <v>229.91197085082999</v>
      </c>
      <c r="T111">
        <v>239.025604664692</v>
      </c>
      <c r="U111">
        <v>130.96636943374901</v>
      </c>
      <c r="V111">
        <v>250.39811438472401</v>
      </c>
      <c r="W111">
        <v>132.214260213074</v>
      </c>
      <c r="X111">
        <v>167.169271322421</v>
      </c>
      <c r="Y111">
        <v>742.40078123256205</v>
      </c>
      <c r="Z111">
        <v>135.052100286512</v>
      </c>
      <c r="AA111">
        <v>597.49651668383206</v>
      </c>
      <c r="AB111">
        <v>816.42568010136097</v>
      </c>
      <c r="AC111">
        <v>631.30705299987505</v>
      </c>
      <c r="AD111">
        <v>716.606292769427</v>
      </c>
      <c r="AE111">
        <v>762.63994356278602</v>
      </c>
      <c r="AF111">
        <v>524.94665408142896</v>
      </c>
      <c r="AG111">
        <v>655.03050890906002</v>
      </c>
    </row>
    <row r="112" spans="1:33" x14ac:dyDescent="0.25">
      <c r="A112" s="1">
        <v>44163</v>
      </c>
      <c r="B112">
        <v>14662.430554926301</v>
      </c>
      <c r="C112">
        <v>10116.4515972637</v>
      </c>
      <c r="D112">
        <v>11053.3953967992</v>
      </c>
      <c r="E112">
        <v>14562.383320335201</v>
      </c>
      <c r="F112">
        <v>15751.6625122532</v>
      </c>
      <c r="G112">
        <v>15137.8116442053</v>
      </c>
      <c r="H112">
        <v>27323.577532181502</v>
      </c>
      <c r="I112">
        <v>19118.429365941502</v>
      </c>
      <c r="J112">
        <v>2129.45058970432</v>
      </c>
      <c r="K112">
        <v>2082.2814214796699</v>
      </c>
      <c r="L112">
        <v>887.41597774338004</v>
      </c>
      <c r="M112">
        <v>13181.5182993871</v>
      </c>
      <c r="N112">
        <v>3560.9534906571898</v>
      </c>
      <c r="O112">
        <v>788.21034193275</v>
      </c>
      <c r="P112">
        <v>2398.3600729013701</v>
      </c>
      <c r="Q112">
        <v>11066.9490999103</v>
      </c>
      <c r="R112">
        <v>1064.2393695292601</v>
      </c>
      <c r="S112">
        <v>229.51664767376701</v>
      </c>
      <c r="T112">
        <v>258.85819770414599</v>
      </c>
      <c r="U112">
        <v>132.17847508312099</v>
      </c>
      <c r="V112">
        <v>271.18831032240098</v>
      </c>
      <c r="W112">
        <v>135.14380201193401</v>
      </c>
      <c r="X112">
        <v>166.613913873716</v>
      </c>
      <c r="Y112">
        <v>733.933373420659</v>
      </c>
      <c r="Z112">
        <v>133.97458648670701</v>
      </c>
      <c r="AA112">
        <v>601.08300817109705</v>
      </c>
      <c r="AB112">
        <v>805.28730616500002</v>
      </c>
      <c r="AC112">
        <v>634.65461842235698</v>
      </c>
      <c r="AD112">
        <v>716.26754951128703</v>
      </c>
      <c r="AE112">
        <v>761.13979008544698</v>
      </c>
      <c r="AF112">
        <v>526.69586503323603</v>
      </c>
      <c r="AG112">
        <v>654.70382051608499</v>
      </c>
    </row>
    <row r="113" spans="1:33" x14ac:dyDescent="0.25">
      <c r="A113" s="1">
        <v>44164</v>
      </c>
      <c r="B113">
        <v>14180.5300472444</v>
      </c>
      <c r="C113">
        <v>10443.490246198</v>
      </c>
      <c r="D113">
        <v>10824.301936661999</v>
      </c>
      <c r="E113">
        <v>14291.6123909939</v>
      </c>
      <c r="F113">
        <v>15976.7706222989</v>
      </c>
      <c r="G113">
        <v>15823.4562092084</v>
      </c>
      <c r="H113">
        <v>27945.516796227301</v>
      </c>
      <c r="I113">
        <v>19135.3300868644</v>
      </c>
      <c r="J113">
        <v>2122.3379988433699</v>
      </c>
      <c r="K113">
        <v>2156.4303968383401</v>
      </c>
      <c r="L113">
        <v>906.52276967688101</v>
      </c>
      <c r="M113">
        <v>13913.2407074605</v>
      </c>
      <c r="N113">
        <v>4175.7508000636899</v>
      </c>
      <c r="O113">
        <v>810.12215461088101</v>
      </c>
      <c r="P113">
        <v>2529.9419491347498</v>
      </c>
      <c r="Q113">
        <v>11817.2794127214</v>
      </c>
      <c r="R113">
        <v>1075.0049104538</v>
      </c>
      <c r="S113">
        <v>228.331806647164</v>
      </c>
      <c r="T113">
        <v>322.775133987326</v>
      </c>
      <c r="U113">
        <v>134.24074267863901</v>
      </c>
      <c r="V113">
        <v>348.93405806109303</v>
      </c>
      <c r="W113">
        <v>135.54562457630001</v>
      </c>
      <c r="X113">
        <v>198.95569383700899</v>
      </c>
      <c r="Y113">
        <v>755.10634719541997</v>
      </c>
      <c r="Z113">
        <v>134.40606502797701</v>
      </c>
      <c r="AA113">
        <v>601.73224558725599</v>
      </c>
      <c r="AB113">
        <v>825.37101124258595</v>
      </c>
      <c r="AC113">
        <v>640.57406842059595</v>
      </c>
      <c r="AD113">
        <v>731.22785437111497</v>
      </c>
      <c r="AE113">
        <v>741.80592012222803</v>
      </c>
      <c r="AF113">
        <v>528.25542333626095</v>
      </c>
      <c r="AG113">
        <v>652.46270083535501</v>
      </c>
    </row>
    <row r="114" spans="1:33" x14ac:dyDescent="0.25">
      <c r="A114" s="1">
        <v>44165</v>
      </c>
      <c r="B114">
        <v>13872.1484162822</v>
      </c>
      <c r="C114">
        <v>11140.008844083801</v>
      </c>
      <c r="D114">
        <v>10561.2030723523</v>
      </c>
      <c r="E114">
        <v>13998.503942405499</v>
      </c>
      <c r="F114">
        <v>16352.3006514271</v>
      </c>
      <c r="G114">
        <v>15917.1109951731</v>
      </c>
      <c r="H114">
        <v>27998.948702002599</v>
      </c>
      <c r="I114">
        <v>19247.521373719999</v>
      </c>
      <c r="J114">
        <v>2115.1617986676501</v>
      </c>
      <c r="K114">
        <v>2179.89637363161</v>
      </c>
      <c r="L114">
        <v>913.16652390952004</v>
      </c>
      <c r="M114">
        <v>14122.989309147701</v>
      </c>
      <c r="N114">
        <v>4383.7459048054297</v>
      </c>
      <c r="O114">
        <v>808.65104017560805</v>
      </c>
      <c r="P114">
        <v>2573.78904173006</v>
      </c>
      <c r="Q114">
        <v>11993.278113681499</v>
      </c>
      <c r="R114">
        <v>1063.4722274815599</v>
      </c>
      <c r="S114">
        <v>226.57603530416401</v>
      </c>
      <c r="T114">
        <v>351.96553718361901</v>
      </c>
      <c r="U114">
        <v>134.74753915923699</v>
      </c>
      <c r="V114">
        <v>375.15212457964299</v>
      </c>
      <c r="W114">
        <v>129.201771323044</v>
      </c>
      <c r="X114">
        <v>202.44472420857801</v>
      </c>
      <c r="Y114">
        <v>753.12243175401102</v>
      </c>
      <c r="Z114">
        <v>136.20287301931799</v>
      </c>
      <c r="AA114">
        <v>605.60744428106295</v>
      </c>
      <c r="AB114">
        <v>825.028472715053</v>
      </c>
      <c r="AC114">
        <v>653.14614532904295</v>
      </c>
      <c r="AD114">
        <v>731.51000114174894</v>
      </c>
      <c r="AE114">
        <v>763.89065141412698</v>
      </c>
      <c r="AF114">
        <v>530.36927699411603</v>
      </c>
      <c r="AG114">
        <v>658.31144836673502</v>
      </c>
    </row>
    <row r="115" spans="1:33" x14ac:dyDescent="0.25">
      <c r="A115" s="1">
        <v>44166</v>
      </c>
      <c r="B115">
        <v>13525.516730503499</v>
      </c>
      <c r="C115">
        <v>11460.0397517412</v>
      </c>
      <c r="D115">
        <v>10522.161864056599</v>
      </c>
      <c r="E115">
        <v>13754.746306422399</v>
      </c>
      <c r="F115">
        <v>16227.529207998001</v>
      </c>
      <c r="G115">
        <v>15834.240973776899</v>
      </c>
      <c r="H115">
        <v>27657.6482079614</v>
      </c>
      <c r="I115">
        <v>19315.951157270902</v>
      </c>
      <c r="J115">
        <v>2102.6335114619501</v>
      </c>
      <c r="K115">
        <v>2199.5184913399598</v>
      </c>
      <c r="L115">
        <v>896.28607015974205</v>
      </c>
      <c r="M115">
        <v>14102.5246855477</v>
      </c>
      <c r="N115">
        <v>4480.93492436617</v>
      </c>
      <c r="O115">
        <v>797.08165262477996</v>
      </c>
      <c r="P115">
        <v>2606.13300112662</v>
      </c>
      <c r="Q115">
        <v>11973.7070328548</v>
      </c>
      <c r="R115">
        <v>1040.72160778278</v>
      </c>
      <c r="S115">
        <v>224.78662270073701</v>
      </c>
      <c r="T115">
        <v>381.86340709956301</v>
      </c>
      <c r="U115">
        <v>126.969228433156</v>
      </c>
      <c r="V115">
        <v>377.74207648020001</v>
      </c>
      <c r="W115">
        <v>134.186625190966</v>
      </c>
      <c r="X115">
        <v>189.35132638279501</v>
      </c>
      <c r="Y115">
        <v>777.47014945661795</v>
      </c>
      <c r="Z115">
        <v>136.481444228969</v>
      </c>
      <c r="AA115">
        <v>611.77721864395596</v>
      </c>
      <c r="AB115">
        <v>857.96602225575202</v>
      </c>
      <c r="AC115">
        <v>668.25614638910895</v>
      </c>
      <c r="AD115">
        <v>726.72986957928902</v>
      </c>
      <c r="AE115">
        <v>758.567040531148</v>
      </c>
      <c r="AF115">
        <v>534.97804981040497</v>
      </c>
      <c r="AG115">
        <v>667.380043489635</v>
      </c>
    </row>
    <row r="116" spans="1:33" x14ac:dyDescent="0.25">
      <c r="A116" s="1">
        <v>44167</v>
      </c>
      <c r="B116">
        <v>13210.2938006154</v>
      </c>
      <c r="C116">
        <v>11273.9643811806</v>
      </c>
      <c r="D116">
        <v>10669.931094683299</v>
      </c>
      <c r="E116">
        <v>13642.523373476</v>
      </c>
      <c r="F116">
        <v>16295.2925708415</v>
      </c>
      <c r="G116">
        <v>16236.131637140999</v>
      </c>
      <c r="H116">
        <v>28022.614998057099</v>
      </c>
      <c r="I116">
        <v>19341.3176928678</v>
      </c>
      <c r="J116">
        <v>2099.4777527198498</v>
      </c>
      <c r="K116">
        <v>2348.07659728421</v>
      </c>
      <c r="L116">
        <v>919.89442087787404</v>
      </c>
      <c r="M116">
        <v>14542.5266562246</v>
      </c>
      <c r="N116">
        <v>4814.4887286323101</v>
      </c>
      <c r="O116">
        <v>861.42255544291595</v>
      </c>
      <c r="P116">
        <v>2809.2798999338902</v>
      </c>
      <c r="Q116">
        <v>12357.992437999401</v>
      </c>
      <c r="R116">
        <v>1099.82628122959</v>
      </c>
      <c r="S116">
        <v>222.65395033756201</v>
      </c>
      <c r="T116">
        <v>412.34714139939803</v>
      </c>
      <c r="U116">
        <v>126.65258218622201</v>
      </c>
      <c r="V116">
        <v>369.189409506949</v>
      </c>
      <c r="W116">
        <v>126.420491338776</v>
      </c>
      <c r="X116">
        <v>172.11569903522499</v>
      </c>
      <c r="Y116">
        <v>813.248489905018</v>
      </c>
      <c r="Z116">
        <v>137.42592995433699</v>
      </c>
      <c r="AA116">
        <v>615.54422815668704</v>
      </c>
      <c r="AB116">
        <v>881.005093392199</v>
      </c>
      <c r="AC116">
        <v>675.00368460165396</v>
      </c>
      <c r="AD116">
        <v>756.33424569109104</v>
      </c>
      <c r="AE116">
        <v>756.75480678895201</v>
      </c>
      <c r="AF116">
        <v>536.88276329108999</v>
      </c>
      <c r="AG116">
        <v>675.94490441191203</v>
      </c>
    </row>
    <row r="117" spans="1:33" x14ac:dyDescent="0.25">
      <c r="A117" s="1">
        <v>44168</v>
      </c>
      <c r="B117">
        <v>13059.380877268801</v>
      </c>
      <c r="C117">
        <v>11531.606540304199</v>
      </c>
      <c r="D117">
        <v>10767.5673205321</v>
      </c>
      <c r="E117">
        <v>13429.9547256446</v>
      </c>
      <c r="F117">
        <v>16496.047686866001</v>
      </c>
      <c r="G117">
        <v>16050.157437006699</v>
      </c>
      <c r="H117">
        <v>27680.593837009001</v>
      </c>
      <c r="I117">
        <v>19448.340716968101</v>
      </c>
      <c r="J117">
        <v>2098.4690122992602</v>
      </c>
      <c r="K117">
        <v>2359.2856452097199</v>
      </c>
      <c r="L117">
        <v>941.43776124692897</v>
      </c>
      <c r="M117">
        <v>14385.325657272</v>
      </c>
      <c r="N117">
        <v>4597.5992271817204</v>
      </c>
      <c r="O117">
        <v>890.27528932998496</v>
      </c>
      <c r="P117">
        <v>2829.7093092104201</v>
      </c>
      <c r="Q117">
        <v>12161.2984489829</v>
      </c>
      <c r="R117">
        <v>1121.31397687204</v>
      </c>
      <c r="S117">
        <v>220.955002562549</v>
      </c>
      <c r="T117">
        <v>375.31150784354003</v>
      </c>
      <c r="U117">
        <v>126.962055390842</v>
      </c>
      <c r="V117">
        <v>307.78530587500597</v>
      </c>
      <c r="W117">
        <v>124.89386188100799</v>
      </c>
      <c r="X117">
        <v>142.28226975857899</v>
      </c>
      <c r="Y117">
        <v>795.92772851057703</v>
      </c>
      <c r="Z117">
        <v>138.340529608472</v>
      </c>
      <c r="AA117">
        <v>623.11143134060706</v>
      </c>
      <c r="AB117">
        <v>871.12601041038295</v>
      </c>
      <c r="AC117">
        <v>681.684557871842</v>
      </c>
      <c r="AD117">
        <v>770.61251826338696</v>
      </c>
      <c r="AE117">
        <v>768.03801740165204</v>
      </c>
      <c r="AF117">
        <v>539.97477270519403</v>
      </c>
      <c r="AG117">
        <v>685.66849541004296</v>
      </c>
    </row>
    <row r="118" spans="1:33" x14ac:dyDescent="0.25">
      <c r="A118" s="1">
        <v>44169</v>
      </c>
      <c r="B118">
        <v>12852.379977841299</v>
      </c>
      <c r="C118">
        <v>11400.199622181401</v>
      </c>
      <c r="D118">
        <v>10902.711581948501</v>
      </c>
      <c r="E118">
        <v>13357.412698962</v>
      </c>
      <c r="F118">
        <v>16200.0904121439</v>
      </c>
      <c r="G118">
        <v>15871.432169338899</v>
      </c>
      <c r="H118">
        <v>27711.6777371674</v>
      </c>
      <c r="I118">
        <v>19424.605578099599</v>
      </c>
      <c r="J118">
        <v>2099.4595194328399</v>
      </c>
      <c r="K118">
        <v>2398.14771964499</v>
      </c>
      <c r="L118">
        <v>954.47868467655906</v>
      </c>
      <c r="M118">
        <v>14259.3503138462</v>
      </c>
      <c r="N118">
        <v>4493.3937346448702</v>
      </c>
      <c r="O118">
        <v>906.04154891032499</v>
      </c>
      <c r="P118">
        <v>2863.8403786244999</v>
      </c>
      <c r="Q118">
        <v>11976.3335687951</v>
      </c>
      <c r="R118">
        <v>1146.5197172959099</v>
      </c>
      <c r="S118">
        <v>219.64473794573999</v>
      </c>
      <c r="T118">
        <v>372.54618729429501</v>
      </c>
      <c r="U118">
        <v>126.61632728121999</v>
      </c>
      <c r="V118">
        <v>301.57276371866698</v>
      </c>
      <c r="W118">
        <v>124.24903494194599</v>
      </c>
      <c r="X118">
        <v>135.01103294260699</v>
      </c>
      <c r="Y118">
        <v>797.51839407300395</v>
      </c>
      <c r="Z118">
        <v>139.649982518087</v>
      </c>
      <c r="AA118">
        <v>626.51912270743298</v>
      </c>
      <c r="AB118">
        <v>878.95021680638604</v>
      </c>
      <c r="AC118">
        <v>687.793972574392</v>
      </c>
      <c r="AD118">
        <v>785.45186608041604</v>
      </c>
      <c r="AE118">
        <v>779.92401015208304</v>
      </c>
      <c r="AF118">
        <v>543.63903535258498</v>
      </c>
      <c r="AG118">
        <v>694.265054693553</v>
      </c>
    </row>
    <row r="119" spans="1:33" x14ac:dyDescent="0.25">
      <c r="A119" s="1">
        <v>44170</v>
      </c>
      <c r="B119">
        <v>12794.1067689839</v>
      </c>
      <c r="C119">
        <v>11291.6220232346</v>
      </c>
      <c r="D119">
        <v>11005.5604734401</v>
      </c>
      <c r="E119">
        <v>13331.2628334814</v>
      </c>
      <c r="F119">
        <v>16250.4390148891</v>
      </c>
      <c r="G119">
        <v>16192.227809391101</v>
      </c>
      <c r="H119">
        <v>28014.401926958399</v>
      </c>
      <c r="I119">
        <v>19439.489149237201</v>
      </c>
      <c r="J119">
        <v>2103.3476127691401</v>
      </c>
      <c r="K119">
        <v>2416.8940990424298</v>
      </c>
      <c r="L119">
        <v>977.40270473966098</v>
      </c>
      <c r="M119">
        <v>14437.1292557181</v>
      </c>
      <c r="N119">
        <v>4574.7735569824999</v>
      </c>
      <c r="O119">
        <v>933.11712900619898</v>
      </c>
      <c r="P119">
        <v>2908.2114243864098</v>
      </c>
      <c r="Q119">
        <v>12087.949801218499</v>
      </c>
      <c r="R119">
        <v>1169.7610961225901</v>
      </c>
      <c r="S119">
        <v>218.178418172742</v>
      </c>
      <c r="T119">
        <v>365.27534879524001</v>
      </c>
      <c r="U119">
        <v>127.663286295654</v>
      </c>
      <c r="V119">
        <v>281.93013113128001</v>
      </c>
      <c r="W119">
        <v>121.302972870838</v>
      </c>
      <c r="X119">
        <v>130.03923664017299</v>
      </c>
      <c r="Y119">
        <v>835.95207472035804</v>
      </c>
      <c r="Z119">
        <v>141.01912062553799</v>
      </c>
      <c r="AA119">
        <v>627.96296352829904</v>
      </c>
      <c r="AB119">
        <v>898.87832519767301</v>
      </c>
      <c r="AC119">
        <v>693.12810551934399</v>
      </c>
      <c r="AD119">
        <v>806.02807845543305</v>
      </c>
      <c r="AE119">
        <v>790.93645346128903</v>
      </c>
      <c r="AF119">
        <v>546.61572364400001</v>
      </c>
      <c r="AG119">
        <v>701.59791007668002</v>
      </c>
    </row>
    <row r="120" spans="1:33" x14ac:dyDescent="0.25">
      <c r="A120" s="1">
        <v>44171</v>
      </c>
      <c r="B120">
        <v>12775.067156433999</v>
      </c>
      <c r="C120">
        <v>11443.1415682886</v>
      </c>
      <c r="D120">
        <v>11005.4879728339</v>
      </c>
      <c r="E120">
        <v>13076.835507755601</v>
      </c>
      <c r="F120">
        <v>16181.1367020865</v>
      </c>
      <c r="G120">
        <v>15721.1747582852</v>
      </c>
      <c r="H120">
        <v>27577.213734943802</v>
      </c>
      <c r="I120">
        <v>19432.702806906502</v>
      </c>
      <c r="J120">
        <v>2089.6025538516001</v>
      </c>
      <c r="K120">
        <v>2266.2047568979701</v>
      </c>
      <c r="L120">
        <v>974.540323742591</v>
      </c>
      <c r="M120">
        <v>13878.040227392799</v>
      </c>
      <c r="N120">
        <v>3955.1432085410702</v>
      </c>
      <c r="O120">
        <v>926.65024788102096</v>
      </c>
      <c r="P120">
        <v>2694.9000523630202</v>
      </c>
      <c r="Q120">
        <v>11566.522977041701</v>
      </c>
      <c r="R120">
        <v>1141.04578504548</v>
      </c>
      <c r="S120">
        <v>217.015336398904</v>
      </c>
      <c r="T120">
        <v>296.72786065421599</v>
      </c>
      <c r="U120">
        <v>127.445123507464</v>
      </c>
      <c r="V120">
        <v>197.13308022746199</v>
      </c>
      <c r="W120">
        <v>129.07806751975701</v>
      </c>
      <c r="X120">
        <v>128.17702028840401</v>
      </c>
      <c r="Y120">
        <v>825.49691267868695</v>
      </c>
      <c r="Z120">
        <v>142.31540137879901</v>
      </c>
      <c r="AA120">
        <v>630.20693918627899</v>
      </c>
      <c r="AB120">
        <v>897.30611079150901</v>
      </c>
      <c r="AC120">
        <v>699.918975331056</v>
      </c>
      <c r="AD120">
        <v>788.17590308871399</v>
      </c>
      <c r="AE120">
        <v>781.69896459989297</v>
      </c>
      <c r="AF120">
        <v>551.10751919075699</v>
      </c>
      <c r="AG120">
        <v>706.48025935220699</v>
      </c>
    </row>
    <row r="121" spans="1:33" x14ac:dyDescent="0.25">
      <c r="A121" s="1">
        <v>44172</v>
      </c>
      <c r="B121">
        <v>12740.285366598901</v>
      </c>
      <c r="C121">
        <v>11423.0784843853</v>
      </c>
      <c r="D121">
        <v>11045.9490067891</v>
      </c>
      <c r="E121">
        <v>12957.3125432418</v>
      </c>
      <c r="F121">
        <v>15812.9554513653</v>
      </c>
      <c r="G121">
        <v>15098.3761215798</v>
      </c>
      <c r="H121">
        <v>26912.332563856598</v>
      </c>
      <c r="I121">
        <v>19283.9759298032</v>
      </c>
      <c r="J121">
        <v>2078.1728462183901</v>
      </c>
      <c r="K121">
        <v>2154.2613747524101</v>
      </c>
      <c r="L121">
        <v>902.20308696724703</v>
      </c>
      <c r="M121">
        <v>13124.55994375</v>
      </c>
      <c r="N121">
        <v>3192.05516091448</v>
      </c>
      <c r="O121">
        <v>899.95308136598999</v>
      </c>
      <c r="P121">
        <v>2526.7505905653602</v>
      </c>
      <c r="Q121">
        <v>10829.6820745226</v>
      </c>
      <c r="R121">
        <v>1085.2824426413199</v>
      </c>
      <c r="S121">
        <v>216.34468436904899</v>
      </c>
      <c r="T121">
        <v>259.65141243312098</v>
      </c>
      <c r="U121">
        <v>127.162257696571</v>
      </c>
      <c r="V121">
        <v>168.253179990261</v>
      </c>
      <c r="W121">
        <v>137.12595428128299</v>
      </c>
      <c r="X121">
        <v>127.62616163871201</v>
      </c>
      <c r="Y121">
        <v>802.00294506634202</v>
      </c>
      <c r="Z121">
        <v>143.518646172281</v>
      </c>
      <c r="AA121">
        <v>634.597550900069</v>
      </c>
      <c r="AB121">
        <v>879.98173041842404</v>
      </c>
      <c r="AC121">
        <v>710.95034255576002</v>
      </c>
      <c r="AD121">
        <v>753.12565472871597</v>
      </c>
      <c r="AE121">
        <v>772.57775811919305</v>
      </c>
      <c r="AF121">
        <v>559.09886012465802</v>
      </c>
      <c r="AG121">
        <v>708.99429938433104</v>
      </c>
    </row>
    <row r="122" spans="1:33" x14ac:dyDescent="0.25">
      <c r="A122" s="1">
        <v>44173</v>
      </c>
      <c r="B122">
        <v>12728.127670436499</v>
      </c>
      <c r="C122">
        <v>10697.7795482452</v>
      </c>
      <c r="D122">
        <v>11069.6389881634</v>
      </c>
      <c r="E122">
        <v>13002.757613333601</v>
      </c>
      <c r="F122">
        <v>15840.4693210272</v>
      </c>
      <c r="G122">
        <v>15132.4576248063</v>
      </c>
      <c r="H122">
        <v>27151.5769248877</v>
      </c>
      <c r="I122">
        <v>19157.610989026602</v>
      </c>
      <c r="J122">
        <v>2065.4703924577302</v>
      </c>
      <c r="K122">
        <v>2088.6559584254801</v>
      </c>
      <c r="L122">
        <v>919.80698669715696</v>
      </c>
      <c r="M122">
        <v>13135.040632419799</v>
      </c>
      <c r="N122">
        <v>3287.1282527517601</v>
      </c>
      <c r="O122">
        <v>913.20006333541301</v>
      </c>
      <c r="P122">
        <v>2439.5867273234398</v>
      </c>
      <c r="Q122">
        <v>10886.7689689163</v>
      </c>
      <c r="R122">
        <v>1087.0154703476701</v>
      </c>
      <c r="S122">
        <v>215.26564657938499</v>
      </c>
      <c r="T122">
        <v>259.15619096269501</v>
      </c>
      <c r="U122">
        <v>127.534340937271</v>
      </c>
      <c r="V122">
        <v>227.83808442224199</v>
      </c>
      <c r="W122">
        <v>134.16529978860501</v>
      </c>
      <c r="X122">
        <v>146.75408239945</v>
      </c>
      <c r="Y122">
        <v>803.34579112578001</v>
      </c>
      <c r="Z122">
        <v>144.35490189210199</v>
      </c>
      <c r="AA122">
        <v>636.48741233879105</v>
      </c>
      <c r="AB122">
        <v>876.59644708507301</v>
      </c>
      <c r="AC122">
        <v>720.39944248971995</v>
      </c>
      <c r="AD122">
        <v>757.592673434365</v>
      </c>
      <c r="AE122">
        <v>783.49196890635005</v>
      </c>
      <c r="AF122">
        <v>565.02356266874301</v>
      </c>
      <c r="AG122">
        <v>709.36463382001796</v>
      </c>
    </row>
    <row r="123" spans="1:33" x14ac:dyDescent="0.25">
      <c r="A123" s="1">
        <v>44174</v>
      </c>
      <c r="B123">
        <v>12787.5876850693</v>
      </c>
      <c r="C123">
        <v>10435.4575433929</v>
      </c>
      <c r="D123">
        <v>11116.340011382001</v>
      </c>
      <c r="E123">
        <v>12999.9244759875</v>
      </c>
      <c r="F123">
        <v>15998.1771657031</v>
      </c>
      <c r="G123">
        <v>15230.1156820912</v>
      </c>
      <c r="H123">
        <v>27128.100550050902</v>
      </c>
      <c r="I123">
        <v>19120.185230009902</v>
      </c>
      <c r="J123">
        <v>2055.9865569199401</v>
      </c>
      <c r="K123">
        <v>2068.8343617164301</v>
      </c>
      <c r="L123">
        <v>949.36046499121403</v>
      </c>
      <c r="M123">
        <v>13120.511050613</v>
      </c>
      <c r="N123">
        <v>3287.7971378693801</v>
      </c>
      <c r="O123">
        <v>904.71938925132804</v>
      </c>
      <c r="P123">
        <v>2402.9067586238698</v>
      </c>
      <c r="Q123">
        <v>10909.706497637</v>
      </c>
      <c r="R123">
        <v>1082.48506046635</v>
      </c>
      <c r="S123">
        <v>214.102047182348</v>
      </c>
      <c r="T123">
        <v>254.78898022764301</v>
      </c>
      <c r="U123">
        <v>128.069944386016</v>
      </c>
      <c r="V123">
        <v>235.91260115948799</v>
      </c>
      <c r="W123">
        <v>140.13930807676201</v>
      </c>
      <c r="X123">
        <v>155.909878325687</v>
      </c>
      <c r="Y123">
        <v>817.737964362399</v>
      </c>
      <c r="Z123">
        <v>145.25218591199501</v>
      </c>
      <c r="AA123">
        <v>639.85018864683605</v>
      </c>
      <c r="AB123">
        <v>884.32061453055906</v>
      </c>
      <c r="AC123">
        <v>721.09590096370005</v>
      </c>
      <c r="AD123">
        <v>762.87723715197296</v>
      </c>
      <c r="AE123">
        <v>799.04443386397497</v>
      </c>
      <c r="AF123">
        <v>569.71505821640699</v>
      </c>
      <c r="AG123">
        <v>708.63270091174502</v>
      </c>
    </row>
    <row r="124" spans="1:33" x14ac:dyDescent="0.25">
      <c r="A124" s="1">
        <v>44175</v>
      </c>
      <c r="B124">
        <v>12865.753075467699</v>
      </c>
      <c r="C124">
        <v>10411.717466833299</v>
      </c>
      <c r="D124">
        <v>11107.194247519899</v>
      </c>
      <c r="E124">
        <v>13170.9415690564</v>
      </c>
      <c r="F124">
        <v>16441.451335980801</v>
      </c>
      <c r="G124">
        <v>16023.3301344141</v>
      </c>
      <c r="H124">
        <v>28035.6276268724</v>
      </c>
      <c r="I124">
        <v>19180.910926603101</v>
      </c>
      <c r="J124">
        <v>2072.14572896557</v>
      </c>
      <c r="K124">
        <v>2148.2165521081101</v>
      </c>
      <c r="L124">
        <v>974.63897223562901</v>
      </c>
      <c r="M124">
        <v>13894.1443452154</v>
      </c>
      <c r="N124">
        <v>3861.8526379715699</v>
      </c>
      <c r="O124">
        <v>968.64543165606597</v>
      </c>
      <c r="P124">
        <v>2512.7757727411899</v>
      </c>
      <c r="Q124">
        <v>11715.382571173301</v>
      </c>
      <c r="R124">
        <v>1129.9668221424199</v>
      </c>
      <c r="S124">
        <v>212.48076947485899</v>
      </c>
      <c r="T124">
        <v>297.12341991273701</v>
      </c>
      <c r="U124">
        <v>128.08513529575399</v>
      </c>
      <c r="V124">
        <v>292.74497837593498</v>
      </c>
      <c r="W124">
        <v>140.77335524653199</v>
      </c>
      <c r="X124">
        <v>172.97607763540699</v>
      </c>
      <c r="Y124">
        <v>842.17951615193101</v>
      </c>
      <c r="Z124">
        <v>145.99846591965999</v>
      </c>
      <c r="AA124">
        <v>637.79206294958306</v>
      </c>
      <c r="AB124">
        <v>912.68095029633798</v>
      </c>
      <c r="AC124">
        <v>719.37717351978301</v>
      </c>
      <c r="AD124">
        <v>787.32521007218998</v>
      </c>
      <c r="AE124">
        <v>801.14525109520503</v>
      </c>
      <c r="AF124">
        <v>571.85214866984597</v>
      </c>
      <c r="AG124">
        <v>705.72687948877297</v>
      </c>
    </row>
    <row r="125" spans="1:33" x14ac:dyDescent="0.25">
      <c r="A125" s="1">
        <v>44176</v>
      </c>
      <c r="B125">
        <v>12899.2910068725</v>
      </c>
      <c r="C125">
        <v>10990.612073050799</v>
      </c>
      <c r="D125">
        <v>10930.805855332799</v>
      </c>
      <c r="E125">
        <v>13181.029281008099</v>
      </c>
      <c r="F125">
        <v>16563.207933020101</v>
      </c>
      <c r="G125">
        <v>15771.3397778816</v>
      </c>
      <c r="H125">
        <v>27745.417603239101</v>
      </c>
      <c r="I125">
        <v>19350.356997633899</v>
      </c>
      <c r="J125">
        <v>2082.2393254334202</v>
      </c>
      <c r="K125">
        <v>2118.27013747613</v>
      </c>
      <c r="L125">
        <v>979.770214389128</v>
      </c>
      <c r="M125">
        <v>13806.384165551999</v>
      </c>
      <c r="N125">
        <v>3957.1170048962599</v>
      </c>
      <c r="O125">
        <v>935.84469374516596</v>
      </c>
      <c r="P125">
        <v>2451.6920036656202</v>
      </c>
      <c r="Q125">
        <v>11497.3433614243</v>
      </c>
      <c r="R125">
        <v>1118.48459651295</v>
      </c>
      <c r="S125">
        <v>212.041096069444</v>
      </c>
      <c r="T125">
        <v>305.75652721776601</v>
      </c>
      <c r="U125">
        <v>128.735745936369</v>
      </c>
      <c r="V125">
        <v>299.290391726986</v>
      </c>
      <c r="W125">
        <v>141.31794765474299</v>
      </c>
      <c r="X125">
        <v>173.780087406268</v>
      </c>
      <c r="Y125">
        <v>838.523127770114</v>
      </c>
      <c r="Z125">
        <v>147.85305274996099</v>
      </c>
      <c r="AA125">
        <v>644.76657350852395</v>
      </c>
      <c r="AB125">
        <v>900.76515652744797</v>
      </c>
      <c r="AC125">
        <v>717.94130719934697</v>
      </c>
      <c r="AD125">
        <v>788.92779328447602</v>
      </c>
      <c r="AE125">
        <v>821.80832120238199</v>
      </c>
      <c r="AF125">
        <v>578.54599671592905</v>
      </c>
      <c r="AG125">
        <v>705.54221177173497</v>
      </c>
    </row>
    <row r="126" spans="1:33" x14ac:dyDescent="0.25">
      <c r="A126" s="1">
        <v>44177</v>
      </c>
      <c r="B126">
        <v>12857.0960918214</v>
      </c>
      <c r="C126">
        <v>10787.4116490621</v>
      </c>
      <c r="D126">
        <v>11022.6731143954</v>
      </c>
      <c r="E126">
        <v>13284.216347097101</v>
      </c>
      <c r="F126">
        <v>16677.610189758801</v>
      </c>
      <c r="G126">
        <v>16345.3189610237</v>
      </c>
      <c r="H126">
        <v>28018.293719528501</v>
      </c>
      <c r="I126">
        <v>19486.989989248301</v>
      </c>
      <c r="J126">
        <v>2076.9994805610299</v>
      </c>
      <c r="K126">
        <v>2192.0065021729501</v>
      </c>
      <c r="L126">
        <v>965.19418527395703</v>
      </c>
      <c r="M126">
        <v>14266.899473354801</v>
      </c>
      <c r="N126">
        <v>4529.9483695601602</v>
      </c>
      <c r="O126">
        <v>946.68706062111096</v>
      </c>
      <c r="P126">
        <v>2572.9567340947001</v>
      </c>
      <c r="Q126">
        <v>12279.7581981601</v>
      </c>
      <c r="R126">
        <v>1135.7466713507999</v>
      </c>
      <c r="S126">
        <v>209.82471831168601</v>
      </c>
      <c r="T126">
        <v>368.46399689501402</v>
      </c>
      <c r="U126">
        <v>128.31166702454999</v>
      </c>
      <c r="V126">
        <v>358.04033621090201</v>
      </c>
      <c r="W126">
        <v>144.53236076451901</v>
      </c>
      <c r="X126">
        <v>194.761654793525</v>
      </c>
      <c r="Y126">
        <v>837.54053718770899</v>
      </c>
      <c r="Z126">
        <v>151.36309402633299</v>
      </c>
      <c r="AA126">
        <v>645.59924679247501</v>
      </c>
      <c r="AB126">
        <v>900.69135028951996</v>
      </c>
      <c r="AC126">
        <v>721.40125027115005</v>
      </c>
      <c r="AD126">
        <v>803.77099013837903</v>
      </c>
      <c r="AE126">
        <v>819.42037263018904</v>
      </c>
      <c r="AF126">
        <v>582.26017137792599</v>
      </c>
      <c r="AG126">
        <v>708.33323691251701</v>
      </c>
    </row>
    <row r="127" spans="1:33" x14ac:dyDescent="0.25">
      <c r="A127" s="1">
        <v>44178</v>
      </c>
      <c r="B127">
        <v>12784.3939219072</v>
      </c>
      <c r="C127">
        <v>10790.358808467799</v>
      </c>
      <c r="D127">
        <v>11118.0249607275</v>
      </c>
      <c r="E127">
        <v>13392.987703139899</v>
      </c>
      <c r="F127">
        <v>16588.073702578298</v>
      </c>
      <c r="G127">
        <v>16499.056136110899</v>
      </c>
      <c r="H127">
        <v>27774.285295787598</v>
      </c>
      <c r="I127">
        <v>19655.4230993817</v>
      </c>
      <c r="J127">
        <v>2068.1758270396699</v>
      </c>
      <c r="K127">
        <v>2230.3270613137502</v>
      </c>
      <c r="L127">
        <v>976.068278720904</v>
      </c>
      <c r="M127">
        <v>14497.115635512801</v>
      </c>
      <c r="N127">
        <v>4912.5864308729997</v>
      </c>
      <c r="O127">
        <v>925.66154884439095</v>
      </c>
      <c r="P127">
        <v>2645.1473261720198</v>
      </c>
      <c r="Q127">
        <v>12444.379357567101</v>
      </c>
      <c r="R127">
        <v>1112.6505182691001</v>
      </c>
      <c r="S127">
        <v>210.07425456391999</v>
      </c>
      <c r="T127">
        <v>453.09665959947102</v>
      </c>
      <c r="U127">
        <v>128.74029416955599</v>
      </c>
      <c r="V127">
        <v>475.076471016163</v>
      </c>
      <c r="W127">
        <v>147.00482160670001</v>
      </c>
      <c r="X127">
        <v>273.84703520635099</v>
      </c>
      <c r="Y127">
        <v>833.71572555875503</v>
      </c>
      <c r="Z127">
        <v>159.36959231597399</v>
      </c>
      <c r="AA127">
        <v>654.275677918101</v>
      </c>
      <c r="AB127">
        <v>890.58947201068304</v>
      </c>
      <c r="AC127">
        <v>731.75786636850296</v>
      </c>
      <c r="AD127">
        <v>819.82954718415601</v>
      </c>
      <c r="AE127">
        <v>747.65335609563101</v>
      </c>
      <c r="AF127">
        <v>592.16098629093995</v>
      </c>
      <c r="AG127">
        <v>723.29045379660499</v>
      </c>
    </row>
    <row r="128" spans="1:33" x14ac:dyDescent="0.25">
      <c r="A128" s="1">
        <v>44179</v>
      </c>
      <c r="B128">
        <v>12725.591396059401</v>
      </c>
      <c r="C128">
        <v>10773.721654643499</v>
      </c>
      <c r="D128">
        <v>10976.107802091599</v>
      </c>
      <c r="E128">
        <v>13214.780264196301</v>
      </c>
      <c r="F128">
        <v>16746.2697847034</v>
      </c>
      <c r="G128">
        <v>15873.752543614301</v>
      </c>
      <c r="H128">
        <v>27436.8638207023</v>
      </c>
      <c r="I128">
        <v>19771.444451510099</v>
      </c>
      <c r="J128">
        <v>2058.8258908141102</v>
      </c>
      <c r="K128">
        <v>2150.23678645767</v>
      </c>
      <c r="L128">
        <v>975.31098328033397</v>
      </c>
      <c r="M128">
        <v>14054.8647152832</v>
      </c>
      <c r="N128">
        <v>4497.1797567076501</v>
      </c>
      <c r="O128">
        <v>915.29934449246798</v>
      </c>
      <c r="P128">
        <v>2519.7439275157799</v>
      </c>
      <c r="Q128">
        <v>12056.693867958</v>
      </c>
      <c r="R128">
        <v>1093.77863923321</v>
      </c>
      <c r="S128">
        <v>210.44434010145699</v>
      </c>
      <c r="T128">
        <v>423.95648466798798</v>
      </c>
      <c r="U128">
        <v>128.97180319784999</v>
      </c>
      <c r="V128">
        <v>366.61410642809102</v>
      </c>
      <c r="W128">
        <v>150.832098354663</v>
      </c>
      <c r="X128">
        <v>199.07369874235499</v>
      </c>
      <c r="Y128">
        <v>836.79076638465199</v>
      </c>
      <c r="Z128">
        <v>169.86318964437999</v>
      </c>
      <c r="AA128">
        <v>664.82188672604502</v>
      </c>
      <c r="AB128">
        <v>896.15884645541303</v>
      </c>
      <c r="AC128">
        <v>747.27367600807804</v>
      </c>
      <c r="AD128">
        <v>808.14965666790295</v>
      </c>
      <c r="AE128">
        <v>713.824006612017</v>
      </c>
      <c r="AF128">
        <v>601.91153269235599</v>
      </c>
      <c r="AG128">
        <v>740.82436241042501</v>
      </c>
    </row>
    <row r="129" spans="1:33" x14ac:dyDescent="0.25">
      <c r="A129" s="1">
        <v>44180</v>
      </c>
      <c r="B129">
        <v>12696.219713775101</v>
      </c>
      <c r="C129">
        <v>10583.3298221146</v>
      </c>
      <c r="D129">
        <v>11057.467502871301</v>
      </c>
      <c r="E129">
        <v>13260.413573678999</v>
      </c>
      <c r="F129">
        <v>15822.2148111234</v>
      </c>
      <c r="G129">
        <v>14967.179902218901</v>
      </c>
      <c r="H129">
        <v>26625.745344139999</v>
      </c>
      <c r="I129">
        <v>19470.949517816902</v>
      </c>
      <c r="J129">
        <v>2013.6325485187001</v>
      </c>
      <c r="K129">
        <v>2052.9614486304199</v>
      </c>
      <c r="L129">
        <v>943.98562869898399</v>
      </c>
      <c r="M129">
        <v>13245.693703159601</v>
      </c>
      <c r="N129">
        <v>4094.2154588773801</v>
      </c>
      <c r="O129">
        <v>844.66493697775104</v>
      </c>
      <c r="P129">
        <v>2392.09628677512</v>
      </c>
      <c r="Q129">
        <v>11196.3125175976</v>
      </c>
      <c r="R129">
        <v>1023.76524974804</v>
      </c>
      <c r="S129">
        <v>211.137728711748</v>
      </c>
      <c r="T129">
        <v>397.72876529563803</v>
      </c>
      <c r="U129">
        <v>132.16878856277299</v>
      </c>
      <c r="V129">
        <v>348.80476344367298</v>
      </c>
      <c r="W129">
        <v>149.59783366834299</v>
      </c>
      <c r="X129">
        <v>198.42204360433601</v>
      </c>
      <c r="Y129">
        <v>832.39661865670098</v>
      </c>
      <c r="Z129">
        <v>179.13753926219499</v>
      </c>
      <c r="AA129">
        <v>672.059310007715</v>
      </c>
      <c r="AB129">
        <v>878.21221029645505</v>
      </c>
      <c r="AC129">
        <v>708.93944188419005</v>
      </c>
      <c r="AD129">
        <v>788.87737476177904</v>
      </c>
      <c r="AE129">
        <v>723.23964026350404</v>
      </c>
      <c r="AF129">
        <v>617.85226566774497</v>
      </c>
      <c r="AG129">
        <v>764.52902673287497</v>
      </c>
    </row>
    <row r="130" spans="1:33" x14ac:dyDescent="0.25">
      <c r="A130" s="1">
        <v>44181</v>
      </c>
      <c r="B130">
        <v>12660.679903161101</v>
      </c>
      <c r="C130">
        <v>9888.9599331038698</v>
      </c>
      <c r="D130">
        <v>11051.1084130488</v>
      </c>
      <c r="E130">
        <v>13257.763530519</v>
      </c>
      <c r="F130">
        <v>15248.6537542961</v>
      </c>
      <c r="G130">
        <v>14346.092656590499</v>
      </c>
      <c r="H130">
        <v>26056.409892517298</v>
      </c>
      <c r="I130">
        <v>19031.388642352598</v>
      </c>
      <c r="J130">
        <v>1964.4863620318799</v>
      </c>
      <c r="K130">
        <v>1975.0301678273299</v>
      </c>
      <c r="L130">
        <v>921.08201643749999</v>
      </c>
      <c r="M130">
        <v>12626.638898815499</v>
      </c>
      <c r="N130">
        <v>3776.1346294299701</v>
      </c>
      <c r="O130">
        <v>805.38564481153401</v>
      </c>
      <c r="P130">
        <v>2293.30504696456</v>
      </c>
      <c r="Q130">
        <v>10590.0597282907</v>
      </c>
      <c r="R130">
        <v>988.536689343479</v>
      </c>
      <c r="S130">
        <v>212.07264432993901</v>
      </c>
      <c r="T130">
        <v>373.71245646339702</v>
      </c>
      <c r="U130">
        <v>142.17260063420801</v>
      </c>
      <c r="V130">
        <v>330.88304063854002</v>
      </c>
      <c r="W130">
        <v>149.13667500310501</v>
      </c>
      <c r="X130">
        <v>191.15124127841199</v>
      </c>
      <c r="Y130">
        <v>838.28743147264402</v>
      </c>
      <c r="Z130">
        <v>185.34973983294199</v>
      </c>
      <c r="AA130">
        <v>678.45524952587095</v>
      </c>
      <c r="AB130">
        <v>880.04064816877997</v>
      </c>
      <c r="AC130">
        <v>663.63293338456594</v>
      </c>
      <c r="AD130">
        <v>774.18116200061399</v>
      </c>
      <c r="AE130">
        <v>748.04714809249106</v>
      </c>
      <c r="AF130">
        <v>630.85784045641105</v>
      </c>
      <c r="AG130">
        <v>784.824833461038</v>
      </c>
    </row>
    <row r="131" spans="1:33" x14ac:dyDescent="0.25">
      <c r="A131" s="1">
        <v>44182</v>
      </c>
      <c r="B131">
        <v>12662.9621136484</v>
      </c>
      <c r="C131">
        <v>9340.2329447053198</v>
      </c>
      <c r="D131">
        <v>10927.4179584344</v>
      </c>
      <c r="E131">
        <v>13287.459215581801</v>
      </c>
      <c r="F131">
        <v>15268.0887954519</v>
      </c>
      <c r="G131">
        <v>14772.246974423901</v>
      </c>
      <c r="H131">
        <v>27223.148978906</v>
      </c>
      <c r="I131">
        <v>18703.490095958601</v>
      </c>
      <c r="J131">
        <v>1934.3565129579599</v>
      </c>
      <c r="K131">
        <v>1995.8507358330501</v>
      </c>
      <c r="L131">
        <v>922.70571049616296</v>
      </c>
      <c r="M131">
        <v>13152.354898363101</v>
      </c>
      <c r="N131">
        <v>4098.8243312698696</v>
      </c>
      <c r="O131">
        <v>835.29799388866297</v>
      </c>
      <c r="P131">
        <v>2324.2672061630601</v>
      </c>
      <c r="Q131">
        <v>10852.2046397986</v>
      </c>
      <c r="R131">
        <v>1020.54442951225</v>
      </c>
      <c r="S131">
        <v>213.09298264485</v>
      </c>
      <c r="T131">
        <v>405.30879325573801</v>
      </c>
      <c r="U131">
        <v>149.12256241808399</v>
      </c>
      <c r="V131">
        <v>334.23062806534602</v>
      </c>
      <c r="W131">
        <v>149.50525811747499</v>
      </c>
      <c r="X131">
        <v>167.64561297341001</v>
      </c>
      <c r="Y131">
        <v>852.48151427464302</v>
      </c>
      <c r="Z131">
        <v>189.59504575089599</v>
      </c>
      <c r="AA131">
        <v>680.64830073905796</v>
      </c>
      <c r="AB131">
        <v>892.94023493198301</v>
      </c>
      <c r="AC131">
        <v>659.937752348392</v>
      </c>
      <c r="AD131">
        <v>777.87372150566705</v>
      </c>
      <c r="AE131">
        <v>758.51944919138396</v>
      </c>
      <c r="AF131">
        <v>637.28239145472799</v>
      </c>
      <c r="AG131">
        <v>800.10641460980696</v>
      </c>
    </row>
    <row r="132" spans="1:33" x14ac:dyDescent="0.25">
      <c r="A132" s="1">
        <v>44183</v>
      </c>
      <c r="B132">
        <v>12625.1759703425</v>
      </c>
      <c r="C132">
        <v>10157.121201128901</v>
      </c>
      <c r="D132">
        <v>10517.549559184199</v>
      </c>
      <c r="E132">
        <v>12973.344132522499</v>
      </c>
      <c r="F132">
        <v>14643.750969369201</v>
      </c>
      <c r="G132">
        <v>13313.175642460999</v>
      </c>
      <c r="H132">
        <v>25358.526963648499</v>
      </c>
      <c r="I132">
        <v>18502.501112078298</v>
      </c>
      <c r="J132">
        <v>1904.1512265326301</v>
      </c>
      <c r="K132">
        <v>1835.7546159226299</v>
      </c>
      <c r="L132">
        <v>894.314993281586</v>
      </c>
      <c r="M132">
        <v>11653.537858376299</v>
      </c>
      <c r="N132">
        <v>3141.2906495081702</v>
      </c>
      <c r="O132">
        <v>765.10920891433602</v>
      </c>
      <c r="P132">
        <v>2114.1802426294698</v>
      </c>
      <c r="Q132">
        <v>9547.6366423553809</v>
      </c>
      <c r="R132">
        <v>943.80187990574802</v>
      </c>
      <c r="S132">
        <v>212.50411669095601</v>
      </c>
      <c r="T132">
        <v>310.66028597528998</v>
      </c>
      <c r="U132">
        <v>145.61910687256599</v>
      </c>
      <c r="V132">
        <v>226.68461278136701</v>
      </c>
      <c r="W132">
        <v>145.739185076849</v>
      </c>
      <c r="X132">
        <v>151.252348410932</v>
      </c>
      <c r="Y132">
        <v>809.28831717912601</v>
      </c>
      <c r="Z132">
        <v>189.53733194486699</v>
      </c>
      <c r="AA132">
        <v>687.90771926358104</v>
      </c>
      <c r="AB132">
        <v>860.31477159075996</v>
      </c>
      <c r="AC132">
        <v>664.67252757676602</v>
      </c>
      <c r="AD132">
        <v>747.93316923931502</v>
      </c>
      <c r="AE132">
        <v>757.16977069836503</v>
      </c>
      <c r="AF132">
        <v>651.90234965379295</v>
      </c>
      <c r="AG132">
        <v>801.980079630408</v>
      </c>
    </row>
    <row r="133" spans="1:33" x14ac:dyDescent="0.25">
      <c r="A133" s="1">
        <v>44184</v>
      </c>
      <c r="B133">
        <v>12542.423183978701</v>
      </c>
      <c r="C133">
        <v>8924.8506974509291</v>
      </c>
      <c r="D133">
        <v>10116.7768915532</v>
      </c>
      <c r="E133">
        <v>12587.6710578288</v>
      </c>
      <c r="F133">
        <v>13725.6076874715</v>
      </c>
      <c r="G133">
        <v>12346.7410452329</v>
      </c>
      <c r="H133">
        <v>24170.752882929301</v>
      </c>
      <c r="I133">
        <v>17989.772479314401</v>
      </c>
      <c r="J133">
        <v>1868.19011068033</v>
      </c>
      <c r="K133">
        <v>1695.99500964245</v>
      </c>
      <c r="L133">
        <v>864.482400817143</v>
      </c>
      <c r="M133">
        <v>10577.6454433791</v>
      </c>
      <c r="N133">
        <v>2403.6393901445299</v>
      </c>
      <c r="O133">
        <v>704.31823734931004</v>
      </c>
      <c r="P133">
        <v>1919.8763360548801</v>
      </c>
      <c r="Q133">
        <v>8320.1610493636599</v>
      </c>
      <c r="R133">
        <v>878.38748679342905</v>
      </c>
      <c r="S133">
        <v>212.847866308535</v>
      </c>
      <c r="T133">
        <v>253.52015318096699</v>
      </c>
      <c r="U133">
        <v>176.680482083198</v>
      </c>
      <c r="V133">
        <v>177.216081531914</v>
      </c>
      <c r="W133">
        <v>148.70977625506899</v>
      </c>
      <c r="X133">
        <v>149.68836069726299</v>
      </c>
      <c r="Y133">
        <v>779.74129555279603</v>
      </c>
      <c r="Z133">
        <v>187.031710192265</v>
      </c>
      <c r="AA133">
        <v>690.77776887608195</v>
      </c>
      <c r="AB133">
        <v>836.30035089812804</v>
      </c>
      <c r="AC133">
        <v>679.20493815230805</v>
      </c>
      <c r="AD133">
        <v>722.70095816585695</v>
      </c>
      <c r="AE133">
        <v>774.41647267886799</v>
      </c>
      <c r="AF133">
        <v>667.13973594709898</v>
      </c>
      <c r="AG133">
        <v>807.92403103138702</v>
      </c>
    </row>
    <row r="134" spans="1:33" x14ac:dyDescent="0.25">
      <c r="A134" s="1">
        <v>44185</v>
      </c>
      <c r="B134">
        <v>12369.921465249499</v>
      </c>
      <c r="C134">
        <v>7916.3379442158803</v>
      </c>
      <c r="D134">
        <v>9959.9071197538306</v>
      </c>
      <c r="E134">
        <v>12295.275018656501</v>
      </c>
      <c r="F134">
        <v>12831.430963507601</v>
      </c>
      <c r="G134">
        <v>11735.1553459843</v>
      </c>
      <c r="H134">
        <v>24077.337661338301</v>
      </c>
      <c r="I134">
        <v>17422.863881863901</v>
      </c>
      <c r="J134">
        <v>1831.8232844110501</v>
      </c>
      <c r="K134">
        <v>1595.2486132809599</v>
      </c>
      <c r="L134">
        <v>833.92363660206797</v>
      </c>
      <c r="M134">
        <v>9975.2484170352309</v>
      </c>
      <c r="N134">
        <v>1999.49503422256</v>
      </c>
      <c r="O134">
        <v>667.27236400504796</v>
      </c>
      <c r="P134">
        <v>1785.69778817666</v>
      </c>
      <c r="Q134">
        <v>7704.9855940100497</v>
      </c>
      <c r="R134">
        <v>834.79486848800605</v>
      </c>
      <c r="S134">
        <v>213.244790943515</v>
      </c>
      <c r="T134">
        <v>231.01808483587899</v>
      </c>
      <c r="U134">
        <v>175.68544761614001</v>
      </c>
      <c r="V134">
        <v>170.91927873021601</v>
      </c>
      <c r="W134">
        <v>158.88010053602</v>
      </c>
      <c r="X134">
        <v>146.375805796197</v>
      </c>
      <c r="Y134">
        <v>765.86799478288697</v>
      </c>
      <c r="Z134">
        <v>184.61339477031399</v>
      </c>
      <c r="AA134">
        <v>692.29099862541</v>
      </c>
      <c r="AB134">
        <v>825.49600022959203</v>
      </c>
      <c r="AC134">
        <v>695.42760851778803</v>
      </c>
      <c r="AD134">
        <v>703.23738449338396</v>
      </c>
      <c r="AE134">
        <v>792.86760090823896</v>
      </c>
      <c r="AF134">
        <v>680.01296757018304</v>
      </c>
      <c r="AG134">
        <v>809.01310832776903</v>
      </c>
    </row>
    <row r="135" spans="1:33" x14ac:dyDescent="0.25">
      <c r="A135" s="1">
        <v>44186</v>
      </c>
      <c r="B135">
        <v>12162.426674996699</v>
      </c>
      <c r="C135">
        <v>7339.3013612234399</v>
      </c>
      <c r="D135">
        <v>9730.2556943545806</v>
      </c>
      <c r="E135">
        <v>12153.621320439799</v>
      </c>
      <c r="F135">
        <v>12818.560905291301</v>
      </c>
      <c r="G135">
        <v>11996.180137815099</v>
      </c>
      <c r="H135">
        <v>25160.602280784002</v>
      </c>
      <c r="I135">
        <v>17014.913978816901</v>
      </c>
      <c r="J135">
        <v>1802.8239500787499</v>
      </c>
      <c r="K135">
        <v>1561.3341380383499</v>
      </c>
      <c r="L135">
        <v>804.63480811492195</v>
      </c>
      <c r="M135">
        <v>10133.875588486</v>
      </c>
      <c r="N135">
        <v>1921.70056863526</v>
      </c>
      <c r="O135">
        <v>683.16041454232197</v>
      </c>
      <c r="P135">
        <v>1750.4085501301499</v>
      </c>
      <c r="Q135">
        <v>7928.4871112189903</v>
      </c>
      <c r="R135">
        <v>840.24738379387304</v>
      </c>
      <c r="S135">
        <v>213.69151430142199</v>
      </c>
      <c r="T135">
        <v>221.76542550874399</v>
      </c>
      <c r="U135">
        <v>182.31404608420499</v>
      </c>
      <c r="V135">
        <v>188.378312416418</v>
      </c>
      <c r="W135">
        <v>152.625718974357</v>
      </c>
      <c r="X135">
        <v>159.248687485164</v>
      </c>
      <c r="Y135">
        <v>793.70963085873495</v>
      </c>
      <c r="Z135">
        <v>183.512828457334</v>
      </c>
      <c r="AA135">
        <v>683.32153440971695</v>
      </c>
      <c r="AB135">
        <v>857.23824753103804</v>
      </c>
      <c r="AC135">
        <v>706.57418609633396</v>
      </c>
      <c r="AD135">
        <v>692.27819380633105</v>
      </c>
      <c r="AE135">
        <v>802.60076614546699</v>
      </c>
      <c r="AF135">
        <v>684.09795720315105</v>
      </c>
      <c r="AG135">
        <v>806.97558204682502</v>
      </c>
    </row>
    <row r="136" spans="1:33" x14ac:dyDescent="0.25">
      <c r="A136" s="1">
        <v>44187</v>
      </c>
      <c r="B136">
        <v>12060.8321391481</v>
      </c>
      <c r="C136">
        <v>7482.2747925116701</v>
      </c>
      <c r="D136">
        <v>9222.55453755704</v>
      </c>
      <c r="E136">
        <v>12027.6710775025</v>
      </c>
      <c r="F136">
        <v>13086.7187917876</v>
      </c>
      <c r="G136">
        <v>12185.1033328584</v>
      </c>
      <c r="H136">
        <v>24993.100956067599</v>
      </c>
      <c r="I136">
        <v>16804.976632907801</v>
      </c>
      <c r="J136">
        <v>1783.88348859593</v>
      </c>
      <c r="K136">
        <v>1525.89486808229</v>
      </c>
      <c r="L136">
        <v>798.49966112208597</v>
      </c>
      <c r="M136">
        <v>10067.0879501446</v>
      </c>
      <c r="N136">
        <v>1680.0314149574499</v>
      </c>
      <c r="O136">
        <v>696.37849596211004</v>
      </c>
      <c r="P136">
        <v>1697.4316800413101</v>
      </c>
      <c r="Q136">
        <v>8016.5460159226704</v>
      </c>
      <c r="R136">
        <v>847.94086951709403</v>
      </c>
      <c r="S136">
        <v>213.83161390495701</v>
      </c>
      <c r="T136">
        <v>207.68641513118001</v>
      </c>
      <c r="U136">
        <v>174.16907649468999</v>
      </c>
      <c r="V136">
        <v>177.53002636425299</v>
      </c>
      <c r="W136">
        <v>147.39262229921599</v>
      </c>
      <c r="X136">
        <v>161.144711057975</v>
      </c>
      <c r="Y136">
        <v>814.07653373757603</v>
      </c>
      <c r="Z136">
        <v>180.07736347649899</v>
      </c>
      <c r="AA136">
        <v>680.48450730848901</v>
      </c>
      <c r="AB136">
        <v>883.16785648493999</v>
      </c>
      <c r="AC136">
        <v>727.88063152059897</v>
      </c>
      <c r="AD136">
        <v>681.04568295910303</v>
      </c>
      <c r="AE136">
        <v>821.42065018838696</v>
      </c>
      <c r="AF136">
        <v>683.85091747737897</v>
      </c>
      <c r="AG136">
        <v>783.23253024382996</v>
      </c>
    </row>
    <row r="137" spans="1:33" x14ac:dyDescent="0.25">
      <c r="A137" s="1">
        <v>44188</v>
      </c>
      <c r="B137">
        <v>12026.0958213508</v>
      </c>
      <c r="C137">
        <v>7568.6825536286096</v>
      </c>
      <c r="D137">
        <v>8539.3785842372909</v>
      </c>
      <c r="E137">
        <v>11889.1010874207</v>
      </c>
      <c r="F137">
        <v>13252.3168628559</v>
      </c>
      <c r="G137">
        <v>11762.1229118721</v>
      </c>
      <c r="H137">
        <v>24263.528814478599</v>
      </c>
      <c r="I137">
        <v>16753.840519346599</v>
      </c>
      <c r="J137">
        <v>1762.8092083972599</v>
      </c>
      <c r="K137">
        <v>1474.17983834652</v>
      </c>
      <c r="L137">
        <v>785.79206741744304</v>
      </c>
      <c r="M137">
        <v>9642.3453533915308</v>
      </c>
      <c r="N137">
        <v>1461.2356756578499</v>
      </c>
      <c r="O137">
        <v>654.28475425648799</v>
      </c>
      <c r="P137">
        <v>1613.56973992964</v>
      </c>
      <c r="Q137">
        <v>7456.9264713122802</v>
      </c>
      <c r="R137">
        <v>822.80160708201697</v>
      </c>
      <c r="S137">
        <v>214.20348787042701</v>
      </c>
      <c r="T137">
        <v>194.861781896786</v>
      </c>
      <c r="U137">
        <v>198.83255319477001</v>
      </c>
      <c r="V137">
        <v>164.26851117474001</v>
      </c>
      <c r="W137">
        <v>157.72862439250599</v>
      </c>
      <c r="X137">
        <v>151.78466973990999</v>
      </c>
      <c r="Y137">
        <v>813.71421219002195</v>
      </c>
      <c r="Z137">
        <v>175.31682143730001</v>
      </c>
      <c r="AA137">
        <v>680.598987649734</v>
      </c>
      <c r="AB137">
        <v>862.87167880575601</v>
      </c>
      <c r="AC137">
        <v>750.16608210880599</v>
      </c>
      <c r="AD137">
        <v>664.92644859371796</v>
      </c>
      <c r="AE137">
        <v>832.35863994288604</v>
      </c>
      <c r="AF137">
        <v>682.97341961343204</v>
      </c>
      <c r="AG137">
        <v>753.40906571450103</v>
      </c>
    </row>
    <row r="138" spans="1:33" x14ac:dyDescent="0.25">
      <c r="A138" s="1">
        <v>44189</v>
      </c>
      <c r="B138">
        <v>11845.190011344401</v>
      </c>
      <c r="C138">
        <v>6775.1703657487997</v>
      </c>
      <c r="D138">
        <v>8169.4228697803801</v>
      </c>
      <c r="E138">
        <v>11717.564866041001</v>
      </c>
      <c r="F138">
        <v>13398.3998709363</v>
      </c>
      <c r="G138">
        <v>12419.530216822101</v>
      </c>
      <c r="H138">
        <v>25002.2448331454</v>
      </c>
      <c r="I138">
        <v>16739.619488179</v>
      </c>
      <c r="J138">
        <v>1751.5976213183901</v>
      </c>
      <c r="K138">
        <v>1456.09455909857</v>
      </c>
      <c r="L138">
        <v>736.56122065248405</v>
      </c>
      <c r="M138">
        <v>10006.7989058685</v>
      </c>
      <c r="N138">
        <v>1439.66763592186</v>
      </c>
      <c r="O138">
        <v>659.24466661880604</v>
      </c>
      <c r="P138">
        <v>1595.50645601626</v>
      </c>
      <c r="Q138">
        <v>7740.07088986695</v>
      </c>
      <c r="R138">
        <v>827.98069714850999</v>
      </c>
      <c r="S138">
        <v>214.210395414532</v>
      </c>
      <c r="T138">
        <v>186.56667188224</v>
      </c>
      <c r="U138">
        <v>209.764425102763</v>
      </c>
      <c r="V138">
        <v>164.59087548969401</v>
      </c>
      <c r="W138">
        <v>158.54666370115501</v>
      </c>
      <c r="X138">
        <v>153.47435921129301</v>
      </c>
      <c r="Y138">
        <v>796.58447464498602</v>
      </c>
      <c r="Z138">
        <v>172.40613079054501</v>
      </c>
      <c r="AA138">
        <v>662.604641184412</v>
      </c>
      <c r="AB138">
        <v>855.92976928428504</v>
      </c>
      <c r="AC138">
        <v>763.43729406957698</v>
      </c>
      <c r="AD138">
        <v>650.24479989717702</v>
      </c>
      <c r="AE138">
        <v>852.38882837028405</v>
      </c>
      <c r="AF138">
        <v>681.65386566939901</v>
      </c>
      <c r="AG138">
        <v>720.082035844026</v>
      </c>
    </row>
    <row r="139" spans="1:33" x14ac:dyDescent="0.25">
      <c r="A139" s="1">
        <v>44190</v>
      </c>
      <c r="B139">
        <v>11537.736644238201</v>
      </c>
      <c r="C139">
        <v>7055.83316842358</v>
      </c>
      <c r="D139">
        <v>8179.61705087063</v>
      </c>
      <c r="E139">
        <v>11650.652507524799</v>
      </c>
      <c r="F139">
        <v>14523.5790651632</v>
      </c>
      <c r="G139">
        <v>14987.2386854509</v>
      </c>
      <c r="H139">
        <v>28874.2378069962</v>
      </c>
      <c r="I139">
        <v>16842.902956127698</v>
      </c>
      <c r="J139">
        <v>1744.43611784771</v>
      </c>
      <c r="K139">
        <v>1595.49435935923</v>
      </c>
      <c r="L139">
        <v>776.26039688566595</v>
      </c>
      <c r="M139">
        <v>12629.952263229001</v>
      </c>
      <c r="N139">
        <v>2509.0338800383902</v>
      </c>
      <c r="O139">
        <v>797.159050253543</v>
      </c>
      <c r="P139">
        <v>1845.3792859350001</v>
      </c>
      <c r="Q139">
        <v>10341.994628513699</v>
      </c>
      <c r="R139">
        <v>931.95027670631202</v>
      </c>
      <c r="S139">
        <v>213.73169832236599</v>
      </c>
      <c r="T139">
        <v>201.01224447899099</v>
      </c>
      <c r="U139">
        <v>204.451137546289</v>
      </c>
      <c r="V139">
        <v>204.49008206000701</v>
      </c>
      <c r="W139">
        <v>161.31212812006899</v>
      </c>
      <c r="X139">
        <v>166.44617556154799</v>
      </c>
      <c r="Y139">
        <v>822.88783185892601</v>
      </c>
      <c r="Z139">
        <v>172.47972023896099</v>
      </c>
      <c r="AA139">
        <v>654.530832989347</v>
      </c>
      <c r="AB139">
        <v>859.07339819609001</v>
      </c>
      <c r="AC139">
        <v>769.72417245114195</v>
      </c>
      <c r="AD139">
        <v>678.61457771092296</v>
      </c>
      <c r="AE139">
        <v>864.49180652690097</v>
      </c>
      <c r="AF139">
        <v>680.67688353295</v>
      </c>
      <c r="AG139">
        <v>703.10881394999001</v>
      </c>
    </row>
    <row r="140" spans="1:33" x14ac:dyDescent="0.25">
      <c r="A140" s="1">
        <v>44191</v>
      </c>
      <c r="B140">
        <v>11328.246884206101</v>
      </c>
      <c r="C140">
        <v>9548.2776809660099</v>
      </c>
      <c r="D140">
        <v>7993.3700360437197</v>
      </c>
      <c r="E140">
        <v>11653.799565577699</v>
      </c>
      <c r="F140">
        <v>16314.0138154418</v>
      </c>
      <c r="G140">
        <v>16456.943283607001</v>
      </c>
      <c r="H140">
        <v>30027.050315577701</v>
      </c>
      <c r="I140">
        <v>17332.693506022501</v>
      </c>
      <c r="J140">
        <v>1739.8681078157699</v>
      </c>
      <c r="K140">
        <v>1740.8443995277601</v>
      </c>
      <c r="L140">
        <v>863.38881204374104</v>
      </c>
      <c r="M140">
        <v>14170.8033038957</v>
      </c>
      <c r="N140">
        <v>3565.42878563053</v>
      </c>
      <c r="O140">
        <v>858.19643997934304</v>
      </c>
      <c r="P140">
        <v>2098.8847865501298</v>
      </c>
      <c r="Q140">
        <v>11985.002749936601</v>
      </c>
      <c r="R140">
        <v>1003.90766662263</v>
      </c>
      <c r="S140">
        <v>212.07902874873599</v>
      </c>
      <c r="T140">
        <v>227.82121787807</v>
      </c>
      <c r="U140">
        <v>196.40716224654199</v>
      </c>
      <c r="V140">
        <v>229.84225073357601</v>
      </c>
      <c r="W140">
        <v>157.71849285868899</v>
      </c>
      <c r="X140">
        <v>166.13365459049601</v>
      </c>
      <c r="Y140">
        <v>838.04692304068999</v>
      </c>
      <c r="Z140">
        <v>171.67154742417901</v>
      </c>
      <c r="AA140">
        <v>661.97948390024101</v>
      </c>
      <c r="AB140">
        <v>886.14826565016699</v>
      </c>
      <c r="AC140">
        <v>773.02558069617601</v>
      </c>
      <c r="AD140">
        <v>732.60883308182201</v>
      </c>
      <c r="AE140">
        <v>856.41497880068903</v>
      </c>
      <c r="AF140">
        <v>679.56957440441704</v>
      </c>
      <c r="AG140">
        <v>694.84504751926295</v>
      </c>
    </row>
    <row r="141" spans="1:33" x14ac:dyDescent="0.25">
      <c r="A141" s="1">
        <v>44192</v>
      </c>
      <c r="B141">
        <v>11222.726152884699</v>
      </c>
      <c r="C141">
        <v>10948.538174077599</v>
      </c>
      <c r="D141">
        <v>8037.2452263027099</v>
      </c>
      <c r="E141">
        <v>11605.5449256918</v>
      </c>
      <c r="F141">
        <v>16602.817968036699</v>
      </c>
      <c r="G141">
        <v>16504.515712278899</v>
      </c>
      <c r="H141">
        <v>29177.892617097099</v>
      </c>
      <c r="I141">
        <v>18105.689671878001</v>
      </c>
      <c r="J141">
        <v>1738.5669264492701</v>
      </c>
      <c r="K141">
        <v>1823.9286346976201</v>
      </c>
      <c r="L141">
        <v>873.92942117126302</v>
      </c>
      <c r="M141">
        <v>14463.690514344</v>
      </c>
      <c r="N141">
        <v>3761.4936328468398</v>
      </c>
      <c r="O141">
        <v>854.38627979093701</v>
      </c>
      <c r="P141">
        <v>2208.1755784832399</v>
      </c>
      <c r="Q141">
        <v>12214.2256897153</v>
      </c>
      <c r="R141">
        <v>1000.36254632804</v>
      </c>
      <c r="S141">
        <v>210.905516294156</v>
      </c>
      <c r="T141">
        <v>260.01141660108698</v>
      </c>
      <c r="U141">
        <v>195.358302546066</v>
      </c>
      <c r="V141">
        <v>262.29522734500603</v>
      </c>
      <c r="W141">
        <v>156.729823068092</v>
      </c>
      <c r="X141">
        <v>179.465273866617</v>
      </c>
      <c r="Y141">
        <v>837.49284586150395</v>
      </c>
      <c r="Z141">
        <v>170.349131437062</v>
      </c>
      <c r="AA141">
        <v>664.76934692140196</v>
      </c>
      <c r="AB141">
        <v>863.53261044649901</v>
      </c>
      <c r="AC141">
        <v>782.494126168722</v>
      </c>
      <c r="AD141">
        <v>748.72976013044604</v>
      </c>
      <c r="AE141">
        <v>854.79675320105105</v>
      </c>
      <c r="AF141">
        <v>679.49724813151897</v>
      </c>
      <c r="AG141">
        <v>699.33108862497397</v>
      </c>
    </row>
    <row r="142" spans="1:33" x14ac:dyDescent="0.25">
      <c r="A142" s="1">
        <v>44193</v>
      </c>
      <c r="B142">
        <v>11028.1404260609</v>
      </c>
      <c r="C142">
        <v>11298.267219400899</v>
      </c>
      <c r="D142">
        <v>8466.4146379410395</v>
      </c>
      <c r="E142">
        <v>11736.2631378838</v>
      </c>
      <c r="F142">
        <v>17364.7018930874</v>
      </c>
      <c r="G142">
        <v>17608.7055960914</v>
      </c>
      <c r="H142">
        <v>29422.1928444853</v>
      </c>
      <c r="I142">
        <v>18833.036777307101</v>
      </c>
      <c r="J142">
        <v>1750.0632559180001</v>
      </c>
      <c r="K142">
        <v>2016.0878903210801</v>
      </c>
      <c r="L142">
        <v>907.25701478624603</v>
      </c>
      <c r="M142">
        <v>15381.562829123401</v>
      </c>
      <c r="N142">
        <v>4684.1777093052897</v>
      </c>
      <c r="O142">
        <v>898.10632699721805</v>
      </c>
      <c r="P142">
        <v>2493.36382316962</v>
      </c>
      <c r="Q142">
        <v>13356.615634383999</v>
      </c>
      <c r="R142">
        <v>1044.0322540658799</v>
      </c>
      <c r="S142">
        <v>209.764945594842</v>
      </c>
      <c r="T142">
        <v>324.05412590748898</v>
      </c>
      <c r="U142">
        <v>198.990204748873</v>
      </c>
      <c r="V142">
        <v>310.50751222231901</v>
      </c>
      <c r="W142">
        <v>154.96402027468901</v>
      </c>
      <c r="X142">
        <v>185.97036014400501</v>
      </c>
      <c r="Y142">
        <v>834.19795220761705</v>
      </c>
      <c r="Z142">
        <v>170.679142840331</v>
      </c>
      <c r="AA142">
        <v>665.59354267063702</v>
      </c>
      <c r="AB142">
        <v>871.61908520618294</v>
      </c>
      <c r="AC142">
        <v>786.50439648276097</v>
      </c>
      <c r="AD142">
        <v>778.31492468635702</v>
      </c>
      <c r="AE142">
        <v>853.98209888186</v>
      </c>
      <c r="AF142">
        <v>678.91275177858097</v>
      </c>
      <c r="AG142">
        <v>713.32748875333505</v>
      </c>
    </row>
    <row r="143" spans="1:33" x14ac:dyDescent="0.25">
      <c r="A143" s="1">
        <v>44194</v>
      </c>
      <c r="B143">
        <v>10996.915721970599</v>
      </c>
      <c r="C143">
        <v>12226.709312475299</v>
      </c>
      <c r="D143">
        <v>8927.1080122817402</v>
      </c>
      <c r="E143">
        <v>11563.566618908901</v>
      </c>
      <c r="F143">
        <v>17218.925943897899</v>
      </c>
      <c r="G143">
        <v>16676.323059934199</v>
      </c>
      <c r="H143">
        <v>28372.836728527102</v>
      </c>
      <c r="I143">
        <v>19237.679953804702</v>
      </c>
      <c r="J143">
        <v>1755.8866617476201</v>
      </c>
      <c r="K143">
        <v>1943.9164131289699</v>
      </c>
      <c r="L143">
        <v>905.87121581334702</v>
      </c>
      <c r="M143">
        <v>14776.410625836999</v>
      </c>
      <c r="N143">
        <v>4210.5597461985899</v>
      </c>
      <c r="O143">
        <v>878.48737030684094</v>
      </c>
      <c r="P143">
        <v>2374.5948653549499</v>
      </c>
      <c r="Q143">
        <v>12547.8177573906</v>
      </c>
      <c r="R143">
        <v>1033.28158694587</v>
      </c>
      <c r="S143">
        <v>209.00144724871001</v>
      </c>
      <c r="T143">
        <v>301.88581498904301</v>
      </c>
      <c r="U143">
        <v>192.59896632323199</v>
      </c>
      <c r="V143">
        <v>273.67077662013901</v>
      </c>
      <c r="W143">
        <v>156.72887963996999</v>
      </c>
      <c r="X143">
        <v>170.19926675056701</v>
      </c>
      <c r="Y143">
        <v>834.64599177970194</v>
      </c>
      <c r="Z143">
        <v>169.770127460521</v>
      </c>
      <c r="AA143">
        <v>673.56967147271303</v>
      </c>
      <c r="AB143">
        <v>886.32398362699803</v>
      </c>
      <c r="AC143">
        <v>788.00406161183002</v>
      </c>
      <c r="AD143">
        <v>768.84886382259003</v>
      </c>
      <c r="AE143">
        <v>856.40710630424496</v>
      </c>
      <c r="AF143">
        <v>680.04820188048905</v>
      </c>
      <c r="AG143">
        <v>722.01693758849399</v>
      </c>
    </row>
    <row r="144" spans="1:33" x14ac:dyDescent="0.25">
      <c r="A144" s="1">
        <v>44195</v>
      </c>
      <c r="B144">
        <v>10890.944890324299</v>
      </c>
      <c r="C144">
        <v>11502.8096356808</v>
      </c>
      <c r="D144">
        <v>9582.7729548608695</v>
      </c>
      <c r="E144">
        <v>11602.254736082101</v>
      </c>
      <c r="F144">
        <v>16394.069844502399</v>
      </c>
      <c r="G144">
        <v>15823.3756747157</v>
      </c>
      <c r="H144">
        <v>27681.221675026201</v>
      </c>
      <c r="I144">
        <v>19347.0478330109</v>
      </c>
      <c r="J144">
        <v>1752.4143981218999</v>
      </c>
      <c r="K144">
        <v>1904.8054438146601</v>
      </c>
      <c r="L144">
        <v>889.90824242412998</v>
      </c>
      <c r="M144">
        <v>14052.1800392677</v>
      </c>
      <c r="N144">
        <v>3978.8515482975899</v>
      </c>
      <c r="O144">
        <v>825.76415378522199</v>
      </c>
      <c r="P144">
        <v>2301.78726610387</v>
      </c>
      <c r="Q144">
        <v>11813.8679227795</v>
      </c>
      <c r="R144">
        <v>991.73980886624202</v>
      </c>
      <c r="S144">
        <v>208.458584328516</v>
      </c>
      <c r="T144">
        <v>305.36438925496202</v>
      </c>
      <c r="U144">
        <v>192.99343975362399</v>
      </c>
      <c r="V144">
        <v>286.965896539705</v>
      </c>
      <c r="W144">
        <v>150.18010252841799</v>
      </c>
      <c r="X144">
        <v>175.68197255358299</v>
      </c>
      <c r="Y144">
        <v>849.54526507496803</v>
      </c>
      <c r="Z144">
        <v>170.24551605332601</v>
      </c>
      <c r="AA144">
        <v>678.14707480202605</v>
      </c>
      <c r="AB144">
        <v>896.23076692078405</v>
      </c>
      <c r="AC144">
        <v>787.170110710529</v>
      </c>
      <c r="AD144">
        <v>762.36958293630801</v>
      </c>
      <c r="AE144">
        <v>852.583588796649</v>
      </c>
      <c r="AF144">
        <v>682.69164198924898</v>
      </c>
      <c r="AG144">
        <v>732.36397838115897</v>
      </c>
    </row>
    <row r="145" spans="1:33" x14ac:dyDescent="0.25">
      <c r="A145" s="1">
        <v>44196</v>
      </c>
      <c r="B145">
        <v>10896.396271429299</v>
      </c>
      <c r="C145">
        <v>10836.1002017722</v>
      </c>
      <c r="D145">
        <v>10145.4469978504</v>
      </c>
      <c r="E145">
        <v>11789.924219447401</v>
      </c>
      <c r="F145">
        <v>16153.287625889599</v>
      </c>
      <c r="G145">
        <v>15665.788130074199</v>
      </c>
      <c r="H145">
        <v>27369.538693251499</v>
      </c>
      <c r="I145">
        <v>19356.325019546399</v>
      </c>
      <c r="J145">
        <v>1751.08438109388</v>
      </c>
      <c r="K145">
        <v>1897.4372013337099</v>
      </c>
      <c r="L145">
        <v>882.78542112261903</v>
      </c>
      <c r="M145">
        <v>13827.3731031795</v>
      </c>
      <c r="N145">
        <v>3903.8396904085298</v>
      </c>
      <c r="O145">
        <v>846.17795897016003</v>
      </c>
      <c r="P145">
        <v>2275.3608123374602</v>
      </c>
      <c r="Q145">
        <v>11692.488162166101</v>
      </c>
      <c r="R145">
        <v>1005.0970526997201</v>
      </c>
      <c r="S145">
        <v>207.99982622978999</v>
      </c>
      <c r="T145">
        <v>309.20373583890898</v>
      </c>
      <c r="U145">
        <v>190.21889614983701</v>
      </c>
      <c r="V145">
        <v>284.99822926957802</v>
      </c>
      <c r="W145">
        <v>150.08210477487501</v>
      </c>
      <c r="X145">
        <v>172.01360808998001</v>
      </c>
      <c r="Y145">
        <v>849.425546245997</v>
      </c>
      <c r="Z145">
        <v>171.541167159607</v>
      </c>
      <c r="AA145">
        <v>678.72537784495205</v>
      </c>
      <c r="AB145">
        <v>897.47741519673696</v>
      </c>
      <c r="AC145">
        <v>788.366317753928</v>
      </c>
      <c r="AD145">
        <v>756.02446843092196</v>
      </c>
      <c r="AE145">
        <v>857.42681251010595</v>
      </c>
      <c r="AF145">
        <v>684.66117837692002</v>
      </c>
      <c r="AG145">
        <v>742.10591778505102</v>
      </c>
    </row>
    <row r="146" spans="1:33" x14ac:dyDescent="0.25">
      <c r="A146" s="1">
        <v>44197</v>
      </c>
      <c r="B146">
        <v>11019.980371314599</v>
      </c>
      <c r="C146">
        <v>10783.7651579379</v>
      </c>
      <c r="D146">
        <v>10538.9157820654</v>
      </c>
      <c r="E146">
        <v>11984.461682564101</v>
      </c>
      <c r="F146">
        <v>15694.756167588601</v>
      </c>
      <c r="G146">
        <v>15150.7070147662</v>
      </c>
      <c r="H146">
        <v>26752.693747212499</v>
      </c>
      <c r="I146">
        <v>19191.047224210699</v>
      </c>
      <c r="J146">
        <v>1738.3098355060099</v>
      </c>
      <c r="K146">
        <v>1866.5976472472</v>
      </c>
      <c r="L146">
        <v>872.90688357347904</v>
      </c>
      <c r="M146">
        <v>13428.5247309897</v>
      </c>
      <c r="N146">
        <v>3873.9040897824102</v>
      </c>
      <c r="O146">
        <v>807.99833437079803</v>
      </c>
      <c r="P146">
        <v>2242.7282431818198</v>
      </c>
      <c r="Q146">
        <v>11225.0389326924</v>
      </c>
      <c r="R146">
        <v>972.94411218339303</v>
      </c>
      <c r="S146">
        <v>207.46332221714201</v>
      </c>
      <c r="T146">
        <v>311.28966805819402</v>
      </c>
      <c r="U146">
        <v>190.03384172991699</v>
      </c>
      <c r="V146">
        <v>293.04882635755899</v>
      </c>
      <c r="W146">
        <v>146.509309879233</v>
      </c>
      <c r="X146">
        <v>171.63263240012901</v>
      </c>
      <c r="Y146">
        <v>843.27265924852702</v>
      </c>
      <c r="Z146">
        <v>172.71499131173101</v>
      </c>
      <c r="AA146">
        <v>680.84887830970899</v>
      </c>
      <c r="AB146">
        <v>880.19484245332501</v>
      </c>
      <c r="AC146">
        <v>801.478115610141</v>
      </c>
      <c r="AD146">
        <v>750.38158396919903</v>
      </c>
      <c r="AE146">
        <v>863.50738492323103</v>
      </c>
      <c r="AF146">
        <v>689.55016551149902</v>
      </c>
      <c r="AG146">
        <v>748.53312023634703</v>
      </c>
    </row>
    <row r="147" spans="1:33" x14ac:dyDescent="0.25">
      <c r="A147" s="1">
        <v>44198</v>
      </c>
      <c r="B147">
        <v>11187.069563810501</v>
      </c>
      <c r="C147">
        <v>10291.4537258743</v>
      </c>
      <c r="D147">
        <v>10631.0819571051</v>
      </c>
      <c r="E147">
        <v>12020.786994329799</v>
      </c>
      <c r="F147">
        <v>15447.1450861221</v>
      </c>
      <c r="G147">
        <v>14661.3293834044</v>
      </c>
      <c r="H147">
        <v>26133.744783892998</v>
      </c>
      <c r="I147">
        <v>19021.650436518801</v>
      </c>
      <c r="J147">
        <v>1724.8014270808801</v>
      </c>
      <c r="K147">
        <v>1817.7692248706201</v>
      </c>
      <c r="L147">
        <v>866.88663734327304</v>
      </c>
      <c r="M147">
        <v>12929.086369955799</v>
      </c>
      <c r="N147">
        <v>3572.16597236396</v>
      </c>
      <c r="O147">
        <v>787.48424454629696</v>
      </c>
      <c r="P147">
        <v>2163.74305310104</v>
      </c>
      <c r="Q147">
        <v>10734.3022586404</v>
      </c>
      <c r="R147">
        <v>957.33947657832005</v>
      </c>
      <c r="S147">
        <v>207.67267140238701</v>
      </c>
      <c r="T147">
        <v>290.150642932111</v>
      </c>
      <c r="U147">
        <v>191.86798635215899</v>
      </c>
      <c r="V147">
        <v>269.13574226059302</v>
      </c>
      <c r="W147">
        <v>154.98853721441799</v>
      </c>
      <c r="X147">
        <v>160.71701143303699</v>
      </c>
      <c r="Y147">
        <v>844.709961951845</v>
      </c>
      <c r="Z147">
        <v>173.84040559374199</v>
      </c>
      <c r="AA147">
        <v>681.32405048104499</v>
      </c>
      <c r="AB147">
        <v>878.73247850529901</v>
      </c>
      <c r="AC147">
        <v>812.16224448507705</v>
      </c>
      <c r="AD147">
        <v>742.415397549251</v>
      </c>
      <c r="AE147">
        <v>873.37200940335799</v>
      </c>
      <c r="AF147">
        <v>694.69574218071398</v>
      </c>
      <c r="AG147">
        <v>752.10193766606005</v>
      </c>
    </row>
    <row r="148" spans="1:33" x14ac:dyDescent="0.25">
      <c r="A148" s="1">
        <v>44199</v>
      </c>
      <c r="B148">
        <v>11336.962800443</v>
      </c>
      <c r="C148">
        <v>9979.4921441553906</v>
      </c>
      <c r="D148">
        <v>10586.5066383175</v>
      </c>
      <c r="E148">
        <v>12058.203647165001</v>
      </c>
      <c r="F148">
        <v>15205.767980004401</v>
      </c>
      <c r="G148">
        <v>14453.550761729501</v>
      </c>
      <c r="H148">
        <v>25973.318214295901</v>
      </c>
      <c r="I148">
        <v>18800.071873210902</v>
      </c>
      <c r="J148">
        <v>1714.33731079365</v>
      </c>
      <c r="K148">
        <v>1783.6937923160799</v>
      </c>
      <c r="L148">
        <v>863.76446127696795</v>
      </c>
      <c r="M148">
        <v>12656.494236808399</v>
      </c>
      <c r="N148">
        <v>3381.9588193016798</v>
      </c>
      <c r="O148">
        <v>783.41978050226896</v>
      </c>
      <c r="P148">
        <v>2119.7897917208102</v>
      </c>
      <c r="Q148">
        <v>10452.650156314599</v>
      </c>
      <c r="R148">
        <v>948.33717912137001</v>
      </c>
      <c r="S148">
        <v>208.56337001074101</v>
      </c>
      <c r="T148">
        <v>276.45491037273098</v>
      </c>
      <c r="U148">
        <v>190.17579390155501</v>
      </c>
      <c r="V148">
        <v>244.69567604722499</v>
      </c>
      <c r="W148">
        <v>157.10190452341399</v>
      </c>
      <c r="X148">
        <v>150.492534775313</v>
      </c>
      <c r="Y148">
        <v>857.16782620690105</v>
      </c>
      <c r="Z148">
        <v>174.84035932024301</v>
      </c>
      <c r="AA148">
        <v>679.47646310498806</v>
      </c>
      <c r="AB148">
        <v>891.82778504552005</v>
      </c>
      <c r="AC148">
        <v>816.64650211305297</v>
      </c>
      <c r="AD148">
        <v>737.46777711149002</v>
      </c>
      <c r="AE148">
        <v>866.11540186158095</v>
      </c>
      <c r="AF148">
        <v>700.02375179025103</v>
      </c>
      <c r="AG148">
        <v>752.77305067705197</v>
      </c>
    </row>
    <row r="149" spans="1:33" x14ac:dyDescent="0.25">
      <c r="A149" s="1">
        <v>44200</v>
      </c>
      <c r="B149">
        <v>11434.609342264601</v>
      </c>
      <c r="C149">
        <v>10084.397027675601</v>
      </c>
      <c r="D149">
        <v>10510.152399737301</v>
      </c>
      <c r="E149">
        <v>12268.2889546765</v>
      </c>
      <c r="F149">
        <v>15158.2151141616</v>
      </c>
      <c r="G149">
        <v>15128.471646219999</v>
      </c>
      <c r="H149">
        <v>27099.3705055885</v>
      </c>
      <c r="I149">
        <v>18604.698515568401</v>
      </c>
      <c r="J149">
        <v>1716.7229506425699</v>
      </c>
      <c r="K149">
        <v>1868.98696567258</v>
      </c>
      <c r="L149">
        <v>882.00957231669099</v>
      </c>
      <c r="M149">
        <v>13379.181792917199</v>
      </c>
      <c r="N149">
        <v>3936.4511284640098</v>
      </c>
      <c r="O149">
        <v>817.60337422119596</v>
      </c>
      <c r="P149">
        <v>2267.1247363142802</v>
      </c>
      <c r="Q149">
        <v>10996.195059662001</v>
      </c>
      <c r="R149">
        <v>987.644087479223</v>
      </c>
      <c r="S149">
        <v>207.44836265104499</v>
      </c>
      <c r="T149">
        <v>312.07658882572599</v>
      </c>
      <c r="U149">
        <v>186.82712303270699</v>
      </c>
      <c r="V149">
        <v>281.69931109098297</v>
      </c>
      <c r="W149">
        <v>157.05851144706401</v>
      </c>
      <c r="X149">
        <v>173.51761073772099</v>
      </c>
      <c r="Y149">
        <v>868.25797246990601</v>
      </c>
      <c r="Z149">
        <v>176.34872613511999</v>
      </c>
      <c r="AA149">
        <v>675.69346285106406</v>
      </c>
      <c r="AB149">
        <v>899.29930875573598</v>
      </c>
      <c r="AC149">
        <v>821.87261972481394</v>
      </c>
      <c r="AD149">
        <v>757.42218676068399</v>
      </c>
      <c r="AE149">
        <v>869.97686018020795</v>
      </c>
      <c r="AF149">
        <v>705.56163914237595</v>
      </c>
      <c r="AG149">
        <v>748.02556362901703</v>
      </c>
    </row>
    <row r="150" spans="1:33" x14ac:dyDescent="0.25">
      <c r="A150" s="1">
        <v>44201</v>
      </c>
      <c r="B150">
        <v>11510.054336302101</v>
      </c>
      <c r="C150">
        <v>10043.0002470618</v>
      </c>
      <c r="D150">
        <v>10178.1492750977</v>
      </c>
      <c r="E150">
        <v>11806.5192971791</v>
      </c>
      <c r="F150">
        <v>15051.364857565301</v>
      </c>
      <c r="G150">
        <v>13762.415593583601</v>
      </c>
      <c r="H150">
        <v>24491.862755225698</v>
      </c>
      <c r="I150">
        <v>18575.414395399599</v>
      </c>
      <c r="J150">
        <v>1695.4745210452199</v>
      </c>
      <c r="K150">
        <v>1689.6674213548499</v>
      </c>
      <c r="L150">
        <v>852.707462529493</v>
      </c>
      <c r="M150">
        <v>11901.004608224899</v>
      </c>
      <c r="N150">
        <v>2689.7402730151798</v>
      </c>
      <c r="O150">
        <v>772.90627616684003</v>
      </c>
      <c r="P150">
        <v>1936.9838463714</v>
      </c>
      <c r="Q150">
        <v>9634.4842910269508</v>
      </c>
      <c r="R150">
        <v>930.99634815325805</v>
      </c>
      <c r="S150">
        <v>213.911266663585</v>
      </c>
      <c r="T150">
        <v>236.19413191107</v>
      </c>
      <c r="U150">
        <v>184.717295735383</v>
      </c>
      <c r="V150">
        <v>196.074694818078</v>
      </c>
      <c r="W150">
        <v>156.81778042199099</v>
      </c>
      <c r="X150">
        <v>161.18029261338299</v>
      </c>
      <c r="Y150">
        <v>853.803628375176</v>
      </c>
      <c r="Z150">
        <v>175.88263028102301</v>
      </c>
      <c r="AA150">
        <v>680.50221039738994</v>
      </c>
      <c r="AB150">
        <v>881.38837644839305</v>
      </c>
      <c r="AC150">
        <v>825.72166744011702</v>
      </c>
      <c r="AD150">
        <v>720.06642433886805</v>
      </c>
      <c r="AE150">
        <v>865.48988659974702</v>
      </c>
      <c r="AF150">
        <v>713.15760771922203</v>
      </c>
      <c r="AG150">
        <v>742.92574230411003</v>
      </c>
    </row>
    <row r="151" spans="1:33" x14ac:dyDescent="0.25">
      <c r="A151" s="1">
        <v>44202</v>
      </c>
      <c r="B151">
        <v>11565.0221506375</v>
      </c>
      <c r="C151">
        <v>9179.4540011537902</v>
      </c>
      <c r="D151">
        <v>9995.2877889665106</v>
      </c>
      <c r="E151">
        <v>11764.5907537597</v>
      </c>
      <c r="F151">
        <v>14342.1478118123</v>
      </c>
      <c r="G151">
        <v>13126.1502250222</v>
      </c>
      <c r="H151">
        <v>24319.299070598801</v>
      </c>
      <c r="I151">
        <v>18385.692504816499</v>
      </c>
      <c r="J151">
        <v>1684.6793948981001</v>
      </c>
      <c r="K151">
        <v>1651.3334220694801</v>
      </c>
      <c r="L151">
        <v>834.85432614030003</v>
      </c>
      <c r="M151">
        <v>11201.7749117739</v>
      </c>
      <c r="N151">
        <v>2355.5467586188101</v>
      </c>
      <c r="O151">
        <v>725.90028781209105</v>
      </c>
      <c r="P151">
        <v>1868.7722894779499</v>
      </c>
      <c r="Q151">
        <v>9018.8387752299004</v>
      </c>
      <c r="R151">
        <v>890.14337313714702</v>
      </c>
      <c r="S151">
        <v>223.66567657028</v>
      </c>
      <c r="T151">
        <v>224.499115988407</v>
      </c>
      <c r="U151">
        <v>183.88133534033801</v>
      </c>
      <c r="V151">
        <v>211.385320350592</v>
      </c>
      <c r="W151">
        <v>153.037211368345</v>
      </c>
      <c r="X151">
        <v>165.84294697206599</v>
      </c>
      <c r="Y151">
        <v>851.20542066463895</v>
      </c>
      <c r="Z151">
        <v>176.542241075335</v>
      </c>
      <c r="AA151">
        <v>679.99954528180103</v>
      </c>
      <c r="AB151">
        <v>877.38083952916304</v>
      </c>
      <c r="AC151">
        <v>822.26683290930805</v>
      </c>
      <c r="AD151">
        <v>704.97082686584497</v>
      </c>
      <c r="AE151">
        <v>854.28352210221203</v>
      </c>
      <c r="AF151">
        <v>722.12929806852503</v>
      </c>
      <c r="AG151">
        <v>736.675518003143</v>
      </c>
    </row>
    <row r="152" spans="1:33" x14ac:dyDescent="0.25">
      <c r="A152" s="1">
        <v>44203</v>
      </c>
      <c r="B152">
        <v>11632.4786386941</v>
      </c>
      <c r="C152">
        <v>8621.8149594656406</v>
      </c>
      <c r="D152">
        <v>9940.0218500157807</v>
      </c>
      <c r="E152">
        <v>11790.253203411499</v>
      </c>
      <c r="F152">
        <v>14180.7067326536</v>
      </c>
      <c r="G152">
        <v>13082.875038739799</v>
      </c>
      <c r="H152">
        <v>24630.567577643</v>
      </c>
      <c r="I152">
        <v>18180.269512697399</v>
      </c>
      <c r="J152">
        <v>1680.59450168423</v>
      </c>
      <c r="K152">
        <v>1646.37079813683</v>
      </c>
      <c r="L152">
        <v>824.74618134570096</v>
      </c>
      <c r="M152">
        <v>11170.8130189739</v>
      </c>
      <c r="N152">
        <v>2338.0550553214298</v>
      </c>
      <c r="O152">
        <v>736.44212151348802</v>
      </c>
      <c r="P152">
        <v>1861.13554691064</v>
      </c>
      <c r="Q152">
        <v>8960.9031439875107</v>
      </c>
      <c r="R152">
        <v>892.29954825409504</v>
      </c>
      <c r="S152">
        <v>228.36952878538699</v>
      </c>
      <c r="T152">
        <v>219.14471497105501</v>
      </c>
      <c r="U152">
        <v>182.27867361245501</v>
      </c>
      <c r="V152">
        <v>211.80237526668799</v>
      </c>
      <c r="W152">
        <v>151.92831576598499</v>
      </c>
      <c r="X152">
        <v>167.38171322263</v>
      </c>
      <c r="Y152">
        <v>859.42522220481806</v>
      </c>
      <c r="Z152">
        <v>176.480444372444</v>
      </c>
      <c r="AA152">
        <v>676.71998700990503</v>
      </c>
      <c r="AB152">
        <v>882.17299475377501</v>
      </c>
      <c r="AC152">
        <v>823.12091782226696</v>
      </c>
      <c r="AD152">
        <v>697.59010387100204</v>
      </c>
      <c r="AE152">
        <v>865.419371564426</v>
      </c>
      <c r="AF152">
        <v>727.59560528980103</v>
      </c>
      <c r="AG152">
        <v>727.25110431390101</v>
      </c>
    </row>
    <row r="153" spans="1:33" x14ac:dyDescent="0.25">
      <c r="A153" s="1">
        <v>44204</v>
      </c>
      <c r="B153">
        <v>11623.5045552348</v>
      </c>
      <c r="C153">
        <v>8580.7350243016899</v>
      </c>
      <c r="D153">
        <v>9838.4941693583096</v>
      </c>
      <c r="E153">
        <v>11905.9668691808</v>
      </c>
      <c r="F153">
        <v>14398.220753846201</v>
      </c>
      <c r="G153">
        <v>13683.252347670201</v>
      </c>
      <c r="H153">
        <v>25550.350774178401</v>
      </c>
      <c r="I153">
        <v>18012.993222636302</v>
      </c>
      <c r="J153">
        <v>1692.7625198185699</v>
      </c>
      <c r="K153">
        <v>1710.3466999669299</v>
      </c>
      <c r="L153">
        <v>823.28695831170796</v>
      </c>
      <c r="M153">
        <v>11731.988635075801</v>
      </c>
      <c r="N153">
        <v>2789.8491409456901</v>
      </c>
      <c r="O153">
        <v>774.22676327925103</v>
      </c>
      <c r="P153">
        <v>1971.6476604373599</v>
      </c>
      <c r="Q153">
        <v>9522.3814282236508</v>
      </c>
      <c r="R153">
        <v>935.10753774490399</v>
      </c>
      <c r="S153">
        <v>228.310152813695</v>
      </c>
      <c r="T153">
        <v>235.14192974723099</v>
      </c>
      <c r="U153">
        <v>183.54274402430499</v>
      </c>
      <c r="V153">
        <v>229.62725786972899</v>
      </c>
      <c r="W153">
        <v>150.81100138547799</v>
      </c>
      <c r="X153">
        <v>169.29610695151399</v>
      </c>
      <c r="Y153">
        <v>858.33526187306404</v>
      </c>
      <c r="Z153">
        <v>176.33097618038701</v>
      </c>
      <c r="AA153">
        <v>675.616933336589</v>
      </c>
      <c r="AB153">
        <v>880.88533002368899</v>
      </c>
      <c r="AC153">
        <v>825.52392047645196</v>
      </c>
      <c r="AD153">
        <v>706.45069670118096</v>
      </c>
      <c r="AE153">
        <v>855.99643921059203</v>
      </c>
      <c r="AF153">
        <v>729.51782228737397</v>
      </c>
      <c r="AG153">
        <v>716.412310764724</v>
      </c>
    </row>
    <row r="154" spans="1:33" x14ac:dyDescent="0.25">
      <c r="A154" s="1">
        <v>44205</v>
      </c>
      <c r="B154">
        <v>11630.8797899808</v>
      </c>
      <c r="C154">
        <v>9044.6526121343395</v>
      </c>
      <c r="D154">
        <v>9669.2592325352998</v>
      </c>
      <c r="E154">
        <v>12002.750360133599</v>
      </c>
      <c r="F154">
        <v>14614.348158610799</v>
      </c>
      <c r="G154">
        <v>14087.7939604695</v>
      </c>
      <c r="H154">
        <v>26154.707141260998</v>
      </c>
      <c r="I154">
        <v>17980.947254865499</v>
      </c>
      <c r="J154">
        <v>1704.2875040899801</v>
      </c>
      <c r="K154">
        <v>1775.30779449849</v>
      </c>
      <c r="L154">
        <v>830.75465539769903</v>
      </c>
      <c r="M154">
        <v>12198.5002366844</v>
      </c>
      <c r="N154">
        <v>3142.2527253583398</v>
      </c>
      <c r="O154">
        <v>802.31091292046597</v>
      </c>
      <c r="P154">
        <v>2078.66351426336</v>
      </c>
      <c r="Q154">
        <v>9956.9862544655007</v>
      </c>
      <c r="R154">
        <v>964.954343279211</v>
      </c>
      <c r="S154">
        <v>232.68297587781899</v>
      </c>
      <c r="T154">
        <v>262.362047203869</v>
      </c>
      <c r="U154">
        <v>182.05905899918801</v>
      </c>
      <c r="V154">
        <v>258.27599932683398</v>
      </c>
      <c r="W154">
        <v>149.452344251955</v>
      </c>
      <c r="X154">
        <v>177.072321026092</v>
      </c>
      <c r="Y154">
        <v>863.51809199721401</v>
      </c>
      <c r="Z154">
        <v>175.25343278447201</v>
      </c>
      <c r="AA154">
        <v>679.71856772639001</v>
      </c>
      <c r="AB154">
        <v>890.10403882826802</v>
      </c>
      <c r="AC154">
        <v>826.068059332404</v>
      </c>
      <c r="AD154">
        <v>720.20702976679399</v>
      </c>
      <c r="AE154">
        <v>779.62481129483297</v>
      </c>
      <c r="AF154">
        <v>732.18957761834599</v>
      </c>
      <c r="AG154">
        <v>710.75542850646298</v>
      </c>
    </row>
    <row r="155" spans="1:33" x14ac:dyDescent="0.25">
      <c r="A155" s="1">
        <v>44206</v>
      </c>
      <c r="B155">
        <v>11614.3745265242</v>
      </c>
      <c r="C155">
        <v>9370.1356065637192</v>
      </c>
      <c r="D155">
        <v>9621.1330493944606</v>
      </c>
      <c r="E155">
        <v>12169.343319387999</v>
      </c>
      <c r="F155">
        <v>15171.4040366682</v>
      </c>
      <c r="G155">
        <v>14909.7973264997</v>
      </c>
      <c r="H155">
        <v>26821.6715363925</v>
      </c>
      <c r="I155">
        <v>18072.7758672153</v>
      </c>
      <c r="J155">
        <v>1720.16549103234</v>
      </c>
      <c r="K155">
        <v>1940.43058307555</v>
      </c>
      <c r="L155">
        <v>875.42182563564404</v>
      </c>
      <c r="M155">
        <v>13066.567493123301</v>
      </c>
      <c r="N155">
        <v>3841.2246894739701</v>
      </c>
      <c r="O155">
        <v>846.96048677317503</v>
      </c>
      <c r="P155">
        <v>2316.9137444908501</v>
      </c>
      <c r="Q155">
        <v>10918.5808616882</v>
      </c>
      <c r="R155">
        <v>1016.46149110098</v>
      </c>
      <c r="S155">
        <v>231.11859002565299</v>
      </c>
      <c r="T155">
        <v>315.04695615596597</v>
      </c>
      <c r="U155">
        <v>183.42679328690599</v>
      </c>
      <c r="V155">
        <v>317.245783033669</v>
      </c>
      <c r="W155">
        <v>149.79061816006899</v>
      </c>
      <c r="X155">
        <v>199.604871601479</v>
      </c>
      <c r="Y155">
        <v>862.36128729777397</v>
      </c>
      <c r="Z155">
        <v>174.30737143871201</v>
      </c>
      <c r="AA155">
        <v>680.57041057675895</v>
      </c>
      <c r="AB155">
        <v>883.49185436992298</v>
      </c>
      <c r="AC155">
        <v>826.60477592487405</v>
      </c>
      <c r="AD155">
        <v>755.58971807680496</v>
      </c>
      <c r="AE155">
        <v>774.46153565178895</v>
      </c>
      <c r="AF155">
        <v>733.89619518238101</v>
      </c>
      <c r="AG155">
        <v>712.45779145840902</v>
      </c>
    </row>
    <row r="156" spans="1:33" x14ac:dyDescent="0.25">
      <c r="A156" s="1">
        <v>44207</v>
      </c>
      <c r="B156">
        <v>11593.4517978555</v>
      </c>
      <c r="C156">
        <v>9924.1241354028407</v>
      </c>
      <c r="D156">
        <v>9601.4099903040296</v>
      </c>
      <c r="E156">
        <v>12247.054606744299</v>
      </c>
      <c r="F156">
        <v>15605.973644714901</v>
      </c>
      <c r="G156">
        <v>15266.488267603299</v>
      </c>
      <c r="H156">
        <v>26850.609190278701</v>
      </c>
      <c r="I156">
        <v>18361.064649495602</v>
      </c>
      <c r="J156">
        <v>1748.07062925485</v>
      </c>
      <c r="K156">
        <v>2024.0738530559499</v>
      </c>
      <c r="L156">
        <v>900.65284659957297</v>
      </c>
      <c r="M156">
        <v>13416.980247592899</v>
      </c>
      <c r="N156">
        <v>4152.5361600529604</v>
      </c>
      <c r="O156">
        <v>883.86587976820999</v>
      </c>
      <c r="P156">
        <v>2427.6217502452801</v>
      </c>
      <c r="Q156">
        <v>11325.6833552223</v>
      </c>
      <c r="R156">
        <v>1051.81244467435</v>
      </c>
      <c r="S156">
        <v>233.29267713217999</v>
      </c>
      <c r="T156">
        <v>359.464516762779</v>
      </c>
      <c r="U156">
        <v>182.480209003981</v>
      </c>
      <c r="V156">
        <v>352.51791616013202</v>
      </c>
      <c r="W156">
        <v>158.26693371618299</v>
      </c>
      <c r="X156">
        <v>214.0720757551</v>
      </c>
      <c r="Y156">
        <v>856.64206606302105</v>
      </c>
      <c r="Z156">
        <v>173.10184724632401</v>
      </c>
      <c r="AA156">
        <v>685.67741159926402</v>
      </c>
      <c r="AB156">
        <v>875.99065800575704</v>
      </c>
      <c r="AC156">
        <v>828.77725542021506</v>
      </c>
      <c r="AD156">
        <v>775.01658959980898</v>
      </c>
      <c r="AE156">
        <v>832.57666997922797</v>
      </c>
      <c r="AF156">
        <v>736.04367668266502</v>
      </c>
      <c r="AG156">
        <v>715.59156007192098</v>
      </c>
    </row>
    <row r="157" spans="1:33" x14ac:dyDescent="0.25">
      <c r="A157" s="1">
        <v>44208</v>
      </c>
      <c r="B157">
        <v>11592.952692197199</v>
      </c>
      <c r="C157">
        <v>10303.218760606</v>
      </c>
      <c r="D157">
        <v>9756.1130154937891</v>
      </c>
      <c r="E157">
        <v>12403.678826376899</v>
      </c>
      <c r="F157">
        <v>15945.9769376359</v>
      </c>
      <c r="G157">
        <v>15771.4338371341</v>
      </c>
      <c r="H157">
        <v>27206.2068478701</v>
      </c>
      <c r="I157">
        <v>18661.4064652661</v>
      </c>
      <c r="J157">
        <v>1787.05218890317</v>
      </c>
      <c r="K157">
        <v>2155.4370885578701</v>
      </c>
      <c r="L157">
        <v>931.28536042584903</v>
      </c>
      <c r="M157">
        <v>13943.8644550708</v>
      </c>
      <c r="N157">
        <v>4624.3331089025396</v>
      </c>
      <c r="O157">
        <v>925.50254432939596</v>
      </c>
      <c r="P157">
        <v>2602.7237584823001</v>
      </c>
      <c r="Q157">
        <v>11899.273869279599</v>
      </c>
      <c r="R157">
        <v>1088.64361997131</v>
      </c>
      <c r="S157">
        <v>232.56810404674201</v>
      </c>
      <c r="T157">
        <v>430.10304444657697</v>
      </c>
      <c r="U157">
        <v>181.89561694801699</v>
      </c>
      <c r="V157">
        <v>406.82441323625</v>
      </c>
      <c r="W157">
        <v>158.01269825388999</v>
      </c>
      <c r="X157">
        <v>232.036863446864</v>
      </c>
      <c r="Y157">
        <v>848.44787436804995</v>
      </c>
      <c r="Z157">
        <v>172.35895813068601</v>
      </c>
      <c r="AA157">
        <v>688.29814639371898</v>
      </c>
      <c r="AB157">
        <v>866.46734902838102</v>
      </c>
      <c r="AC157">
        <v>825.41379351848695</v>
      </c>
      <c r="AD157">
        <v>801.64035202682805</v>
      </c>
      <c r="AE157">
        <v>851.57537605662696</v>
      </c>
      <c r="AF157">
        <v>736.505040272732</v>
      </c>
      <c r="AG157">
        <v>721.205963709466</v>
      </c>
    </row>
    <row r="158" spans="1:33" x14ac:dyDescent="0.25">
      <c r="A158" s="1">
        <v>44209</v>
      </c>
      <c r="B158">
        <v>11619.494964714901</v>
      </c>
      <c r="C158">
        <v>10741.940885828901</v>
      </c>
      <c r="D158">
        <v>9807.0510368298601</v>
      </c>
      <c r="E158">
        <v>12349.073855802601</v>
      </c>
      <c r="F158">
        <v>16084.6566342279</v>
      </c>
      <c r="G158">
        <v>15494.398390894899</v>
      </c>
      <c r="H158">
        <v>26898.170349735901</v>
      </c>
      <c r="I158">
        <v>18934.329892534999</v>
      </c>
      <c r="J158">
        <v>1818.93494828852</v>
      </c>
      <c r="K158">
        <v>2160.07839486588</v>
      </c>
      <c r="L158">
        <v>945.08953468333698</v>
      </c>
      <c r="M158">
        <v>13755.1153896085</v>
      </c>
      <c r="N158">
        <v>4488.2559377510497</v>
      </c>
      <c r="O158">
        <v>928.95766030545406</v>
      </c>
      <c r="P158">
        <v>2600.15649398197</v>
      </c>
      <c r="Q158">
        <v>11741.607627039401</v>
      </c>
      <c r="R158">
        <v>1096.1601910485399</v>
      </c>
      <c r="S158">
        <v>232.070826449604</v>
      </c>
      <c r="T158">
        <v>418.72112876792397</v>
      </c>
      <c r="U158">
        <v>180.56229354184899</v>
      </c>
      <c r="V158">
        <v>390.813782587888</v>
      </c>
      <c r="W158">
        <v>159.469368849153</v>
      </c>
      <c r="X158">
        <v>219.77471988631299</v>
      </c>
      <c r="Y158">
        <v>840.74253167301504</v>
      </c>
      <c r="Z158">
        <v>170.75702885278801</v>
      </c>
      <c r="AA158">
        <v>692.632816666287</v>
      </c>
      <c r="AB158">
        <v>855.17837809789398</v>
      </c>
      <c r="AC158">
        <v>816.15146999994204</v>
      </c>
      <c r="AD158">
        <v>807.12035481575299</v>
      </c>
      <c r="AE158">
        <v>847.68927203231499</v>
      </c>
      <c r="AF158">
        <v>739.88160518105894</v>
      </c>
      <c r="AG158">
        <v>727.23218226377503</v>
      </c>
    </row>
    <row r="159" spans="1:33" x14ac:dyDescent="0.25">
      <c r="A159" s="1">
        <v>44210</v>
      </c>
      <c r="B159">
        <v>11628.555609827201</v>
      </c>
      <c r="C159">
        <v>10534.234010989399</v>
      </c>
      <c r="D159">
        <v>9949.8720856351101</v>
      </c>
      <c r="E159">
        <v>12266.3338664985</v>
      </c>
      <c r="F159">
        <v>15838.501017213001</v>
      </c>
      <c r="G159">
        <v>15075.8814624851</v>
      </c>
      <c r="H159">
        <v>26421.105859432999</v>
      </c>
      <c r="I159">
        <v>18946.050048356999</v>
      </c>
      <c r="J159">
        <v>1838.12220080363</v>
      </c>
      <c r="K159">
        <v>2125.00672090636</v>
      </c>
      <c r="L159">
        <v>943.84413932315704</v>
      </c>
      <c r="M159">
        <v>13343.4994990011</v>
      </c>
      <c r="N159">
        <v>4188.7282144669398</v>
      </c>
      <c r="O159">
        <v>910.23465696651999</v>
      </c>
      <c r="P159">
        <v>2531.5828781779801</v>
      </c>
      <c r="Q159">
        <v>11316.6050694637</v>
      </c>
      <c r="R159">
        <v>1083.7874545219199</v>
      </c>
      <c r="S159">
        <v>233.62235671832599</v>
      </c>
      <c r="T159">
        <v>388.532243179727</v>
      </c>
      <c r="U159">
        <v>180.51556883363699</v>
      </c>
      <c r="V159">
        <v>355.87927761056898</v>
      </c>
      <c r="W159">
        <v>173.848715448673</v>
      </c>
      <c r="X159">
        <v>197.31911006114601</v>
      </c>
      <c r="Y159">
        <v>826.76912197987394</v>
      </c>
      <c r="Z159">
        <v>169.42222690457501</v>
      </c>
      <c r="AA159">
        <v>695.52246776913296</v>
      </c>
      <c r="AB159">
        <v>848.61345914436697</v>
      </c>
      <c r="AC159">
        <v>810.32141499116199</v>
      </c>
      <c r="AD159">
        <v>803.65732363881705</v>
      </c>
      <c r="AE159">
        <v>848.16039658655995</v>
      </c>
      <c r="AF159">
        <v>744.12107410933402</v>
      </c>
      <c r="AG159">
        <v>733.03006765653595</v>
      </c>
    </row>
    <row r="160" spans="1:33" x14ac:dyDescent="0.25">
      <c r="A160" s="1">
        <v>44211</v>
      </c>
      <c r="B160">
        <v>11630.6918687506</v>
      </c>
      <c r="C160">
        <v>10127.090481970299</v>
      </c>
      <c r="D160">
        <v>10092.372995212399</v>
      </c>
      <c r="E160">
        <v>12169.8861163562</v>
      </c>
      <c r="F160">
        <v>15581.7739468119</v>
      </c>
      <c r="G160">
        <v>14715.3861443202</v>
      </c>
      <c r="H160">
        <v>26029.5742594615</v>
      </c>
      <c r="I160">
        <v>18811.330733523901</v>
      </c>
      <c r="J160">
        <v>1847.86187183691</v>
      </c>
      <c r="K160">
        <v>2082.7162997045002</v>
      </c>
      <c r="L160">
        <v>938.70441752135901</v>
      </c>
      <c r="M160">
        <v>12997.6716909034</v>
      </c>
      <c r="N160">
        <v>3891.88218399584</v>
      </c>
      <c r="O160">
        <v>895.07839894528297</v>
      </c>
      <c r="P160">
        <v>2461.60841638291</v>
      </c>
      <c r="Q160">
        <v>10929.306941233899</v>
      </c>
      <c r="R160">
        <v>1071.6611120110799</v>
      </c>
      <c r="S160">
        <v>234.91294431033199</v>
      </c>
      <c r="T160">
        <v>357.22958655257702</v>
      </c>
      <c r="U160">
        <v>178.80052998225599</v>
      </c>
      <c r="V160">
        <v>328.187908285221</v>
      </c>
      <c r="W160">
        <v>162.06440666958801</v>
      </c>
      <c r="X160">
        <v>185.053663518978</v>
      </c>
      <c r="Y160">
        <v>813.56929304079199</v>
      </c>
      <c r="Z160">
        <v>168.47320177172901</v>
      </c>
      <c r="AA160">
        <v>696.76703980414402</v>
      </c>
      <c r="AB160">
        <v>842.45252973927495</v>
      </c>
      <c r="AC160">
        <v>818.17193149946002</v>
      </c>
      <c r="AD160">
        <v>797.85312530927399</v>
      </c>
      <c r="AE160">
        <v>844.09221698486499</v>
      </c>
      <c r="AF160">
        <v>748.20862833893</v>
      </c>
      <c r="AG160">
        <v>739.46284030061599</v>
      </c>
    </row>
    <row r="161" spans="1:33" x14ac:dyDescent="0.25">
      <c r="A161" s="1">
        <v>44212</v>
      </c>
      <c r="B161">
        <v>11636.2143106269</v>
      </c>
      <c r="C161">
        <v>9942.1408865551202</v>
      </c>
      <c r="D161">
        <v>10218.370078706601</v>
      </c>
      <c r="E161">
        <v>12195.3477795654</v>
      </c>
      <c r="F161">
        <v>15590.534811712399</v>
      </c>
      <c r="G161">
        <v>14891.2575152878</v>
      </c>
      <c r="H161">
        <v>26208.1877428199</v>
      </c>
      <c r="I161">
        <v>18652.336040024598</v>
      </c>
      <c r="J161">
        <v>1860.1951686442801</v>
      </c>
      <c r="K161">
        <v>2084.4923008031201</v>
      </c>
      <c r="L161">
        <v>945.05831322393999</v>
      </c>
      <c r="M161">
        <v>13132.4133498797</v>
      </c>
      <c r="N161">
        <v>3915.1002542153901</v>
      </c>
      <c r="O161">
        <v>913.48162456735895</v>
      </c>
      <c r="P161">
        <v>2472.17325302379</v>
      </c>
      <c r="Q161">
        <v>11027.7643028655</v>
      </c>
      <c r="R161">
        <v>1083.74899889271</v>
      </c>
      <c r="S161">
        <v>233.94886672246099</v>
      </c>
      <c r="T161">
        <v>357.26764842154103</v>
      </c>
      <c r="U161">
        <v>178.89039820908499</v>
      </c>
      <c r="V161">
        <v>327.40429697688501</v>
      </c>
      <c r="W161">
        <v>160.02366854808599</v>
      </c>
      <c r="X161">
        <v>190.892520927878</v>
      </c>
      <c r="Y161">
        <v>818.64751059911703</v>
      </c>
      <c r="Z161">
        <v>168.42945328333701</v>
      </c>
      <c r="AA161">
        <v>696.868354879501</v>
      </c>
      <c r="AB161">
        <v>847.95229043941401</v>
      </c>
      <c r="AC161">
        <v>825.60462995887895</v>
      </c>
      <c r="AD161">
        <v>801.87009812337703</v>
      </c>
      <c r="AE161">
        <v>831.00077196131599</v>
      </c>
      <c r="AF161">
        <v>750.77259291247901</v>
      </c>
      <c r="AG161">
        <v>745.30014716912103</v>
      </c>
    </row>
    <row r="162" spans="1:33" x14ac:dyDescent="0.25">
      <c r="A162" s="1">
        <v>44213</v>
      </c>
      <c r="B162">
        <v>11664.7173525574</v>
      </c>
      <c r="C162">
        <v>10283.718486399001</v>
      </c>
      <c r="D162">
        <v>10209.6463107488</v>
      </c>
      <c r="E162">
        <v>12134.7970071245</v>
      </c>
      <c r="F162">
        <v>15691.974404656399</v>
      </c>
      <c r="G162">
        <v>14992.8490965047</v>
      </c>
      <c r="H162">
        <v>26182.5566342114</v>
      </c>
      <c r="I162">
        <v>18612.015343110299</v>
      </c>
      <c r="J162">
        <v>1863.04253367355</v>
      </c>
      <c r="K162">
        <v>2060.9259709820699</v>
      </c>
      <c r="L162">
        <v>951.97438712628298</v>
      </c>
      <c r="M162">
        <v>13184.610673015901</v>
      </c>
      <c r="N162">
        <v>3805.5095370685699</v>
      </c>
      <c r="O162">
        <v>920.49038805112605</v>
      </c>
      <c r="P162">
        <v>2447.9103809644098</v>
      </c>
      <c r="Q162">
        <v>11011.1652306341</v>
      </c>
      <c r="R162">
        <v>1085.7932373738099</v>
      </c>
      <c r="S162">
        <v>233.026308898574</v>
      </c>
      <c r="T162">
        <v>333.53407881536498</v>
      </c>
      <c r="U162">
        <v>176.28883470356101</v>
      </c>
      <c r="V162">
        <v>282.05551116128697</v>
      </c>
      <c r="W162">
        <v>164.05213255654601</v>
      </c>
      <c r="X162">
        <v>174.611092261256</v>
      </c>
      <c r="Y162">
        <v>829.80075910340202</v>
      </c>
      <c r="Z162">
        <v>168.55880417616601</v>
      </c>
      <c r="AA162">
        <v>698.09368140125105</v>
      </c>
      <c r="AB162">
        <v>854.86285372028203</v>
      </c>
      <c r="AC162">
        <v>829.80476741088205</v>
      </c>
      <c r="AD162">
        <v>802.18923306067097</v>
      </c>
      <c r="AE162">
        <v>839.22985734972895</v>
      </c>
      <c r="AF162">
        <v>753.73786117137001</v>
      </c>
      <c r="AG162">
        <v>749.15716482633502</v>
      </c>
    </row>
    <row r="163" spans="1:33" x14ac:dyDescent="0.25">
      <c r="A163" s="1">
        <v>44214</v>
      </c>
      <c r="B163">
        <v>11709.9734993567</v>
      </c>
      <c r="C163">
        <v>10561.9109507167</v>
      </c>
      <c r="D163">
        <v>10134.490561430601</v>
      </c>
      <c r="E163">
        <v>11980.6547027175</v>
      </c>
      <c r="F163">
        <v>15913.6206695576</v>
      </c>
      <c r="G163">
        <v>15087.647594497999</v>
      </c>
      <c r="H163">
        <v>25898.6980985583</v>
      </c>
      <c r="I163">
        <v>18626.792753093301</v>
      </c>
      <c r="J163">
        <v>1867.2172142182901</v>
      </c>
      <c r="K163">
        <v>2042.0352148704801</v>
      </c>
      <c r="L163">
        <v>946.73695178420405</v>
      </c>
      <c r="M163">
        <v>12685.995536001399</v>
      </c>
      <c r="N163">
        <v>3078.9086791867499</v>
      </c>
      <c r="O163">
        <v>980.06778314572102</v>
      </c>
      <c r="P163">
        <v>2349.7455539252101</v>
      </c>
      <c r="Q163">
        <v>10663.4836808581</v>
      </c>
      <c r="R163">
        <v>1113.2060354803</v>
      </c>
      <c r="S163">
        <v>230.85134457123601</v>
      </c>
      <c r="T163">
        <v>284.28426897816598</v>
      </c>
      <c r="U163">
        <v>177.04227324829199</v>
      </c>
      <c r="V163">
        <v>214.82246032040501</v>
      </c>
      <c r="W163">
        <v>177.258983984324</v>
      </c>
      <c r="X163">
        <v>169.75479335634799</v>
      </c>
      <c r="Y163">
        <v>845.10154493333505</v>
      </c>
      <c r="Z163">
        <v>169.158515727148</v>
      </c>
      <c r="AA163">
        <v>697.41358441751402</v>
      </c>
      <c r="AB163">
        <v>868.20846263799501</v>
      </c>
      <c r="AC163">
        <v>831.13227172501604</v>
      </c>
      <c r="AD163">
        <v>795.29064225141406</v>
      </c>
      <c r="AE163">
        <v>853.86894722340605</v>
      </c>
      <c r="AF163">
        <v>756.15642662455605</v>
      </c>
      <c r="AG163">
        <v>750.15974406533701</v>
      </c>
    </row>
    <row r="164" spans="1:33" x14ac:dyDescent="0.25">
      <c r="A164" s="1">
        <v>44215</v>
      </c>
      <c r="B164">
        <v>11702.066389240599</v>
      </c>
      <c r="C164">
        <v>10832.6612268507</v>
      </c>
      <c r="D164">
        <v>10004.3197102206</v>
      </c>
      <c r="E164">
        <v>11694.427861357801</v>
      </c>
      <c r="F164">
        <v>14678.6252879609</v>
      </c>
      <c r="G164">
        <v>12878.6572387986</v>
      </c>
      <c r="H164">
        <v>23948.7172114848</v>
      </c>
      <c r="I164">
        <v>18715.761419804599</v>
      </c>
      <c r="J164">
        <v>1777.7682685432801</v>
      </c>
      <c r="K164">
        <v>1836.32763518666</v>
      </c>
      <c r="L164">
        <v>863.15113926673996</v>
      </c>
      <c r="M164">
        <v>10273.548582761099</v>
      </c>
      <c r="N164">
        <v>1748.9720104969099</v>
      </c>
      <c r="O164">
        <v>845.50520547033602</v>
      </c>
      <c r="P164">
        <v>2037.6785914191901</v>
      </c>
      <c r="Q164">
        <v>8528.3541020380198</v>
      </c>
      <c r="R164">
        <v>1008.50836667749</v>
      </c>
      <c r="S164">
        <v>247.340295557883</v>
      </c>
      <c r="T164">
        <v>227.34647442147801</v>
      </c>
      <c r="U164">
        <v>175.06707305076401</v>
      </c>
      <c r="V164">
        <v>176.08917066216301</v>
      </c>
      <c r="W164">
        <v>188.73096027262301</v>
      </c>
      <c r="X164">
        <v>168.12745877530699</v>
      </c>
      <c r="Y164">
        <v>841.55298683712101</v>
      </c>
      <c r="Z164">
        <v>169.85099183499599</v>
      </c>
      <c r="AA164">
        <v>699.33610378581898</v>
      </c>
      <c r="AB164">
        <v>850.81816883963802</v>
      </c>
      <c r="AC164">
        <v>829.03195015117296</v>
      </c>
      <c r="AD164">
        <v>739.26889735299801</v>
      </c>
      <c r="AE164">
        <v>872.55275109043998</v>
      </c>
      <c r="AF164">
        <v>770.35088314764505</v>
      </c>
      <c r="AG164">
        <v>752.70238128207598</v>
      </c>
    </row>
    <row r="165" spans="1:33" x14ac:dyDescent="0.25">
      <c r="A165" s="1">
        <v>44216</v>
      </c>
      <c r="B165">
        <v>11799.1961083441</v>
      </c>
      <c r="C165">
        <v>8497.9060834917109</v>
      </c>
      <c r="D165">
        <v>10088.7708027846</v>
      </c>
      <c r="E165">
        <v>12040.006533691199</v>
      </c>
      <c r="F165">
        <v>15065.4526419747</v>
      </c>
      <c r="G165">
        <v>14655.593605889801</v>
      </c>
      <c r="H165">
        <v>28046.379755631999</v>
      </c>
      <c r="I165">
        <v>18720.487908557199</v>
      </c>
      <c r="J165">
        <v>1830.7056053531801</v>
      </c>
      <c r="K165">
        <v>1987.4062106424101</v>
      </c>
      <c r="L165">
        <v>846.47592988556903</v>
      </c>
      <c r="M165">
        <v>12566.1730923705</v>
      </c>
      <c r="N165">
        <v>2980.60681052258</v>
      </c>
      <c r="O165">
        <v>948.28913101888804</v>
      </c>
      <c r="P165">
        <v>2264.6465376409001</v>
      </c>
      <c r="Q165">
        <v>10540.5763858512</v>
      </c>
      <c r="R165">
        <v>1089.4151488963601</v>
      </c>
      <c r="S165">
        <v>244.18446508581499</v>
      </c>
      <c r="T165">
        <v>249.744490412723</v>
      </c>
      <c r="U165">
        <v>175.50025277350099</v>
      </c>
      <c r="V165">
        <v>237.85034582476999</v>
      </c>
      <c r="W165">
        <v>164.828391319123</v>
      </c>
      <c r="X165">
        <v>189.172088044692</v>
      </c>
      <c r="Y165">
        <v>851.60939262162003</v>
      </c>
      <c r="Z165">
        <v>172.192586009536</v>
      </c>
      <c r="AA165">
        <v>689.65108643123006</v>
      </c>
      <c r="AB165">
        <v>886.59196542603797</v>
      </c>
      <c r="AC165">
        <v>828.84153262403004</v>
      </c>
      <c r="AD165">
        <v>760.41575811464099</v>
      </c>
      <c r="AE165">
        <v>872.38040468925794</v>
      </c>
      <c r="AF165">
        <v>768.18712206227599</v>
      </c>
      <c r="AG165">
        <v>753.73068887118995</v>
      </c>
    </row>
    <row r="166" spans="1:33" x14ac:dyDescent="0.25">
      <c r="A166" s="1">
        <v>44217</v>
      </c>
      <c r="B166">
        <v>12113.259031781199</v>
      </c>
      <c r="C166">
        <v>9709.5060015245908</v>
      </c>
      <c r="D166">
        <v>10136.243969806401</v>
      </c>
      <c r="E166">
        <v>12261.617896493301</v>
      </c>
      <c r="F166">
        <v>16297.2348354896</v>
      </c>
      <c r="G166">
        <v>15805.465926912701</v>
      </c>
      <c r="H166">
        <v>29173.4914735989</v>
      </c>
      <c r="I166">
        <v>18777.764432618798</v>
      </c>
      <c r="J166">
        <v>1879.6299258141901</v>
      </c>
      <c r="K166">
        <v>2075.3384126707701</v>
      </c>
      <c r="L166">
        <v>938.28431696528105</v>
      </c>
      <c r="M166">
        <v>13454.777865022499</v>
      </c>
      <c r="N166">
        <v>3475.9708895110298</v>
      </c>
      <c r="O166">
        <v>993.28655025631701</v>
      </c>
      <c r="P166">
        <v>2396.5450777462902</v>
      </c>
      <c r="Q166">
        <v>11402.2309327364</v>
      </c>
      <c r="R166">
        <v>1165.11510339292</v>
      </c>
      <c r="S166">
        <v>239.85202679050201</v>
      </c>
      <c r="T166">
        <v>259.656706754715</v>
      </c>
      <c r="U166">
        <v>173.95163416260999</v>
      </c>
      <c r="V166">
        <v>261.01291978680098</v>
      </c>
      <c r="W166">
        <v>161.07017348351999</v>
      </c>
      <c r="X166">
        <v>198.74191019284399</v>
      </c>
      <c r="Y166">
        <v>859.51295362635301</v>
      </c>
      <c r="Z166">
        <v>175.241448580183</v>
      </c>
      <c r="AA166">
        <v>691.48569967489505</v>
      </c>
      <c r="AB166">
        <v>898.80246232999798</v>
      </c>
      <c r="AC166">
        <v>830.745561628362</v>
      </c>
      <c r="AD166">
        <v>797.62259495373803</v>
      </c>
      <c r="AE166">
        <v>878.91388018350597</v>
      </c>
      <c r="AF166">
        <v>767.22137393628498</v>
      </c>
      <c r="AG166">
        <v>750.43724250683897</v>
      </c>
    </row>
    <row r="167" spans="1:33" x14ac:dyDescent="0.25">
      <c r="A167" s="1">
        <v>44218</v>
      </c>
      <c r="B167">
        <v>12232.9168214039</v>
      </c>
      <c r="C167">
        <v>10857.045766036499</v>
      </c>
      <c r="D167">
        <v>10005.4866063996</v>
      </c>
      <c r="E167">
        <v>12516.579747587</v>
      </c>
      <c r="F167">
        <v>17251.5150460859</v>
      </c>
      <c r="G167">
        <v>16973.613314185899</v>
      </c>
      <c r="H167">
        <v>30484.6172826529</v>
      </c>
      <c r="I167">
        <v>18892.408919925801</v>
      </c>
      <c r="J167">
        <v>1948.68168347817</v>
      </c>
      <c r="K167">
        <v>2286.6800379708102</v>
      </c>
      <c r="L167">
        <v>1011.70968639765</v>
      </c>
      <c r="M167">
        <v>15044.8394857083</v>
      </c>
      <c r="N167">
        <v>4477.0986882364696</v>
      </c>
      <c r="O167">
        <v>1057.64783944077</v>
      </c>
      <c r="P167">
        <v>2715.6378657763998</v>
      </c>
      <c r="Q167">
        <v>12656.3207883548</v>
      </c>
      <c r="R167">
        <v>1247.3979316463401</v>
      </c>
      <c r="S167">
        <v>236.23606605942399</v>
      </c>
      <c r="T167">
        <v>316.77931435875797</v>
      </c>
      <c r="U167">
        <v>172.771961856183</v>
      </c>
      <c r="V167">
        <v>310.26043302541302</v>
      </c>
      <c r="W167">
        <v>158.645194008554</v>
      </c>
      <c r="X167">
        <v>209.87489982834299</v>
      </c>
      <c r="Y167">
        <v>865.03385144545996</v>
      </c>
      <c r="Z167">
        <v>177.874439865189</v>
      </c>
      <c r="AA167">
        <v>701.97104470476597</v>
      </c>
      <c r="AB167">
        <v>907.43496657453704</v>
      </c>
      <c r="AC167">
        <v>832.93322888077296</v>
      </c>
      <c r="AD167">
        <v>857.56583881636197</v>
      </c>
      <c r="AE167">
        <v>862.04884867505405</v>
      </c>
      <c r="AF167">
        <v>766.46160911099298</v>
      </c>
      <c r="AG167">
        <v>730.32837210976595</v>
      </c>
    </row>
    <row r="168" spans="1:33" x14ac:dyDescent="0.25">
      <c r="A168" s="1">
        <v>44219</v>
      </c>
      <c r="B168">
        <v>12255.066946005099</v>
      </c>
      <c r="C168">
        <v>11921.8081062366</v>
      </c>
      <c r="D168">
        <v>9854.6347914284197</v>
      </c>
      <c r="E168">
        <v>12273.4757238968</v>
      </c>
      <c r="F168">
        <v>17486.0920048117</v>
      </c>
      <c r="G168">
        <v>16517.432598567499</v>
      </c>
      <c r="H168">
        <v>28659.240211826302</v>
      </c>
      <c r="I168">
        <v>19149.9335391883</v>
      </c>
      <c r="J168">
        <v>1951.4949326810799</v>
      </c>
      <c r="K168">
        <v>2206.2794893313599</v>
      </c>
      <c r="L168">
        <v>1006.28213967648</v>
      </c>
      <c r="M168">
        <v>14410.915139172999</v>
      </c>
      <c r="N168">
        <v>3748.4928988850302</v>
      </c>
      <c r="O168">
        <v>1004.77748555414</v>
      </c>
      <c r="P168">
        <v>2597.73239117409</v>
      </c>
      <c r="Q168">
        <v>12146.321870760599</v>
      </c>
      <c r="R168">
        <v>1213.6905953211599</v>
      </c>
      <c r="S168">
        <v>239.12593272195701</v>
      </c>
      <c r="T168">
        <v>264.69991995975101</v>
      </c>
      <c r="U168">
        <v>170.09364135249501</v>
      </c>
      <c r="V168">
        <v>238.520106025497</v>
      </c>
      <c r="W168">
        <v>159.020192567647</v>
      </c>
      <c r="X168">
        <v>168.836707249765</v>
      </c>
      <c r="Y168">
        <v>859.68962964504203</v>
      </c>
      <c r="Z168">
        <v>179.714047449009</v>
      </c>
      <c r="AA168">
        <v>711.23770680592702</v>
      </c>
      <c r="AB168">
        <v>895.20520477105902</v>
      </c>
      <c r="AC168">
        <v>838.73319996112298</v>
      </c>
      <c r="AD168">
        <v>846.63535171669696</v>
      </c>
      <c r="AE168">
        <v>844.55628296724694</v>
      </c>
      <c r="AF168">
        <v>768.73860519557002</v>
      </c>
      <c r="AG168">
        <v>725.27824802552402</v>
      </c>
    </row>
    <row r="169" spans="1:33" x14ac:dyDescent="0.25">
      <c r="A169" s="1">
        <v>44220</v>
      </c>
      <c r="B169">
        <v>12075.6390992959</v>
      </c>
      <c r="C169">
        <v>11399.7465465605</v>
      </c>
      <c r="D169">
        <v>10096.9854016348</v>
      </c>
      <c r="E169">
        <v>12375.727491313401</v>
      </c>
      <c r="F169">
        <v>17254.3156630995</v>
      </c>
      <c r="G169">
        <v>16805.885669627802</v>
      </c>
      <c r="H169">
        <v>29543.597316252399</v>
      </c>
      <c r="I169">
        <v>19282.211652552101</v>
      </c>
      <c r="J169">
        <v>1982.82472410589</v>
      </c>
      <c r="K169">
        <v>2298.7096904241398</v>
      </c>
      <c r="L169">
        <v>1020.12668774621</v>
      </c>
      <c r="M169">
        <v>15061.2050222003</v>
      </c>
      <c r="N169">
        <v>4443.99229868364</v>
      </c>
      <c r="O169">
        <v>1022.4464315352</v>
      </c>
      <c r="P169">
        <v>2730.1364634820502</v>
      </c>
      <c r="Q169">
        <v>12863.4425565438</v>
      </c>
      <c r="R169">
        <v>1249.68981875842</v>
      </c>
      <c r="S169">
        <v>248.01310038401701</v>
      </c>
      <c r="T169">
        <v>327.37312695445303</v>
      </c>
      <c r="U169">
        <v>170.42700716458501</v>
      </c>
      <c r="V169">
        <v>302.65437953203599</v>
      </c>
      <c r="W169">
        <v>167.63021903089501</v>
      </c>
      <c r="X169">
        <v>192.82684306025899</v>
      </c>
      <c r="Y169">
        <v>864.07642029159695</v>
      </c>
      <c r="Z169">
        <v>182.496563505165</v>
      </c>
      <c r="AA169">
        <v>716.43786726738301</v>
      </c>
      <c r="AB169">
        <v>895.26071301885304</v>
      </c>
      <c r="AC169">
        <v>845.81046574945196</v>
      </c>
      <c r="AD169">
        <v>874.02607895347205</v>
      </c>
      <c r="AE169">
        <v>845.26298433698298</v>
      </c>
      <c r="AF169">
        <v>770.19011609127199</v>
      </c>
      <c r="AG169">
        <v>732.28888526380399</v>
      </c>
    </row>
    <row r="170" spans="1:33" x14ac:dyDescent="0.25">
      <c r="A170" s="1">
        <v>44221</v>
      </c>
      <c r="B170">
        <v>11946.656779126801</v>
      </c>
      <c r="C170">
        <v>12018.0675443817</v>
      </c>
      <c r="D170">
        <v>10387.7177810918</v>
      </c>
      <c r="E170">
        <v>12100.661939567801</v>
      </c>
      <c r="F170">
        <v>17348.930428706899</v>
      </c>
      <c r="G170">
        <v>16128.719880656001</v>
      </c>
      <c r="H170">
        <v>29256.646562083701</v>
      </c>
      <c r="I170">
        <v>19369.4144162228</v>
      </c>
      <c r="J170">
        <v>2028.23189362069</v>
      </c>
      <c r="K170">
        <v>2229.1895719803101</v>
      </c>
      <c r="L170">
        <v>1013.8714364331501</v>
      </c>
      <c r="M170">
        <v>14285.6374836287</v>
      </c>
      <c r="N170">
        <v>3851.4924726775898</v>
      </c>
      <c r="O170">
        <v>1047.85917300343</v>
      </c>
      <c r="P170">
        <v>2577.7350134087701</v>
      </c>
      <c r="Q170">
        <v>12130.2290127161</v>
      </c>
      <c r="R170">
        <v>1257.62537286866</v>
      </c>
      <c r="S170">
        <v>249.102443711646</v>
      </c>
      <c r="T170">
        <v>285.138272995644</v>
      </c>
      <c r="U170">
        <v>170.73274661398199</v>
      </c>
      <c r="V170">
        <v>230.08507736757301</v>
      </c>
      <c r="W170">
        <v>166.19546820580101</v>
      </c>
      <c r="X170">
        <v>163.25817956489701</v>
      </c>
      <c r="Y170">
        <v>864.20285690994001</v>
      </c>
      <c r="Z170">
        <v>184.27013582335599</v>
      </c>
      <c r="AA170">
        <v>725.90759030324705</v>
      </c>
      <c r="AB170">
        <v>889.30889307740301</v>
      </c>
      <c r="AC170">
        <v>849.30250642944497</v>
      </c>
      <c r="AD170">
        <v>859.81917765292201</v>
      </c>
      <c r="AE170">
        <v>847.70167458677201</v>
      </c>
      <c r="AF170">
        <v>767.06931729079201</v>
      </c>
      <c r="AG170">
        <v>747.66764318190098</v>
      </c>
    </row>
    <row r="171" spans="1:33" x14ac:dyDescent="0.25">
      <c r="A171" s="1">
        <v>44222</v>
      </c>
      <c r="B171">
        <v>11796.2667253746</v>
      </c>
      <c r="C171">
        <v>11675.1585872617</v>
      </c>
      <c r="D171">
        <v>10858.916133893799</v>
      </c>
      <c r="E171">
        <v>12464.7231370227</v>
      </c>
      <c r="F171">
        <v>16255.811655719799</v>
      </c>
      <c r="G171">
        <v>15328.550835091801</v>
      </c>
      <c r="H171">
        <v>27952.068165206099</v>
      </c>
      <c r="I171">
        <v>18843.266463033899</v>
      </c>
      <c r="J171">
        <v>2036.1092918075999</v>
      </c>
      <c r="K171">
        <v>2106.5187420499301</v>
      </c>
      <c r="L171">
        <v>987.95505203602204</v>
      </c>
      <c r="M171">
        <v>14227.106561127801</v>
      </c>
      <c r="N171">
        <v>3963.1629725737698</v>
      </c>
      <c r="O171">
        <v>943.46484244353405</v>
      </c>
      <c r="P171">
        <v>2497.14864091657</v>
      </c>
      <c r="Q171">
        <v>11653.227569538099</v>
      </c>
      <c r="R171">
        <v>1132.2697076675199</v>
      </c>
      <c r="S171">
        <v>265.71105159426702</v>
      </c>
      <c r="T171">
        <v>302.53568415051501</v>
      </c>
      <c r="U171">
        <v>169.73157448724399</v>
      </c>
      <c r="V171">
        <v>280.65763139218399</v>
      </c>
      <c r="W171">
        <v>165.789411297653</v>
      </c>
      <c r="X171">
        <v>188.77586797858999</v>
      </c>
      <c r="Y171">
        <v>869.22414504364895</v>
      </c>
      <c r="Z171">
        <v>189.25312113313299</v>
      </c>
      <c r="AA171">
        <v>734.13397386013503</v>
      </c>
      <c r="AB171">
        <v>888.67663857363095</v>
      </c>
      <c r="AC171">
        <v>849.21565747868794</v>
      </c>
      <c r="AD171">
        <v>844.80471748011303</v>
      </c>
      <c r="AE171">
        <v>855.55607511967605</v>
      </c>
      <c r="AF171">
        <v>775.88418852683299</v>
      </c>
      <c r="AG171">
        <v>766.34590802607102</v>
      </c>
    </row>
    <row r="172" spans="1:33" x14ac:dyDescent="0.25">
      <c r="A172" s="1">
        <v>44223</v>
      </c>
      <c r="B172">
        <v>11707.625864793799</v>
      </c>
      <c r="C172">
        <v>10924.930094577499</v>
      </c>
      <c r="D172">
        <v>11342.1696669597</v>
      </c>
      <c r="E172">
        <v>13570.864265292899</v>
      </c>
      <c r="F172">
        <v>17399.750368013301</v>
      </c>
      <c r="G172">
        <v>17947.375439425799</v>
      </c>
      <c r="H172">
        <v>29335.307902438399</v>
      </c>
      <c r="I172">
        <v>18838.272261007402</v>
      </c>
      <c r="J172">
        <v>2053.5272128043598</v>
      </c>
      <c r="K172">
        <v>2473.3569955672501</v>
      </c>
      <c r="L172">
        <v>1084.07834532007</v>
      </c>
      <c r="M172">
        <v>16329.1580437467</v>
      </c>
      <c r="N172">
        <v>6103.7073923962798</v>
      </c>
      <c r="O172">
        <v>1008.78291633225</v>
      </c>
      <c r="P172">
        <v>3109.2339622786199</v>
      </c>
      <c r="Q172">
        <v>13702.087076683099</v>
      </c>
      <c r="R172">
        <v>1195.7678833601799</v>
      </c>
      <c r="S172">
        <v>225.17582347951</v>
      </c>
      <c r="T172">
        <v>526.21741925427</v>
      </c>
      <c r="U172">
        <v>171.33925827206301</v>
      </c>
      <c r="V172">
        <v>510.89227260003599</v>
      </c>
      <c r="W172">
        <v>176.20774556094599</v>
      </c>
      <c r="X172">
        <v>263.46617070775397</v>
      </c>
      <c r="Y172">
        <v>899.07935317112401</v>
      </c>
      <c r="Z172">
        <v>205.828043387001</v>
      </c>
      <c r="AA172">
        <v>743.607924674576</v>
      </c>
      <c r="AB172">
        <v>920.28401882700098</v>
      </c>
      <c r="AC172">
        <v>846.16481077022104</v>
      </c>
      <c r="AD172">
        <v>941.98594533692096</v>
      </c>
      <c r="AE172">
        <v>847.07972500748394</v>
      </c>
      <c r="AF172">
        <v>780.37014599933298</v>
      </c>
      <c r="AG172">
        <v>797.65292721678497</v>
      </c>
    </row>
    <row r="173" spans="1:33" x14ac:dyDescent="0.25">
      <c r="A173" s="1">
        <v>44224</v>
      </c>
      <c r="B173">
        <v>11735.780002225199</v>
      </c>
      <c r="C173">
        <v>11603.192433460999</v>
      </c>
      <c r="D173">
        <v>11287.8048467758</v>
      </c>
      <c r="E173">
        <v>13102.8035933094</v>
      </c>
      <c r="F173">
        <v>17705.310281222799</v>
      </c>
      <c r="G173">
        <v>17255.6852341433</v>
      </c>
      <c r="H173">
        <v>28221.613340808301</v>
      </c>
      <c r="I173">
        <v>19323.934811798499</v>
      </c>
      <c r="J173">
        <v>2024.3808066491099</v>
      </c>
      <c r="K173">
        <v>2506.4956870050801</v>
      </c>
      <c r="L173">
        <v>1103.90181651906</v>
      </c>
      <c r="M173">
        <v>15480.090711482</v>
      </c>
      <c r="N173">
        <v>5006.0931681850598</v>
      </c>
      <c r="O173">
        <v>938.34960821611503</v>
      </c>
      <c r="P173">
        <v>3073.1669231624001</v>
      </c>
      <c r="Q173">
        <v>13291.022762970801</v>
      </c>
      <c r="R173">
        <v>1200.1049688442199</v>
      </c>
      <c r="S173">
        <v>259.79452614001599</v>
      </c>
      <c r="T173">
        <v>430.73374364571703</v>
      </c>
      <c r="U173">
        <v>172.89855977607101</v>
      </c>
      <c r="V173">
        <v>345.632702647759</v>
      </c>
      <c r="W173">
        <v>173.04993677930301</v>
      </c>
      <c r="X173">
        <v>189.67758990488301</v>
      </c>
      <c r="Y173">
        <v>888.15569856547302</v>
      </c>
      <c r="Z173">
        <v>227.34983276678099</v>
      </c>
      <c r="AA173">
        <v>751.37114101623695</v>
      </c>
      <c r="AB173">
        <v>910.09382838517001</v>
      </c>
      <c r="AC173">
        <v>843.18752522610805</v>
      </c>
      <c r="AD173">
        <v>925.46626899523801</v>
      </c>
      <c r="AE173">
        <v>711.74036657697604</v>
      </c>
      <c r="AF173">
        <v>791.70410251909198</v>
      </c>
      <c r="AG173">
        <v>843.10952566259505</v>
      </c>
    </row>
    <row r="174" spans="1:33" x14ac:dyDescent="0.25">
      <c r="A174" s="1">
        <v>44225</v>
      </c>
      <c r="B174">
        <v>11791.005898552399</v>
      </c>
      <c r="C174">
        <v>11542.5547922401</v>
      </c>
      <c r="D174">
        <v>11183.8234633957</v>
      </c>
      <c r="E174">
        <v>12754.430320789699</v>
      </c>
      <c r="F174">
        <v>16994.3455716303</v>
      </c>
      <c r="G174">
        <v>15444.6337356025</v>
      </c>
      <c r="H174">
        <v>26613.805241253602</v>
      </c>
      <c r="I174">
        <v>19687.561442687798</v>
      </c>
      <c r="J174">
        <v>1986.5787272877101</v>
      </c>
      <c r="K174">
        <v>2186.0214684126299</v>
      </c>
      <c r="L174">
        <v>1005.1720157626499</v>
      </c>
      <c r="M174">
        <v>13697.4839650389</v>
      </c>
      <c r="N174">
        <v>3763.4517109533499</v>
      </c>
      <c r="O174">
        <v>783.411590540661</v>
      </c>
      <c r="P174">
        <v>2584.5304554541599</v>
      </c>
      <c r="Q174">
        <v>11637.633292849199</v>
      </c>
      <c r="R174">
        <v>1058.61145237858</v>
      </c>
      <c r="S174">
        <v>287.28537085214401</v>
      </c>
      <c r="T174">
        <v>320.37904620062199</v>
      </c>
      <c r="U174">
        <v>179.183328859705</v>
      </c>
      <c r="V174">
        <v>243.735994372215</v>
      </c>
      <c r="W174">
        <v>168.121386178319</v>
      </c>
      <c r="X174">
        <v>177.16525490330699</v>
      </c>
      <c r="Y174">
        <v>871.04116089770503</v>
      </c>
      <c r="Z174">
        <v>236.594792177171</v>
      </c>
      <c r="AA174">
        <v>761.80964924222599</v>
      </c>
      <c r="AB174">
        <v>894.45770605154803</v>
      </c>
      <c r="AC174">
        <v>835.88590289195099</v>
      </c>
      <c r="AD174">
        <v>837.055001882292</v>
      </c>
      <c r="AE174">
        <v>546.25173539933996</v>
      </c>
      <c r="AF174">
        <v>801.93132275688595</v>
      </c>
      <c r="AG174">
        <v>906.22181407381595</v>
      </c>
    </row>
    <row r="175" spans="1:33" x14ac:dyDescent="0.25">
      <c r="A175" s="1">
        <v>44226</v>
      </c>
      <c r="B175">
        <v>11826.957765487499</v>
      </c>
      <c r="C175">
        <v>9790.2574334477704</v>
      </c>
      <c r="D175">
        <v>11156.1237892156</v>
      </c>
      <c r="E175">
        <v>12517.125403161001</v>
      </c>
      <c r="F175">
        <v>15219.213126335</v>
      </c>
      <c r="G175">
        <v>13300.785869470999</v>
      </c>
      <c r="H175">
        <v>24758.793904761798</v>
      </c>
      <c r="I175">
        <v>19433.869047824901</v>
      </c>
      <c r="J175">
        <v>1930.9672855634899</v>
      </c>
      <c r="K175">
        <v>1894.5969047342301</v>
      </c>
      <c r="L175">
        <v>899.227170076422</v>
      </c>
      <c r="M175">
        <v>11649.7106967624</v>
      </c>
      <c r="N175">
        <v>2567.8211047148402</v>
      </c>
      <c r="O175">
        <v>661.28985833503805</v>
      </c>
      <c r="P175">
        <v>2156.4166625068401</v>
      </c>
      <c r="Q175">
        <v>9564.8019343432206</v>
      </c>
      <c r="R175">
        <v>889.39004060522905</v>
      </c>
      <c r="S175">
        <v>309.86364928010897</v>
      </c>
      <c r="T175">
        <v>253.85969051763399</v>
      </c>
      <c r="U175">
        <v>190.25190540349399</v>
      </c>
      <c r="V175">
        <v>188.59360053969999</v>
      </c>
      <c r="W175">
        <v>168.94470326498401</v>
      </c>
      <c r="X175">
        <v>169.267174752024</v>
      </c>
      <c r="Y175">
        <v>865.98483785042595</v>
      </c>
      <c r="Z175">
        <v>248.47207114369701</v>
      </c>
      <c r="AA175">
        <v>772.81804846872603</v>
      </c>
      <c r="AB175">
        <v>896.43999953273305</v>
      </c>
      <c r="AC175">
        <v>618.523272368981</v>
      </c>
      <c r="AD175">
        <v>767.48921077348496</v>
      </c>
      <c r="AE175">
        <v>565.46382188898804</v>
      </c>
      <c r="AF175">
        <v>821.94649039549699</v>
      </c>
      <c r="AG175">
        <v>968.74669526495302</v>
      </c>
    </row>
    <row r="176" spans="1:33" x14ac:dyDescent="0.25">
      <c r="A176" s="1">
        <v>44227</v>
      </c>
      <c r="B176">
        <v>11898.8594445574</v>
      </c>
      <c r="C176">
        <v>7933.5374662282102</v>
      </c>
      <c r="D176">
        <v>11143.779380481499</v>
      </c>
      <c r="E176">
        <v>12503.5165145356</v>
      </c>
      <c r="F176">
        <v>13937.894781128</v>
      </c>
      <c r="G176">
        <v>12277.0729891629</v>
      </c>
      <c r="H176">
        <v>24078.926798367698</v>
      </c>
      <c r="I176">
        <v>18721.284667460299</v>
      </c>
      <c r="J176">
        <v>1882.12251846811</v>
      </c>
      <c r="K176">
        <v>1730.2727271318299</v>
      </c>
      <c r="L176">
        <v>839.76948247010796</v>
      </c>
      <c r="M176">
        <v>10640.1029478252</v>
      </c>
      <c r="N176">
        <v>2029.7619136368</v>
      </c>
      <c r="O176">
        <v>630.32356964407802</v>
      </c>
      <c r="P176">
        <v>1950.6938164513799</v>
      </c>
      <c r="Q176">
        <v>8484.8154984603007</v>
      </c>
      <c r="R176">
        <v>829.97502847256101</v>
      </c>
      <c r="S176">
        <v>329.08541143082999</v>
      </c>
      <c r="T176">
        <v>227.13392189140899</v>
      </c>
      <c r="U176">
        <v>247.660465457714</v>
      </c>
      <c r="V176">
        <v>172.848973704624</v>
      </c>
      <c r="W176">
        <v>173.75956847203199</v>
      </c>
      <c r="X176">
        <v>169.76363823541701</v>
      </c>
      <c r="Y176">
        <v>762.60956209255198</v>
      </c>
      <c r="Z176">
        <v>250.38531294049699</v>
      </c>
      <c r="AA176">
        <v>783.60831591948295</v>
      </c>
      <c r="AB176">
        <v>844.83545152982902</v>
      </c>
      <c r="AC176">
        <v>655.26682458528501</v>
      </c>
      <c r="AD176">
        <v>724.54026415974704</v>
      </c>
      <c r="AE176">
        <v>625.71758337013705</v>
      </c>
      <c r="AF176">
        <v>857.01280104508601</v>
      </c>
      <c r="AG176">
        <v>986.815870036089</v>
      </c>
    </row>
    <row r="177" spans="1:33" x14ac:dyDescent="0.25">
      <c r="A177" s="1">
        <v>44228</v>
      </c>
      <c r="B177">
        <v>11985.488735316099</v>
      </c>
      <c r="C177">
        <v>7098.6922694021196</v>
      </c>
      <c r="D177">
        <v>10810.404874619</v>
      </c>
      <c r="E177">
        <v>12566.050298608399</v>
      </c>
      <c r="F177">
        <v>13275.0000201415</v>
      </c>
      <c r="G177">
        <v>11982.599179934001</v>
      </c>
      <c r="H177">
        <v>24081.229181411902</v>
      </c>
      <c r="I177">
        <v>17997.0280692913</v>
      </c>
      <c r="J177">
        <v>1836.8622318724499</v>
      </c>
      <c r="K177">
        <v>1627.0423323616101</v>
      </c>
      <c r="L177">
        <v>804.43005105701604</v>
      </c>
      <c r="M177">
        <v>10266.4240287578</v>
      </c>
      <c r="N177">
        <v>1766.9518822753801</v>
      </c>
      <c r="O177">
        <v>629.54314328792998</v>
      </c>
      <c r="P177">
        <v>1839.03000572411</v>
      </c>
      <c r="Q177">
        <v>8118.7479354310799</v>
      </c>
      <c r="R177">
        <v>810.94281698896395</v>
      </c>
      <c r="S177">
        <v>347.55060095034099</v>
      </c>
      <c r="T177">
        <v>214.14710899590801</v>
      </c>
      <c r="U177">
        <v>224.236861705818</v>
      </c>
      <c r="V177">
        <v>171.859404523585</v>
      </c>
      <c r="W177">
        <v>183.11182638889801</v>
      </c>
      <c r="X177">
        <v>169.72460972046699</v>
      </c>
      <c r="Y177">
        <v>727.99343380768198</v>
      </c>
      <c r="Z177">
        <v>236.70278920963</v>
      </c>
      <c r="AA177">
        <v>790.29787173479895</v>
      </c>
      <c r="AB177">
        <v>802.41320392611306</v>
      </c>
      <c r="AC177">
        <v>672.01108270100099</v>
      </c>
      <c r="AD177">
        <v>697.37308434337297</v>
      </c>
      <c r="AE177">
        <v>671.73357935012496</v>
      </c>
      <c r="AF177">
        <v>857.688763207536</v>
      </c>
      <c r="AG177">
        <v>957.39712950073294</v>
      </c>
    </row>
    <row r="178" spans="1:33" x14ac:dyDescent="0.25">
      <c r="A178" s="1">
        <v>44229</v>
      </c>
      <c r="B178">
        <v>11996.803936542699</v>
      </c>
      <c r="C178">
        <v>6879.5391348489402</v>
      </c>
      <c r="D178">
        <v>9824.4802605170207</v>
      </c>
      <c r="E178">
        <v>12314.3665739147</v>
      </c>
      <c r="F178">
        <v>12552.1405923614</v>
      </c>
      <c r="G178">
        <v>10893.807609851199</v>
      </c>
      <c r="H178">
        <v>22378.2550377398</v>
      </c>
      <c r="I178">
        <v>17674.631158987599</v>
      </c>
      <c r="J178">
        <v>1780.0548828239901</v>
      </c>
      <c r="K178">
        <v>1488.4673863436601</v>
      </c>
      <c r="L178">
        <v>786.12929045711201</v>
      </c>
      <c r="M178">
        <v>9090.3651796978793</v>
      </c>
      <c r="N178">
        <v>1230.43532947177</v>
      </c>
      <c r="O178">
        <v>578.99831806074701</v>
      </c>
      <c r="P178">
        <v>1616.54587961879</v>
      </c>
      <c r="Q178">
        <v>6794.0269843660899</v>
      </c>
      <c r="R178">
        <v>759.55869529826305</v>
      </c>
      <c r="S178">
        <v>362.249257709853</v>
      </c>
      <c r="T178">
        <v>203.76097895003599</v>
      </c>
      <c r="U178">
        <v>226.33648528260301</v>
      </c>
      <c r="V178">
        <v>185.275272135352</v>
      </c>
      <c r="W178">
        <v>172.22522074754599</v>
      </c>
      <c r="X178">
        <v>183.691195462579</v>
      </c>
      <c r="Y178">
        <v>745.95366954613803</v>
      </c>
      <c r="Z178">
        <v>221.47366161335799</v>
      </c>
      <c r="AA178">
        <v>792.14823970971395</v>
      </c>
      <c r="AB178">
        <v>819.45406688967</v>
      </c>
      <c r="AC178">
        <v>689.95606554200299</v>
      </c>
      <c r="AD178">
        <v>672.87344954977004</v>
      </c>
      <c r="AE178">
        <v>782.15814995544895</v>
      </c>
      <c r="AF178">
        <v>790.00745042041501</v>
      </c>
      <c r="AG178">
        <v>919.53197641531199</v>
      </c>
    </row>
    <row r="179" spans="1:33" x14ac:dyDescent="0.25">
      <c r="A179" s="1">
        <v>44230</v>
      </c>
      <c r="B179">
        <v>12011.553820081401</v>
      </c>
      <c r="C179">
        <v>6048.5636620161804</v>
      </c>
      <c r="D179">
        <v>8849.2877047582006</v>
      </c>
      <c r="E179">
        <v>12009.4920823707</v>
      </c>
      <c r="F179">
        <v>11010.7145830966</v>
      </c>
      <c r="G179">
        <v>9376.2034155578494</v>
      </c>
      <c r="H179">
        <v>21246.2795198401</v>
      </c>
      <c r="I179">
        <v>17146.9248221257</v>
      </c>
      <c r="J179">
        <v>1740.0366435430301</v>
      </c>
      <c r="K179">
        <v>1361.8791261291999</v>
      </c>
      <c r="L179">
        <v>771.09718226022505</v>
      </c>
      <c r="M179">
        <v>7766.26875157222</v>
      </c>
      <c r="N179">
        <v>891.02752984618905</v>
      </c>
      <c r="O179">
        <v>527.345741918317</v>
      </c>
      <c r="P179">
        <v>1439.8422271377001</v>
      </c>
      <c r="Q179">
        <v>5486.0662205012804</v>
      </c>
      <c r="R179">
        <v>688.27314000624597</v>
      </c>
      <c r="S179">
        <v>383.10771264353599</v>
      </c>
      <c r="T179">
        <v>200.88856707783799</v>
      </c>
      <c r="U179">
        <v>235.144557185076</v>
      </c>
      <c r="V179">
        <v>182.33980332199599</v>
      </c>
      <c r="W179">
        <v>160.30961697812899</v>
      </c>
      <c r="X179">
        <v>177.574084877638</v>
      </c>
      <c r="Y179">
        <v>757.79010077398596</v>
      </c>
      <c r="Z179">
        <v>220.909719539093</v>
      </c>
      <c r="AA179">
        <v>796.04343525084505</v>
      </c>
      <c r="AB179">
        <v>833.21423703113396</v>
      </c>
      <c r="AC179">
        <v>716.30831696755297</v>
      </c>
      <c r="AD179">
        <v>656.80433557024696</v>
      </c>
      <c r="AE179">
        <v>911.77171819128398</v>
      </c>
      <c r="AF179">
        <v>728.59911336974199</v>
      </c>
      <c r="AG179">
        <v>910.65986124432504</v>
      </c>
    </row>
    <row r="180" spans="1:33" x14ac:dyDescent="0.25">
      <c r="A180" s="1">
        <v>44231</v>
      </c>
      <c r="B180">
        <v>11916.474559862099</v>
      </c>
      <c r="C180">
        <v>5267.2623086224103</v>
      </c>
      <c r="D180">
        <v>8208.7269126281208</v>
      </c>
      <c r="E180">
        <v>11720.732504731101</v>
      </c>
      <c r="F180">
        <v>10047.455322269199</v>
      </c>
      <c r="G180">
        <v>8158.1359916807796</v>
      </c>
      <c r="H180">
        <v>20201.945119503798</v>
      </c>
      <c r="I180">
        <v>16181.8085351052</v>
      </c>
      <c r="J180">
        <v>1695.23931584347</v>
      </c>
      <c r="K180">
        <v>1268.4850773998801</v>
      </c>
      <c r="L180">
        <v>754.26616604573701</v>
      </c>
      <c r="M180">
        <v>6664.32664915439</v>
      </c>
      <c r="N180">
        <v>759.92273410867597</v>
      </c>
      <c r="O180">
        <v>505.511984610176</v>
      </c>
      <c r="P180">
        <v>1324.2175708247401</v>
      </c>
      <c r="Q180">
        <v>4493.1791098772801</v>
      </c>
      <c r="R180">
        <v>654.299694146212</v>
      </c>
      <c r="S180">
        <v>410.72026826404499</v>
      </c>
      <c r="T180">
        <v>196.068909671608</v>
      </c>
      <c r="U180">
        <v>233.50948135557499</v>
      </c>
      <c r="V180">
        <v>170.90174065988899</v>
      </c>
      <c r="W180">
        <v>162.39941769309399</v>
      </c>
      <c r="X180">
        <v>163.21254978776301</v>
      </c>
      <c r="Y180">
        <v>781.91827663931497</v>
      </c>
      <c r="Z180">
        <v>222.174962941551</v>
      </c>
      <c r="AA180">
        <v>799.03005552483205</v>
      </c>
      <c r="AB180">
        <v>845.32187265656</v>
      </c>
      <c r="AC180">
        <v>750.27922146709295</v>
      </c>
      <c r="AD180">
        <v>640.30316988520406</v>
      </c>
      <c r="AE180">
        <v>1023.13288023532</v>
      </c>
      <c r="AF180">
        <v>700.40103835417699</v>
      </c>
      <c r="AG180">
        <v>899.09521718798703</v>
      </c>
    </row>
    <row r="181" spans="1:33" x14ac:dyDescent="0.25">
      <c r="A181" s="1">
        <v>44232</v>
      </c>
      <c r="B181">
        <v>11673.6053103012</v>
      </c>
      <c r="C181">
        <v>4700.2402187813605</v>
      </c>
      <c r="D181">
        <v>7666.8054188813003</v>
      </c>
      <c r="E181">
        <v>11430.8899942348</v>
      </c>
      <c r="F181">
        <v>9618.6144110411406</v>
      </c>
      <c r="G181">
        <v>8037.4452064025299</v>
      </c>
      <c r="H181">
        <v>20752.3321592719</v>
      </c>
      <c r="I181">
        <v>15426.9883274486</v>
      </c>
      <c r="J181">
        <v>1660.1395192464299</v>
      </c>
      <c r="K181">
        <v>1200.3074268395701</v>
      </c>
      <c r="L181">
        <v>698.94253184511797</v>
      </c>
      <c r="M181">
        <v>6580.5318688672596</v>
      </c>
      <c r="N181">
        <v>802.79569336347504</v>
      </c>
      <c r="O181">
        <v>509.12621654798301</v>
      </c>
      <c r="P181">
        <v>1266.4735693029199</v>
      </c>
      <c r="Q181">
        <v>4592.3749720453397</v>
      </c>
      <c r="R181">
        <v>649.26016626941305</v>
      </c>
      <c r="S181">
        <v>417.88658790801099</v>
      </c>
      <c r="T181">
        <v>191.00119913324701</v>
      </c>
      <c r="U181">
        <v>251.588059270343</v>
      </c>
      <c r="V181">
        <v>166.02129796662001</v>
      </c>
      <c r="W181">
        <v>165.99262339741699</v>
      </c>
      <c r="X181">
        <v>159.36923517876301</v>
      </c>
      <c r="Y181">
        <v>831.57797055972196</v>
      </c>
      <c r="Z181">
        <v>223.894792394859</v>
      </c>
      <c r="AA181">
        <v>799.94496921063501</v>
      </c>
      <c r="AB181">
        <v>905.56885206812399</v>
      </c>
      <c r="AC181">
        <v>805.61200741743301</v>
      </c>
      <c r="AD181">
        <v>622.47911413489999</v>
      </c>
      <c r="AE181">
        <v>1069.4286404638001</v>
      </c>
      <c r="AF181">
        <v>695.41403752085205</v>
      </c>
      <c r="AG181">
        <v>861.87022278029201</v>
      </c>
    </row>
    <row r="182" spans="1:33" x14ac:dyDescent="0.25">
      <c r="A182" s="1">
        <v>44233</v>
      </c>
      <c r="B182">
        <v>11314.347810048101</v>
      </c>
      <c r="C182">
        <v>4496.6246365298703</v>
      </c>
      <c r="D182">
        <v>7128.7533039439304</v>
      </c>
      <c r="E182">
        <v>11079.600580174299</v>
      </c>
      <c r="F182">
        <v>9535.4598625606395</v>
      </c>
      <c r="G182">
        <v>8113.10353813035</v>
      </c>
      <c r="H182">
        <v>21331.287219664599</v>
      </c>
      <c r="I182">
        <v>14825.458259524699</v>
      </c>
      <c r="J182">
        <v>1612.6158050029701</v>
      </c>
      <c r="K182">
        <v>1163.8075608936399</v>
      </c>
      <c r="L182">
        <v>670.19093002305306</v>
      </c>
      <c r="M182">
        <v>6825.85067048158</v>
      </c>
      <c r="N182">
        <v>927.43374644357095</v>
      </c>
      <c r="O182">
        <v>522.32099703500796</v>
      </c>
      <c r="P182">
        <v>1243.9539145895001</v>
      </c>
      <c r="Q182">
        <v>4826.28350046368</v>
      </c>
      <c r="R182">
        <v>660.15663769774505</v>
      </c>
      <c r="S182">
        <v>413.88030872107402</v>
      </c>
      <c r="T182">
        <v>188.73789570068701</v>
      </c>
      <c r="U182">
        <v>254.77184730005899</v>
      </c>
      <c r="V182">
        <v>171.46185606846601</v>
      </c>
      <c r="W182">
        <v>167.910212232574</v>
      </c>
      <c r="X182">
        <v>166.05724000643201</v>
      </c>
      <c r="Y182">
        <v>875.73735621342803</v>
      </c>
      <c r="Z182">
        <v>224.535503450645</v>
      </c>
      <c r="AA182">
        <v>800.66796186351303</v>
      </c>
      <c r="AB182">
        <v>946.31827964964896</v>
      </c>
      <c r="AC182">
        <v>849.68238485807694</v>
      </c>
      <c r="AD182">
        <v>603.57984466283006</v>
      </c>
      <c r="AE182">
        <v>1082.4050592680801</v>
      </c>
      <c r="AF182">
        <v>699.91912294315705</v>
      </c>
      <c r="AG182">
        <v>846.62667239959001</v>
      </c>
    </row>
    <row r="183" spans="1:33" x14ac:dyDescent="0.25">
      <c r="A183" s="1">
        <v>44234</v>
      </c>
      <c r="B183">
        <v>10890.166227424799</v>
      </c>
      <c r="C183">
        <v>4396.9627617915403</v>
      </c>
      <c r="D183">
        <v>6643.0066325640601</v>
      </c>
      <c r="E183">
        <v>10609.497116193101</v>
      </c>
      <c r="F183">
        <v>9649.0070225386808</v>
      </c>
      <c r="G183">
        <v>8381.7488100103692</v>
      </c>
      <c r="H183">
        <v>21792.777337965701</v>
      </c>
      <c r="I183">
        <v>14175.367894718</v>
      </c>
      <c r="J183">
        <v>1553.9307531752499</v>
      </c>
      <c r="K183">
        <v>1133.1945107484601</v>
      </c>
      <c r="L183">
        <v>661.67199979638201</v>
      </c>
      <c r="M183">
        <v>7064.9656287491698</v>
      </c>
      <c r="N183">
        <v>1032.04381215899</v>
      </c>
      <c r="O183">
        <v>533.92796249018704</v>
      </c>
      <c r="P183">
        <v>1224.8177786137101</v>
      </c>
      <c r="Q183">
        <v>5171.6124262254398</v>
      </c>
      <c r="R183">
        <v>669.90715270984504</v>
      </c>
      <c r="S183">
        <v>412.13106819715898</v>
      </c>
      <c r="T183">
        <v>189.968226605876</v>
      </c>
      <c r="U183">
        <v>272.14521843374001</v>
      </c>
      <c r="V183">
        <v>180.608686349462</v>
      </c>
      <c r="W183">
        <v>177.870952060924</v>
      </c>
      <c r="X183">
        <v>168.90434164791401</v>
      </c>
      <c r="Y183">
        <v>894.39005016243595</v>
      </c>
      <c r="Z183">
        <v>224.30168968957</v>
      </c>
      <c r="AA183">
        <v>802.29356392667898</v>
      </c>
      <c r="AB183">
        <v>944.22915031083699</v>
      </c>
      <c r="AC183">
        <v>879.94442868567796</v>
      </c>
      <c r="AD183">
        <v>589.76753854264803</v>
      </c>
      <c r="AE183">
        <v>1084.80628625702</v>
      </c>
      <c r="AF183">
        <v>706.26675379088101</v>
      </c>
      <c r="AG183">
        <v>838.20876753338302</v>
      </c>
    </row>
    <row r="184" spans="1:33" x14ac:dyDescent="0.25">
      <c r="A184" s="1">
        <v>44235</v>
      </c>
      <c r="B184">
        <v>10442.812881846499</v>
      </c>
      <c r="C184">
        <v>4469.7043330090801</v>
      </c>
      <c r="D184">
        <v>6277.6279123734403</v>
      </c>
      <c r="E184">
        <v>10101.8433856845</v>
      </c>
      <c r="F184">
        <v>9991.1718247866193</v>
      </c>
      <c r="G184">
        <v>9153.0931271400295</v>
      </c>
      <c r="H184">
        <v>22435.802148979401</v>
      </c>
      <c r="I184">
        <v>13745.840274361401</v>
      </c>
      <c r="J184">
        <v>1485.30429692558</v>
      </c>
      <c r="K184">
        <v>1118.6741156942801</v>
      </c>
      <c r="L184">
        <v>660.05608689467499</v>
      </c>
      <c r="M184">
        <v>7636.6440011057202</v>
      </c>
      <c r="N184">
        <v>1272.5020668719801</v>
      </c>
      <c r="O184">
        <v>561.76721885219297</v>
      </c>
      <c r="P184">
        <v>1223.1379529334699</v>
      </c>
      <c r="Q184">
        <v>5805.1902988451702</v>
      </c>
      <c r="R184">
        <v>681.33036222786598</v>
      </c>
      <c r="S184">
        <v>401.91069754424097</v>
      </c>
      <c r="T184">
        <v>196.571131437323</v>
      </c>
      <c r="U184">
        <v>277.448761645834</v>
      </c>
      <c r="V184">
        <v>196.00504930805101</v>
      </c>
      <c r="W184">
        <v>176.06604179188599</v>
      </c>
      <c r="X184">
        <v>175.37057218805899</v>
      </c>
      <c r="Y184">
        <v>902.86923293767404</v>
      </c>
      <c r="Z184">
        <v>222.89659303623199</v>
      </c>
      <c r="AA184">
        <v>803.64038712409297</v>
      </c>
      <c r="AB184">
        <v>942.21485472743097</v>
      </c>
      <c r="AC184">
        <v>892.27888528950496</v>
      </c>
      <c r="AD184">
        <v>589.70954562666896</v>
      </c>
      <c r="AE184">
        <v>1089.2007940644401</v>
      </c>
      <c r="AF184">
        <v>712.75201376991402</v>
      </c>
      <c r="AG184">
        <v>832.101367195737</v>
      </c>
    </row>
    <row r="185" spans="1:33" x14ac:dyDescent="0.25">
      <c r="A185" s="1">
        <v>44236</v>
      </c>
      <c r="B185">
        <v>10053.200528576101</v>
      </c>
      <c r="C185">
        <v>4911.1340536758998</v>
      </c>
      <c r="D185">
        <v>5893.7604648849301</v>
      </c>
      <c r="E185">
        <v>9658.1522366320096</v>
      </c>
      <c r="F185">
        <v>10399.9795090602</v>
      </c>
      <c r="G185">
        <v>9642.1964841551599</v>
      </c>
      <c r="H185">
        <v>22494.301805794501</v>
      </c>
      <c r="I185">
        <v>13700.8337086629</v>
      </c>
      <c r="J185">
        <v>1430.7412443942501</v>
      </c>
      <c r="K185">
        <v>1100.256307851</v>
      </c>
      <c r="L185">
        <v>664.71016874465204</v>
      </c>
      <c r="M185">
        <v>8125.2103107529902</v>
      </c>
      <c r="N185">
        <v>1464.6527951466801</v>
      </c>
      <c r="O185">
        <v>586.45646597400105</v>
      </c>
      <c r="P185">
        <v>1206.1769609463799</v>
      </c>
      <c r="Q185">
        <v>6234.9366467557302</v>
      </c>
      <c r="R185">
        <v>692.82026889463805</v>
      </c>
      <c r="S185">
        <v>391.70069680866101</v>
      </c>
      <c r="T185">
        <v>208.48176145687901</v>
      </c>
      <c r="U185">
        <v>266.07959661204598</v>
      </c>
      <c r="V185">
        <v>207.45139729736201</v>
      </c>
      <c r="W185">
        <v>162.059826706584</v>
      </c>
      <c r="X185">
        <v>182.54061634118599</v>
      </c>
      <c r="Y185">
        <v>910.70078846644606</v>
      </c>
      <c r="Z185">
        <v>220.84950284042799</v>
      </c>
      <c r="AA185">
        <v>803.66248626234699</v>
      </c>
      <c r="AB185">
        <v>945.36603881472604</v>
      </c>
      <c r="AC185">
        <v>894.75199921746696</v>
      </c>
      <c r="AD185">
        <v>591.70873667006902</v>
      </c>
      <c r="AE185">
        <v>1118.5853176824501</v>
      </c>
      <c r="AF185">
        <v>719.693640639313</v>
      </c>
      <c r="AG185">
        <v>831.06263984723603</v>
      </c>
    </row>
    <row r="186" spans="1:33" x14ac:dyDescent="0.25">
      <c r="A186" s="1">
        <v>44237</v>
      </c>
      <c r="B186">
        <v>9648.1080740252692</v>
      </c>
      <c r="C186">
        <v>5325.7111290060902</v>
      </c>
      <c r="D186">
        <v>5529.7668949870804</v>
      </c>
      <c r="E186">
        <v>9147.2648369414601</v>
      </c>
      <c r="F186">
        <v>10503.601507346701</v>
      </c>
      <c r="G186">
        <v>9462.6136960616095</v>
      </c>
      <c r="H186">
        <v>21774.889513227099</v>
      </c>
      <c r="I186">
        <v>13750.1251745441</v>
      </c>
      <c r="J186">
        <v>1390.3246625551101</v>
      </c>
      <c r="K186">
        <v>1059.9009436807601</v>
      </c>
      <c r="L186">
        <v>664.47398988188502</v>
      </c>
      <c r="M186">
        <v>8010.5712702683104</v>
      </c>
      <c r="N186">
        <v>1440.3910994416899</v>
      </c>
      <c r="O186">
        <v>590.90828058082604</v>
      </c>
      <c r="P186">
        <v>1157.95576274428</v>
      </c>
      <c r="Q186">
        <v>6155.3687976782703</v>
      </c>
      <c r="R186">
        <v>689.35509210504495</v>
      </c>
      <c r="S186">
        <v>388.07500795131699</v>
      </c>
      <c r="T186">
        <v>210.05759470960101</v>
      </c>
      <c r="U186">
        <v>268.84470694587998</v>
      </c>
      <c r="V186">
        <v>199.74330925250499</v>
      </c>
      <c r="W186">
        <v>160.19592731373399</v>
      </c>
      <c r="X186">
        <v>175.266750377487</v>
      </c>
      <c r="Y186">
        <v>923.39262701222196</v>
      </c>
      <c r="Z186">
        <v>218.89111553791</v>
      </c>
      <c r="AA186">
        <v>801.28459658388897</v>
      </c>
      <c r="AB186">
        <v>949.10574766162597</v>
      </c>
      <c r="AC186">
        <v>899.47902131952003</v>
      </c>
      <c r="AD186">
        <v>590.804005321114</v>
      </c>
      <c r="AE186">
        <v>1163.26623987418</v>
      </c>
      <c r="AF186">
        <v>728.79103467833204</v>
      </c>
      <c r="AG186">
        <v>830.06395752945502</v>
      </c>
    </row>
    <row r="187" spans="1:33" x14ac:dyDescent="0.25">
      <c r="A187" s="1">
        <v>44238</v>
      </c>
      <c r="B187">
        <v>9240.55023741685</v>
      </c>
      <c r="C187">
        <v>5219.1681946799799</v>
      </c>
      <c r="D187">
        <v>5358.3248077006001</v>
      </c>
      <c r="E187">
        <v>8639.8305957195007</v>
      </c>
      <c r="F187">
        <v>10161.348954172399</v>
      </c>
      <c r="G187">
        <v>9132.5923743764106</v>
      </c>
      <c r="H187">
        <v>21260.0382406848</v>
      </c>
      <c r="I187">
        <v>13561.016552196799</v>
      </c>
      <c r="J187">
        <v>1352.6651922441699</v>
      </c>
      <c r="K187">
        <v>1030.03896264165</v>
      </c>
      <c r="L187">
        <v>655.40152811465498</v>
      </c>
      <c r="M187">
        <v>7802.6893121317999</v>
      </c>
      <c r="N187">
        <v>1421.3799740962199</v>
      </c>
      <c r="O187">
        <v>570.87563326006</v>
      </c>
      <c r="P187">
        <v>1126.48787956058</v>
      </c>
      <c r="Q187">
        <v>5948.5623058048504</v>
      </c>
      <c r="R187">
        <v>664.16942335718102</v>
      </c>
      <c r="S187">
        <v>387.365752070106</v>
      </c>
      <c r="T187">
        <v>207.41044262878799</v>
      </c>
      <c r="U187">
        <v>264.12735989665202</v>
      </c>
      <c r="V187">
        <v>193.420403717396</v>
      </c>
      <c r="W187">
        <v>161.00660949807201</v>
      </c>
      <c r="X187">
        <v>166.26744085965299</v>
      </c>
      <c r="Y187">
        <v>918.19843910338795</v>
      </c>
      <c r="Z187">
        <v>219.20897362813801</v>
      </c>
      <c r="AA187">
        <v>795.15189160824298</v>
      </c>
      <c r="AB187">
        <v>937.379217334636</v>
      </c>
      <c r="AC187">
        <v>911.65503142332602</v>
      </c>
      <c r="AD187">
        <v>584.15543292004702</v>
      </c>
      <c r="AE187">
        <v>1077.85442801096</v>
      </c>
      <c r="AF187">
        <v>741.21222438679104</v>
      </c>
      <c r="AG187">
        <v>834.773034584058</v>
      </c>
    </row>
    <row r="188" spans="1:33" x14ac:dyDescent="0.25">
      <c r="A188" s="1">
        <v>44239</v>
      </c>
      <c r="B188">
        <v>8790.5929767501002</v>
      </c>
      <c r="C188">
        <v>5044.3144507591296</v>
      </c>
      <c r="D188">
        <v>5225.0866282725201</v>
      </c>
      <c r="E188">
        <v>8134.1911065513104</v>
      </c>
      <c r="F188">
        <v>10290.2959449265</v>
      </c>
      <c r="G188">
        <v>8941.5825218282007</v>
      </c>
      <c r="H188">
        <v>21034.563568859801</v>
      </c>
      <c r="I188">
        <v>13398.661947103101</v>
      </c>
      <c r="J188">
        <v>1311.3885661685299</v>
      </c>
      <c r="K188">
        <v>997.43577867535703</v>
      </c>
      <c r="L188">
        <v>646.84726947068395</v>
      </c>
      <c r="M188">
        <v>7588.0029783609498</v>
      </c>
      <c r="N188">
        <v>1297.5802264425499</v>
      </c>
      <c r="O188">
        <v>569.99035086455797</v>
      </c>
      <c r="P188">
        <v>1092.0531750791399</v>
      </c>
      <c r="Q188">
        <v>5806.6435244673603</v>
      </c>
      <c r="R188">
        <v>659.70794786676402</v>
      </c>
      <c r="S188">
        <v>390.14117314875602</v>
      </c>
      <c r="T188">
        <v>201.405828898686</v>
      </c>
      <c r="U188">
        <v>258.51421634498899</v>
      </c>
      <c r="V188">
        <v>177.97351389496899</v>
      </c>
      <c r="W188">
        <v>162.924799324064</v>
      </c>
      <c r="X188">
        <v>157.31493965367201</v>
      </c>
      <c r="Y188">
        <v>930.05245098370494</v>
      </c>
      <c r="Z188">
        <v>220.20383539591899</v>
      </c>
      <c r="AA188">
        <v>787.69500425337901</v>
      </c>
      <c r="AB188">
        <v>941.39163812750905</v>
      </c>
      <c r="AC188">
        <v>931.78649738869603</v>
      </c>
      <c r="AD188">
        <v>576.79755776391301</v>
      </c>
      <c r="AE188">
        <v>998.63542877735995</v>
      </c>
      <c r="AF188">
        <v>752.61544780801398</v>
      </c>
      <c r="AG188">
        <v>831.99848030108899</v>
      </c>
    </row>
    <row r="189" spans="1:33" x14ac:dyDescent="0.25">
      <c r="A189" s="1">
        <v>44240</v>
      </c>
      <c r="B189">
        <v>8372.5376870707296</v>
      </c>
      <c r="C189">
        <v>5181.0574275509998</v>
      </c>
      <c r="D189">
        <v>5228.1904969873904</v>
      </c>
      <c r="E189">
        <v>7788.9245273141196</v>
      </c>
      <c r="F189">
        <v>9726.4020477754802</v>
      </c>
      <c r="G189">
        <v>8529.2364345619499</v>
      </c>
      <c r="H189">
        <v>20611.0564858828</v>
      </c>
      <c r="I189">
        <v>13163.160094844399</v>
      </c>
      <c r="J189">
        <v>1284.38034580826</v>
      </c>
      <c r="K189">
        <v>966.73222565464596</v>
      </c>
      <c r="L189">
        <v>630.184728458515</v>
      </c>
      <c r="M189">
        <v>7161.5113900371098</v>
      </c>
      <c r="N189">
        <v>1127.33665379529</v>
      </c>
      <c r="O189">
        <v>555.28421445030199</v>
      </c>
      <c r="P189">
        <v>1036.43661685237</v>
      </c>
      <c r="Q189">
        <v>5519.8975036986103</v>
      </c>
      <c r="R189">
        <v>642.60839098866495</v>
      </c>
      <c r="S189">
        <v>397.696565274107</v>
      </c>
      <c r="T189">
        <v>196.10726425265599</v>
      </c>
      <c r="U189">
        <v>248.94522404078299</v>
      </c>
      <c r="V189">
        <v>174.84455808630901</v>
      </c>
      <c r="W189">
        <v>180.843176247814</v>
      </c>
      <c r="X189">
        <v>163.235230624758</v>
      </c>
      <c r="Y189">
        <v>943.022828047899</v>
      </c>
      <c r="Z189">
        <v>221.557782954712</v>
      </c>
      <c r="AA189">
        <v>779.96337670214098</v>
      </c>
      <c r="AB189">
        <v>941.95711419563202</v>
      </c>
      <c r="AC189">
        <v>950.54361075278803</v>
      </c>
      <c r="AD189">
        <v>563.73723875794303</v>
      </c>
      <c r="AE189">
        <v>938.84944555517302</v>
      </c>
      <c r="AF189">
        <v>767.98803409621803</v>
      </c>
      <c r="AG189">
        <v>833.12887080039104</v>
      </c>
    </row>
    <row r="190" spans="1:33" x14ac:dyDescent="0.25">
      <c r="A190" s="1">
        <v>44241</v>
      </c>
      <c r="B190">
        <v>8129.4556611385697</v>
      </c>
      <c r="C190">
        <v>4827.4826897583998</v>
      </c>
      <c r="D190">
        <v>5141.3474892677996</v>
      </c>
      <c r="E190">
        <v>7494.1543191757501</v>
      </c>
      <c r="F190">
        <v>9146.3090246772699</v>
      </c>
      <c r="G190">
        <v>7431.2651221026599</v>
      </c>
      <c r="H190">
        <v>19123.315729476399</v>
      </c>
      <c r="I190">
        <v>12974.7630649365</v>
      </c>
      <c r="J190">
        <v>1271.20541766783</v>
      </c>
      <c r="K190">
        <v>910.57887667497903</v>
      </c>
      <c r="L190">
        <v>618.20473375613699</v>
      </c>
      <c r="M190">
        <v>6275.9175402374603</v>
      </c>
      <c r="N190">
        <v>855.54684028766098</v>
      </c>
      <c r="O190">
        <v>510.66313926913898</v>
      </c>
      <c r="P190">
        <v>957.37895523259294</v>
      </c>
      <c r="Q190">
        <v>4605.8579762878699</v>
      </c>
      <c r="R190">
        <v>605.22601172422105</v>
      </c>
      <c r="S190">
        <v>416.77601779107698</v>
      </c>
      <c r="T190">
        <v>189.07986479649301</v>
      </c>
      <c r="U190">
        <v>252.54938033654</v>
      </c>
      <c r="V190">
        <v>172.41930989837701</v>
      </c>
      <c r="W190">
        <v>192.47994434086701</v>
      </c>
      <c r="X190">
        <v>168.42564792687099</v>
      </c>
      <c r="Y190">
        <v>953.839259619877</v>
      </c>
      <c r="Z190">
        <v>220.509792608569</v>
      </c>
      <c r="AA190">
        <v>773.39660470109402</v>
      </c>
      <c r="AB190">
        <v>952.90173065690794</v>
      </c>
      <c r="AC190">
        <v>929.93203837795897</v>
      </c>
      <c r="AD190">
        <v>551.20525387099997</v>
      </c>
      <c r="AE190">
        <v>917.08970982108701</v>
      </c>
      <c r="AF190">
        <v>788.33864286651396</v>
      </c>
      <c r="AG190">
        <v>826.84948331357498</v>
      </c>
    </row>
    <row r="191" spans="1:33" x14ac:dyDescent="0.25">
      <c r="A191" s="1">
        <v>44242</v>
      </c>
      <c r="B191">
        <v>7796.2491946395403</v>
      </c>
      <c r="C191">
        <v>4493.7225502752899</v>
      </c>
      <c r="D191">
        <v>5164.6378683246503</v>
      </c>
      <c r="E191">
        <v>7233.16215196143</v>
      </c>
      <c r="F191">
        <v>8761.2581740607493</v>
      </c>
      <c r="G191">
        <v>7591.4645501851901</v>
      </c>
      <c r="H191">
        <v>19487.157105277001</v>
      </c>
      <c r="I191">
        <v>12582.1827547465</v>
      </c>
      <c r="J191">
        <v>1247.98927469727</v>
      </c>
      <c r="K191">
        <v>891.22913305622103</v>
      </c>
      <c r="L191">
        <v>592.84081125635396</v>
      </c>
      <c r="M191">
        <v>6356.4120526591296</v>
      </c>
      <c r="N191">
        <v>868.68388539663397</v>
      </c>
      <c r="O191">
        <v>492.98094325757103</v>
      </c>
      <c r="P191">
        <v>945.778758117454</v>
      </c>
      <c r="Q191">
        <v>4622.9531082129497</v>
      </c>
      <c r="R191">
        <v>589.25570597906903</v>
      </c>
      <c r="S191">
        <v>412.71551542917899</v>
      </c>
      <c r="T191">
        <v>191.18302534960301</v>
      </c>
      <c r="U191">
        <v>259.79185758472101</v>
      </c>
      <c r="V191">
        <v>186.78121674537201</v>
      </c>
      <c r="W191">
        <v>197.55165058702099</v>
      </c>
      <c r="X191">
        <v>185.42858462848</v>
      </c>
      <c r="Y191">
        <v>941.76503622023199</v>
      </c>
      <c r="Z191">
        <v>218.99677279827</v>
      </c>
      <c r="AA191">
        <v>767.57627865438201</v>
      </c>
      <c r="AB191">
        <v>944.20097261688704</v>
      </c>
      <c r="AC191">
        <v>905.309598722038</v>
      </c>
      <c r="AD191">
        <v>534.72761066446503</v>
      </c>
      <c r="AE191">
        <v>840.78211670517305</v>
      </c>
      <c r="AF191">
        <v>804.13199824497599</v>
      </c>
      <c r="AG191">
        <v>827.49355059138702</v>
      </c>
    </row>
    <row r="192" spans="1:33" x14ac:dyDescent="0.25">
      <c r="A192" s="1">
        <v>44243</v>
      </c>
      <c r="B192">
        <v>7444.3708682964098</v>
      </c>
      <c r="C192">
        <v>4133.13626469256</v>
      </c>
      <c r="D192">
        <v>5152.0408907307301</v>
      </c>
      <c r="E192">
        <v>7200.18583504874</v>
      </c>
      <c r="F192">
        <v>8314.2534727704497</v>
      </c>
      <c r="G192">
        <v>6786.7953611891398</v>
      </c>
      <c r="H192">
        <v>18585.557661125298</v>
      </c>
      <c r="I192">
        <v>12444.7325672105</v>
      </c>
      <c r="J192">
        <v>1224.45997551808</v>
      </c>
      <c r="K192">
        <v>845.39328795288804</v>
      </c>
      <c r="L192">
        <v>587.14663119191596</v>
      </c>
      <c r="M192">
        <v>5602.5458859065502</v>
      </c>
      <c r="N192">
        <v>588.17060711870101</v>
      </c>
      <c r="O192">
        <v>471.75655053969501</v>
      </c>
      <c r="P192">
        <v>872.651052962569</v>
      </c>
      <c r="Q192">
        <v>3787.5757148196999</v>
      </c>
      <c r="R192">
        <v>569.08690064523103</v>
      </c>
      <c r="S192">
        <v>413.01092431986899</v>
      </c>
      <c r="T192">
        <v>193.764790055584</v>
      </c>
      <c r="U192">
        <v>259.37893019998</v>
      </c>
      <c r="V192">
        <v>197.77368389925999</v>
      </c>
      <c r="W192">
        <v>198.44175626256899</v>
      </c>
      <c r="X192">
        <v>198.31833467503699</v>
      </c>
      <c r="Y192">
        <v>918.06761958406503</v>
      </c>
      <c r="Z192">
        <v>210.85816694846301</v>
      </c>
      <c r="AA192">
        <v>758.06494800774601</v>
      </c>
      <c r="AB192">
        <v>930.31030557724</v>
      </c>
      <c r="AC192">
        <v>891.090585398499</v>
      </c>
      <c r="AD192">
        <v>523.74190659455098</v>
      </c>
      <c r="AE192">
        <v>834.57567358179904</v>
      </c>
      <c r="AF192">
        <v>819.417320256484</v>
      </c>
      <c r="AG192">
        <v>805.22944049868602</v>
      </c>
    </row>
    <row r="193" spans="1:33" x14ac:dyDescent="0.25">
      <c r="A193" s="1">
        <v>44244</v>
      </c>
      <c r="B193">
        <v>7210.71883624777</v>
      </c>
      <c r="C193">
        <v>4141.8124571311901</v>
      </c>
      <c r="D193">
        <v>5081.6787624118697</v>
      </c>
      <c r="E193">
        <v>7161.8249640587001</v>
      </c>
      <c r="F193">
        <v>7558.20700042305</v>
      </c>
      <c r="G193">
        <v>6094.2978133384604</v>
      </c>
      <c r="H193">
        <v>17979.614649929401</v>
      </c>
      <c r="I193">
        <v>12042.984972841399</v>
      </c>
      <c r="J193">
        <v>1212.6073266559899</v>
      </c>
      <c r="K193">
        <v>813.50421194162197</v>
      </c>
      <c r="L193">
        <v>547.80260156215502</v>
      </c>
      <c r="M193">
        <v>4922.2715850778604</v>
      </c>
      <c r="N193">
        <v>422.31247512068097</v>
      </c>
      <c r="O193">
        <v>448.12467075966998</v>
      </c>
      <c r="P193">
        <v>834.51214238125999</v>
      </c>
      <c r="Q193">
        <v>3176.8309337488799</v>
      </c>
      <c r="R193">
        <v>540.33517903213499</v>
      </c>
      <c r="S193">
        <v>448.99460859326803</v>
      </c>
      <c r="T193">
        <v>196.98762542076901</v>
      </c>
      <c r="U193">
        <v>259.09886102509699</v>
      </c>
      <c r="V193">
        <v>198.32314416804601</v>
      </c>
      <c r="W193">
        <v>197.20002404051499</v>
      </c>
      <c r="X193">
        <v>198.32509432966</v>
      </c>
      <c r="Y193">
        <v>897.31771988711102</v>
      </c>
      <c r="Z193">
        <v>205.38601817307401</v>
      </c>
      <c r="AA193">
        <v>752.37510112734799</v>
      </c>
      <c r="AB193">
        <v>904.55096849552297</v>
      </c>
      <c r="AC193">
        <v>867.79573334728605</v>
      </c>
      <c r="AD193">
        <v>503.02451721990798</v>
      </c>
      <c r="AE193">
        <v>825.88080059804599</v>
      </c>
      <c r="AF193">
        <v>838.58448128544103</v>
      </c>
      <c r="AG193">
        <v>786.62273275182304</v>
      </c>
    </row>
    <row r="194" spans="1:33" x14ac:dyDescent="0.25">
      <c r="A194" s="1">
        <v>44245</v>
      </c>
      <c r="B194">
        <v>7124.4047325823803</v>
      </c>
      <c r="C194">
        <v>3305.1800237685002</v>
      </c>
      <c r="D194">
        <v>4899.2169038915599</v>
      </c>
      <c r="E194">
        <v>7103.3079982033096</v>
      </c>
      <c r="F194">
        <v>7277.3518008205301</v>
      </c>
      <c r="G194">
        <v>5901.6269057324998</v>
      </c>
      <c r="H194">
        <v>19050.105303221499</v>
      </c>
      <c r="I194">
        <v>11602.6636102181</v>
      </c>
      <c r="J194">
        <v>1200.1136324834299</v>
      </c>
      <c r="K194">
        <v>792.63226286688098</v>
      </c>
      <c r="L194">
        <v>508.61239757978598</v>
      </c>
      <c r="M194">
        <v>4795.0238000872896</v>
      </c>
      <c r="N194">
        <v>386.02821256262598</v>
      </c>
      <c r="O194">
        <v>446.62372515121001</v>
      </c>
      <c r="P194">
        <v>824.21520469001905</v>
      </c>
      <c r="Q194">
        <v>3037.4819472631998</v>
      </c>
      <c r="R194">
        <v>538.60445190651706</v>
      </c>
      <c r="S194">
        <v>462.81670151342598</v>
      </c>
      <c r="T194">
        <v>199.22356413484101</v>
      </c>
      <c r="U194">
        <v>265.49384344477198</v>
      </c>
      <c r="V194">
        <v>199.05307368709799</v>
      </c>
      <c r="W194">
        <v>186.33485641086401</v>
      </c>
      <c r="X194">
        <v>198.54104963532899</v>
      </c>
      <c r="Y194">
        <v>873.68255172506804</v>
      </c>
      <c r="Z194">
        <v>204.442152860948</v>
      </c>
      <c r="AA194">
        <v>745.09235317222897</v>
      </c>
      <c r="AB194">
        <v>882.46611228211702</v>
      </c>
      <c r="AC194">
        <v>851.46971085002804</v>
      </c>
      <c r="AD194">
        <v>486.01497763766503</v>
      </c>
      <c r="AE194">
        <v>834.37064603395004</v>
      </c>
      <c r="AF194">
        <v>856.67185722185502</v>
      </c>
      <c r="AG194">
        <v>768.56132245739195</v>
      </c>
    </row>
    <row r="195" spans="1:33" x14ac:dyDescent="0.25">
      <c r="A195" s="1">
        <v>44246</v>
      </c>
      <c r="B195">
        <v>7043.1975109703899</v>
      </c>
      <c r="C195">
        <v>2972.2373082269601</v>
      </c>
      <c r="D195">
        <v>4717.53681760976</v>
      </c>
      <c r="E195">
        <v>7026.9732090999496</v>
      </c>
      <c r="F195">
        <v>7391.6908177210998</v>
      </c>
      <c r="G195">
        <v>6402.2004784709898</v>
      </c>
      <c r="H195">
        <v>20797.748163050099</v>
      </c>
      <c r="I195">
        <v>11365.4168709408</v>
      </c>
      <c r="J195">
        <v>1180.6670017506599</v>
      </c>
      <c r="K195">
        <v>787.55384022153601</v>
      </c>
      <c r="L195">
        <v>505.692170741182</v>
      </c>
      <c r="M195">
        <v>5158.9761221593199</v>
      </c>
      <c r="N195">
        <v>410.82904595452698</v>
      </c>
      <c r="O195">
        <v>441.99024393922798</v>
      </c>
      <c r="P195">
        <v>835.60799076336605</v>
      </c>
      <c r="Q195">
        <v>3295.4750116270202</v>
      </c>
      <c r="R195">
        <v>545.07391819372003</v>
      </c>
      <c r="S195">
        <v>446.74992760355298</v>
      </c>
      <c r="T195">
        <v>199.35865182453401</v>
      </c>
      <c r="U195">
        <v>268.51010385927202</v>
      </c>
      <c r="V195">
        <v>192.96555213133701</v>
      </c>
      <c r="W195">
        <v>174.706682422131</v>
      </c>
      <c r="X195">
        <v>190.39106262505999</v>
      </c>
      <c r="Y195">
        <v>856.68711806906003</v>
      </c>
      <c r="Z195">
        <v>205.38991947853199</v>
      </c>
      <c r="AA195">
        <v>731.70442418180596</v>
      </c>
      <c r="AB195">
        <v>864.39383537341803</v>
      </c>
      <c r="AC195">
        <v>848.00591474038504</v>
      </c>
      <c r="AD195">
        <v>473.43127990711798</v>
      </c>
      <c r="AE195">
        <v>816.20754871534803</v>
      </c>
      <c r="AF195">
        <v>864.43541243795505</v>
      </c>
      <c r="AG195">
        <v>754.05633430288196</v>
      </c>
    </row>
    <row r="196" spans="1:33" x14ac:dyDescent="0.25">
      <c r="A196" s="1">
        <v>44247</v>
      </c>
      <c r="B196">
        <v>6971.7163737685196</v>
      </c>
      <c r="C196">
        <v>3180.0881030983101</v>
      </c>
      <c r="D196">
        <v>4343.6229708883802</v>
      </c>
      <c r="E196">
        <v>6963.1121332512002</v>
      </c>
      <c r="F196">
        <v>7816.6470519121103</v>
      </c>
      <c r="G196">
        <v>6622.5974988407897</v>
      </c>
      <c r="H196">
        <v>21546.464250107001</v>
      </c>
      <c r="I196">
        <v>11091.998879107199</v>
      </c>
      <c r="J196">
        <v>1147.9901644285101</v>
      </c>
      <c r="K196">
        <v>806.59420319870298</v>
      </c>
      <c r="L196">
        <v>531.32220151809304</v>
      </c>
      <c r="M196">
        <v>5534.0439261520496</v>
      </c>
      <c r="N196">
        <v>445.37474681957798</v>
      </c>
      <c r="O196">
        <v>466.28312907877103</v>
      </c>
      <c r="P196">
        <v>883.76105002989698</v>
      </c>
      <c r="Q196">
        <v>3612.3065505049099</v>
      </c>
      <c r="R196">
        <v>570.51480525408795</v>
      </c>
      <c r="S196">
        <v>438.97287937072002</v>
      </c>
      <c r="T196">
        <v>197.691911746899</v>
      </c>
      <c r="U196">
        <v>266.85643081138602</v>
      </c>
      <c r="V196">
        <v>180.24579186448</v>
      </c>
      <c r="W196">
        <v>170.52145083107001</v>
      </c>
      <c r="X196">
        <v>177.74451372247299</v>
      </c>
      <c r="Y196">
        <v>843.40710523694395</v>
      </c>
      <c r="Z196">
        <v>207.672251817801</v>
      </c>
      <c r="AA196">
        <v>712.88080654674195</v>
      </c>
      <c r="AB196">
        <v>847.70894889726299</v>
      </c>
      <c r="AC196">
        <v>847.95906380889096</v>
      </c>
      <c r="AD196">
        <v>469.14480300201001</v>
      </c>
      <c r="AE196">
        <v>839.15297137654102</v>
      </c>
      <c r="AF196">
        <v>865.52775840147103</v>
      </c>
      <c r="AG196">
        <v>744.275279967561</v>
      </c>
    </row>
    <row r="197" spans="1:33" x14ac:dyDescent="0.25">
      <c r="A197" s="1">
        <v>44248</v>
      </c>
      <c r="B197">
        <v>6865.2457658575404</v>
      </c>
      <c r="C197">
        <v>3644.7344484451301</v>
      </c>
      <c r="D197">
        <v>4010.2722047775501</v>
      </c>
      <c r="E197">
        <v>6752.8533755803401</v>
      </c>
      <c r="F197">
        <v>7633.2095676973104</v>
      </c>
      <c r="G197">
        <v>6026.5223093592103</v>
      </c>
      <c r="H197">
        <v>20201.282963879399</v>
      </c>
      <c r="I197">
        <v>10993.3463157188</v>
      </c>
      <c r="J197">
        <v>1132.3800743509801</v>
      </c>
      <c r="K197">
        <v>749.40675841335894</v>
      </c>
      <c r="L197">
        <v>507.50310685618501</v>
      </c>
      <c r="M197">
        <v>5085.6113124014701</v>
      </c>
      <c r="N197">
        <v>378.36847039269799</v>
      </c>
      <c r="O197">
        <v>440.87519355397001</v>
      </c>
      <c r="P197">
        <v>809.27291373254002</v>
      </c>
      <c r="Q197">
        <v>3217.37243127787</v>
      </c>
      <c r="R197">
        <v>532.18863922261403</v>
      </c>
      <c r="S197">
        <v>470.01485741630802</v>
      </c>
      <c r="T197">
        <v>194.73375571913999</v>
      </c>
      <c r="U197">
        <v>262.13125215887999</v>
      </c>
      <c r="V197">
        <v>171.03968652559499</v>
      </c>
      <c r="W197">
        <v>181.35538468227301</v>
      </c>
      <c r="X197">
        <v>168.38403189517399</v>
      </c>
      <c r="Y197">
        <v>842.39071801975899</v>
      </c>
      <c r="Z197">
        <v>210.55614005039601</v>
      </c>
      <c r="AA197">
        <v>700.83340043105602</v>
      </c>
      <c r="AB197">
        <v>839.33837088562098</v>
      </c>
      <c r="AC197">
        <v>845.61054566604003</v>
      </c>
      <c r="AD197">
        <v>459.75215982123598</v>
      </c>
      <c r="AE197">
        <v>695.43191006971699</v>
      </c>
      <c r="AF197">
        <v>880.96272292750405</v>
      </c>
      <c r="AG197">
        <v>733.66848522796795</v>
      </c>
    </row>
    <row r="198" spans="1:33" x14ac:dyDescent="0.25">
      <c r="A198" s="1">
        <v>44249</v>
      </c>
      <c r="B198">
        <v>6581.4132971486697</v>
      </c>
      <c r="C198">
        <v>3070.6507863667198</v>
      </c>
      <c r="D198">
        <v>3903.6913739230599</v>
      </c>
      <c r="E198">
        <v>6536.8083308719597</v>
      </c>
      <c r="F198">
        <v>7611.0496319968497</v>
      </c>
      <c r="G198">
        <v>7148.1406205737003</v>
      </c>
      <c r="H198">
        <v>21924.521740077402</v>
      </c>
      <c r="I198">
        <v>10833.007046508401</v>
      </c>
      <c r="J198">
        <v>1089.33174232741</v>
      </c>
      <c r="K198">
        <v>766.48985647745803</v>
      </c>
      <c r="L198">
        <v>504.75385527847197</v>
      </c>
      <c r="M198">
        <v>5968.6379612322798</v>
      </c>
      <c r="N198">
        <v>575.39678513031504</v>
      </c>
      <c r="O198">
        <v>454.471659335759</v>
      </c>
      <c r="P198">
        <v>840.17143128476903</v>
      </c>
      <c r="Q198">
        <v>4112.30737979478</v>
      </c>
      <c r="R198">
        <v>541.70724598152299</v>
      </c>
      <c r="S198">
        <v>476.74887797944001</v>
      </c>
      <c r="T198">
        <v>194.53378223847699</v>
      </c>
      <c r="U198">
        <v>262.21685398304498</v>
      </c>
      <c r="V198">
        <v>186.569738459191</v>
      </c>
      <c r="W198">
        <v>170.51099752815199</v>
      </c>
      <c r="X198">
        <v>182.05263281151599</v>
      </c>
      <c r="Y198">
        <v>834.45433075963001</v>
      </c>
      <c r="Z198">
        <v>214.13846730462501</v>
      </c>
      <c r="AA198">
        <v>695.26237725854605</v>
      </c>
      <c r="AB198">
        <v>828.83384654523104</v>
      </c>
      <c r="AC198">
        <v>844.16542694439602</v>
      </c>
      <c r="AD198">
        <v>459.48828352375301</v>
      </c>
      <c r="AE198">
        <v>627.94289649908796</v>
      </c>
      <c r="AF198">
        <v>887.13556994755402</v>
      </c>
      <c r="AG198">
        <v>716.85391503873905</v>
      </c>
    </row>
    <row r="199" spans="1:33" x14ac:dyDescent="0.25">
      <c r="A199" s="1">
        <v>44250</v>
      </c>
      <c r="B199">
        <v>6316.4998482587598</v>
      </c>
      <c r="C199">
        <v>3651.7311014065199</v>
      </c>
      <c r="D199">
        <v>3888.7982852751602</v>
      </c>
      <c r="E199">
        <v>6483.6345903996898</v>
      </c>
      <c r="F199">
        <v>8553.8080542582502</v>
      </c>
      <c r="G199">
        <v>8693.4297009130605</v>
      </c>
      <c r="H199">
        <v>23507.572940477501</v>
      </c>
      <c r="I199">
        <v>10865.702384505201</v>
      </c>
      <c r="J199">
        <v>1040.5181276218</v>
      </c>
      <c r="K199">
        <v>798.88227899165997</v>
      </c>
      <c r="L199">
        <v>516.22792487091704</v>
      </c>
      <c r="M199">
        <v>7132.7404343626904</v>
      </c>
      <c r="N199">
        <v>878.09379824670305</v>
      </c>
      <c r="O199">
        <v>483.28124263099102</v>
      </c>
      <c r="P199">
        <v>893.24314414742503</v>
      </c>
      <c r="Q199">
        <v>5232.07889707302</v>
      </c>
      <c r="R199">
        <v>556.113993931614</v>
      </c>
      <c r="S199">
        <v>456.71105996957601</v>
      </c>
      <c r="T199">
        <v>198.15902474628101</v>
      </c>
      <c r="U199">
        <v>261.93666434041103</v>
      </c>
      <c r="V199">
        <v>192.06801079712099</v>
      </c>
      <c r="W199">
        <v>180.934509864982</v>
      </c>
      <c r="X199">
        <v>180.809724317117</v>
      </c>
      <c r="Y199">
        <v>820.58960817578998</v>
      </c>
      <c r="Z199">
        <v>216.671319622803</v>
      </c>
      <c r="AA199">
        <v>683.21875329300701</v>
      </c>
      <c r="AB199">
        <v>812.535479502827</v>
      </c>
      <c r="AC199">
        <v>834.860843523114</v>
      </c>
      <c r="AD199">
        <v>468.41680624093402</v>
      </c>
      <c r="AE199">
        <v>750.79841597006498</v>
      </c>
      <c r="AF199">
        <v>886.23966449891702</v>
      </c>
      <c r="AG199">
        <v>702.14882380205097</v>
      </c>
    </row>
    <row r="200" spans="1:33" x14ac:dyDescent="0.25">
      <c r="A200" s="1">
        <v>44251</v>
      </c>
      <c r="B200">
        <v>6203.6601141588999</v>
      </c>
      <c r="C200">
        <v>4593.8497211160002</v>
      </c>
      <c r="D200">
        <v>3877.9721355893398</v>
      </c>
      <c r="E200">
        <v>6452.5287329194598</v>
      </c>
      <c r="F200">
        <v>9467.9658312448992</v>
      </c>
      <c r="G200">
        <v>9188.9208361388901</v>
      </c>
      <c r="H200">
        <v>23307.166662626401</v>
      </c>
      <c r="I200">
        <v>11437.159742772201</v>
      </c>
      <c r="J200">
        <v>1015.61746501681</v>
      </c>
      <c r="K200">
        <v>794.91032177989496</v>
      </c>
      <c r="L200">
        <v>515.75327420414396</v>
      </c>
      <c r="M200">
        <v>7353.9271925396197</v>
      </c>
      <c r="N200">
        <v>844.31713657889395</v>
      </c>
      <c r="O200">
        <v>498.543600006791</v>
      </c>
      <c r="P200">
        <v>884.94913221487298</v>
      </c>
      <c r="Q200">
        <v>5482.4001550878702</v>
      </c>
      <c r="R200">
        <v>549.772287636697</v>
      </c>
      <c r="S200">
        <v>421.30310130300899</v>
      </c>
      <c r="T200">
        <v>198.97723894259701</v>
      </c>
      <c r="U200">
        <v>261.37554420478</v>
      </c>
      <c r="V200">
        <v>184.641034431897</v>
      </c>
      <c r="W200">
        <v>172.12901690404499</v>
      </c>
      <c r="X200">
        <v>174.80673111670899</v>
      </c>
      <c r="Y200">
        <v>810.73071948158201</v>
      </c>
      <c r="Z200">
        <v>216.39507687869099</v>
      </c>
      <c r="AA200">
        <v>668.29919582653497</v>
      </c>
      <c r="AB200">
        <v>801.40263088709401</v>
      </c>
      <c r="AC200">
        <v>790.86382574445304</v>
      </c>
      <c r="AD200">
        <v>463.435494359801</v>
      </c>
      <c r="AE200">
        <v>843.32079735513696</v>
      </c>
      <c r="AF200">
        <v>885.33081615387403</v>
      </c>
      <c r="AG200">
        <v>694.70099096793297</v>
      </c>
    </row>
    <row r="201" spans="1:33" x14ac:dyDescent="0.25">
      <c r="A201" s="1">
        <v>44252</v>
      </c>
      <c r="B201">
        <v>6133.8623297159902</v>
      </c>
      <c r="C201">
        <v>4977.9873814726197</v>
      </c>
      <c r="D201">
        <v>3977.0119788822499</v>
      </c>
      <c r="E201">
        <v>6505.2474498384199</v>
      </c>
      <c r="F201">
        <v>9722.3424901726394</v>
      </c>
      <c r="G201">
        <v>9023.2660878427105</v>
      </c>
      <c r="H201">
        <v>22429.125755551198</v>
      </c>
      <c r="I201">
        <v>12109.194302567001</v>
      </c>
      <c r="J201">
        <v>998.03338029869803</v>
      </c>
      <c r="K201">
        <v>768.77578371675497</v>
      </c>
      <c r="L201">
        <v>499.713456941191</v>
      </c>
      <c r="M201">
        <v>7378.3106932438805</v>
      </c>
      <c r="N201">
        <v>1102.1630873046199</v>
      </c>
      <c r="O201">
        <v>490.43833005996299</v>
      </c>
      <c r="P201">
        <v>854.63503080396094</v>
      </c>
      <c r="Q201">
        <v>5565.2357672122698</v>
      </c>
      <c r="R201">
        <v>539.10913701473203</v>
      </c>
      <c r="S201">
        <v>435.188487129115</v>
      </c>
      <c r="T201">
        <v>203.746145732267</v>
      </c>
      <c r="U201">
        <v>260.67149600880998</v>
      </c>
      <c r="V201">
        <v>200.00746401320899</v>
      </c>
      <c r="W201">
        <v>171.95623657050999</v>
      </c>
      <c r="X201">
        <v>183.36510280781701</v>
      </c>
      <c r="Y201">
        <v>797.72850355910805</v>
      </c>
      <c r="Z201">
        <v>214.57944423645301</v>
      </c>
      <c r="AA201">
        <v>657.36412394082504</v>
      </c>
      <c r="AB201">
        <v>791.79527623756201</v>
      </c>
      <c r="AC201">
        <v>794.31346644175505</v>
      </c>
      <c r="AD201">
        <v>457.16849933949197</v>
      </c>
      <c r="AE201">
        <v>858.26833589476496</v>
      </c>
      <c r="AF201">
        <v>885.92394503606397</v>
      </c>
      <c r="AG201">
        <v>691.31518197196499</v>
      </c>
    </row>
    <row r="202" spans="1:33" x14ac:dyDescent="0.25">
      <c r="A202" s="1">
        <v>44253</v>
      </c>
      <c r="B202">
        <v>6086.0995403291299</v>
      </c>
      <c r="C202">
        <v>4897.8680388476496</v>
      </c>
      <c r="D202">
        <v>4114.7915868664404</v>
      </c>
      <c r="E202">
        <v>6424.3089251553802</v>
      </c>
      <c r="F202">
        <v>9873.2887371600591</v>
      </c>
      <c r="G202">
        <v>9149.8501509964008</v>
      </c>
      <c r="H202">
        <v>22213.322535915799</v>
      </c>
      <c r="I202">
        <v>12253.380734397801</v>
      </c>
      <c r="J202">
        <v>976.37813386866901</v>
      </c>
      <c r="K202">
        <v>756.87428577531705</v>
      </c>
      <c r="L202">
        <v>498.35511595047598</v>
      </c>
      <c r="M202">
        <v>7508.5116398053897</v>
      </c>
      <c r="N202">
        <v>1157.61331683704</v>
      </c>
      <c r="O202">
        <v>475.90888043061398</v>
      </c>
      <c r="P202">
        <v>836.81000999202899</v>
      </c>
      <c r="Q202">
        <v>5611.0389869369301</v>
      </c>
      <c r="R202">
        <v>526.81946617531003</v>
      </c>
      <c r="S202">
        <v>440.97878671519402</v>
      </c>
      <c r="T202">
        <v>204.13529083319801</v>
      </c>
      <c r="U202">
        <v>259.969572490014</v>
      </c>
      <c r="V202">
        <v>195.20483612470699</v>
      </c>
      <c r="W202">
        <v>176.82413098674201</v>
      </c>
      <c r="X202">
        <v>174.28665850153101</v>
      </c>
      <c r="Y202">
        <v>789.52949932096203</v>
      </c>
      <c r="Z202">
        <v>212.34949473658099</v>
      </c>
      <c r="AA202">
        <v>650.58939974924897</v>
      </c>
      <c r="AB202">
        <v>782.27382519388095</v>
      </c>
      <c r="AC202">
        <v>821.93514408227804</v>
      </c>
      <c r="AD202">
        <v>455.44805840904002</v>
      </c>
      <c r="AE202">
        <v>895.331267193553</v>
      </c>
      <c r="AF202">
        <v>883.16123731034702</v>
      </c>
      <c r="AG202">
        <v>687.41834583171897</v>
      </c>
    </row>
    <row r="203" spans="1:33" x14ac:dyDescent="0.25">
      <c r="A203" s="1">
        <v>44254</v>
      </c>
      <c r="B203">
        <v>6085.1249778649899</v>
      </c>
      <c r="C203">
        <v>4998.7099137242403</v>
      </c>
      <c r="D203">
        <v>4309.46841648192</v>
      </c>
      <c r="E203">
        <v>6283.98335688934</v>
      </c>
      <c r="F203">
        <v>9475.8885169653004</v>
      </c>
      <c r="G203">
        <v>8450.7377530098802</v>
      </c>
      <c r="H203">
        <v>20745.566824535399</v>
      </c>
      <c r="I203">
        <v>12394.5814199137</v>
      </c>
      <c r="J203">
        <v>962.15813185902698</v>
      </c>
      <c r="K203">
        <v>734.32378657976403</v>
      </c>
      <c r="L203">
        <v>487.44007201620798</v>
      </c>
      <c r="M203">
        <v>6766.02791089739</v>
      </c>
      <c r="N203">
        <v>939.41042377515203</v>
      </c>
      <c r="O203">
        <v>463.59390249717597</v>
      </c>
      <c r="P203">
        <v>796.63058614820397</v>
      </c>
      <c r="Q203">
        <v>5094.6644812136201</v>
      </c>
      <c r="R203">
        <v>508.368830499419</v>
      </c>
      <c r="S203">
        <v>449.14397885342999</v>
      </c>
      <c r="T203">
        <v>199.985896368819</v>
      </c>
      <c r="U203">
        <v>259.68708192933002</v>
      </c>
      <c r="V203">
        <v>185.953361974816</v>
      </c>
      <c r="W203">
        <v>179.452511574163</v>
      </c>
      <c r="X203">
        <v>174.12678583109701</v>
      </c>
      <c r="Y203">
        <v>797.13511316638699</v>
      </c>
      <c r="Z203">
        <v>210.19614142144101</v>
      </c>
      <c r="AA203">
        <v>645.06432982134197</v>
      </c>
      <c r="AB203">
        <v>779.56433924523901</v>
      </c>
      <c r="AC203">
        <v>845.186557469072</v>
      </c>
      <c r="AD203">
        <v>445.41382292086303</v>
      </c>
      <c r="AE203">
        <v>943.61465704518298</v>
      </c>
      <c r="AF203">
        <v>879.25043158089795</v>
      </c>
      <c r="AG203">
        <v>682.35857653827202</v>
      </c>
    </row>
    <row r="204" spans="1:33" x14ac:dyDescent="0.25">
      <c r="A204" s="1">
        <v>44255</v>
      </c>
      <c r="B204">
        <v>6038.0529134181497</v>
      </c>
      <c r="C204">
        <v>4804.5805443923</v>
      </c>
      <c r="D204">
        <v>4561.2123079043204</v>
      </c>
      <c r="E204">
        <v>6341.0440392948703</v>
      </c>
      <c r="F204">
        <v>9554.9873146612208</v>
      </c>
      <c r="G204">
        <v>8936.7360616884907</v>
      </c>
      <c r="H204">
        <v>21060.9450601887</v>
      </c>
      <c r="I204">
        <v>12391.3227357426</v>
      </c>
      <c r="J204">
        <v>939.22760799968</v>
      </c>
      <c r="K204">
        <v>735.83079868857806</v>
      </c>
      <c r="L204">
        <v>483.59826944100502</v>
      </c>
      <c r="M204">
        <v>7314.0086332803503</v>
      </c>
      <c r="N204">
        <v>1170.8559749455101</v>
      </c>
      <c r="O204">
        <v>460.10376603880201</v>
      </c>
      <c r="P204">
        <v>817.51408804038897</v>
      </c>
      <c r="Q204">
        <v>5477.8893452867997</v>
      </c>
      <c r="R204">
        <v>503.326880006973</v>
      </c>
      <c r="S204">
        <v>447.14468300794198</v>
      </c>
      <c r="T204">
        <v>204.019392367075</v>
      </c>
      <c r="U204">
        <v>259.17701357749399</v>
      </c>
      <c r="V204">
        <v>199.92148887782599</v>
      </c>
      <c r="W204">
        <v>179.262510634394</v>
      </c>
      <c r="X204">
        <v>181.782623148212</v>
      </c>
      <c r="Y204">
        <v>810.34041867579197</v>
      </c>
      <c r="Z204">
        <v>210.32141074745201</v>
      </c>
      <c r="AA204">
        <v>644.80319966400998</v>
      </c>
      <c r="AB204">
        <v>789.47398301391001</v>
      </c>
      <c r="AC204">
        <v>853.96089756373499</v>
      </c>
      <c r="AD204">
        <v>442.88197649596401</v>
      </c>
      <c r="AE204">
        <v>960.45914564003101</v>
      </c>
      <c r="AF204">
        <v>875.99083132337103</v>
      </c>
      <c r="AG204">
        <v>677.59422170017501</v>
      </c>
    </row>
    <row r="205" spans="1:33" x14ac:dyDescent="0.25">
      <c r="A205" s="1">
        <v>44256</v>
      </c>
      <c r="B205">
        <v>6031.7500128382298</v>
      </c>
      <c r="C205">
        <v>5010.8018823480297</v>
      </c>
      <c r="D205">
        <v>4736.7674629208796</v>
      </c>
      <c r="E205">
        <v>6471.7890358693603</v>
      </c>
      <c r="F205">
        <v>10344.827470675</v>
      </c>
      <c r="G205">
        <v>9889.0706193512997</v>
      </c>
      <c r="H205">
        <v>22083.404191200902</v>
      </c>
      <c r="I205">
        <v>12565.681646606299</v>
      </c>
      <c r="J205">
        <v>923.25871916236304</v>
      </c>
      <c r="K205">
        <v>758.48509358234298</v>
      </c>
      <c r="L205">
        <v>489.39362345562699</v>
      </c>
      <c r="M205">
        <v>8274.3393629254006</v>
      </c>
      <c r="N205">
        <v>1540.55829043003</v>
      </c>
      <c r="O205">
        <v>461.05550385542801</v>
      </c>
      <c r="P205">
        <v>860.364616434558</v>
      </c>
      <c r="Q205">
        <v>6254.3604806827398</v>
      </c>
      <c r="R205">
        <v>506.90559136145998</v>
      </c>
      <c r="S205">
        <v>425.29563373330001</v>
      </c>
      <c r="T205">
        <v>210.585292139063</v>
      </c>
      <c r="U205">
        <v>257.40151983123098</v>
      </c>
      <c r="V205">
        <v>212.93874239124099</v>
      </c>
      <c r="W205">
        <v>179.316736805868</v>
      </c>
      <c r="X205">
        <v>185.59006357720901</v>
      </c>
      <c r="Y205">
        <v>813.45443626404301</v>
      </c>
      <c r="Z205">
        <v>209.635921368819</v>
      </c>
      <c r="AA205">
        <v>640.68641738947099</v>
      </c>
      <c r="AB205">
        <v>787.92318614881299</v>
      </c>
      <c r="AC205">
        <v>863.848863865211</v>
      </c>
      <c r="AD205">
        <v>444.861733332901</v>
      </c>
      <c r="AE205">
        <v>935.04691464319603</v>
      </c>
      <c r="AF205">
        <v>873.06417687884903</v>
      </c>
      <c r="AG205">
        <v>673.53951800315997</v>
      </c>
    </row>
    <row r="206" spans="1:33" x14ac:dyDescent="0.25">
      <c r="A206" s="1">
        <v>44257</v>
      </c>
      <c r="B206">
        <v>6090.1266796643004</v>
      </c>
      <c r="C206">
        <v>5781.7021351656604</v>
      </c>
      <c r="D206">
        <v>4848.4136610129099</v>
      </c>
      <c r="E206">
        <v>6660.1618853235404</v>
      </c>
      <c r="F206">
        <v>11394.0128844722</v>
      </c>
      <c r="G206">
        <v>11148.897339348099</v>
      </c>
      <c r="H206">
        <v>23508.557747372201</v>
      </c>
      <c r="I206">
        <v>12906.839200738699</v>
      </c>
      <c r="J206">
        <v>914.98187417368297</v>
      </c>
      <c r="K206">
        <v>813.56389210989403</v>
      </c>
      <c r="L206">
        <v>494.95800309561997</v>
      </c>
      <c r="M206">
        <v>9383.79204865457</v>
      </c>
      <c r="N206">
        <v>1944.77064004914</v>
      </c>
      <c r="O206">
        <v>477.643494130367</v>
      </c>
      <c r="P206">
        <v>941.00997073165001</v>
      </c>
      <c r="Q206">
        <v>7387.6502450696598</v>
      </c>
      <c r="R206">
        <v>520.01296630520301</v>
      </c>
      <c r="S206">
        <v>401.898504297263</v>
      </c>
      <c r="T206">
        <v>222.857015689843</v>
      </c>
      <c r="U206">
        <v>258.04471491901597</v>
      </c>
      <c r="V206">
        <v>228.203745733407</v>
      </c>
      <c r="W206">
        <v>179.237709954081</v>
      </c>
      <c r="X206">
        <v>188.00940358423401</v>
      </c>
      <c r="Y206">
        <v>813.319530445694</v>
      </c>
      <c r="Z206">
        <v>208.45149516426201</v>
      </c>
      <c r="AA206">
        <v>634.35159335813296</v>
      </c>
      <c r="AB206">
        <v>782.13591278760998</v>
      </c>
      <c r="AC206">
        <v>879.572954482461</v>
      </c>
      <c r="AD206">
        <v>447.91442315595498</v>
      </c>
      <c r="AE206">
        <v>894.50711193868096</v>
      </c>
      <c r="AF206">
        <v>870.89907192678299</v>
      </c>
      <c r="AG206">
        <v>667.03201157805404</v>
      </c>
    </row>
    <row r="207" spans="1:33" x14ac:dyDescent="0.25">
      <c r="A207" s="1">
        <v>44258</v>
      </c>
      <c r="B207">
        <v>6218.7706411778299</v>
      </c>
      <c r="C207">
        <v>6961.4222039332499</v>
      </c>
      <c r="D207">
        <v>4988.5987778567196</v>
      </c>
      <c r="E207">
        <v>7023.9703892713196</v>
      </c>
      <c r="F207">
        <v>12432.5901778349</v>
      </c>
      <c r="G207">
        <v>12510.5705771665</v>
      </c>
      <c r="H207">
        <v>25414.8380597123</v>
      </c>
      <c r="I207">
        <v>13367.5747784908</v>
      </c>
      <c r="J207">
        <v>918.15898625523505</v>
      </c>
      <c r="K207">
        <v>904.15683460116702</v>
      </c>
      <c r="L207">
        <v>502.21196887985201</v>
      </c>
      <c r="M207">
        <v>10717.574050282599</v>
      </c>
      <c r="N207">
        <v>2610.11001353246</v>
      </c>
      <c r="O207">
        <v>497.33805017263302</v>
      </c>
      <c r="P207">
        <v>1059.5390390996599</v>
      </c>
      <c r="Q207">
        <v>8730.4102171143804</v>
      </c>
      <c r="R207">
        <v>542.01935401526305</v>
      </c>
      <c r="S207">
        <v>374.86854305609501</v>
      </c>
      <c r="T207">
        <v>252.17765168985599</v>
      </c>
      <c r="U207">
        <v>256.52610055316501</v>
      </c>
      <c r="V207">
        <v>261.854899327422</v>
      </c>
      <c r="W207">
        <v>179.63031964298301</v>
      </c>
      <c r="X207">
        <v>194.339777425775</v>
      </c>
      <c r="Y207">
        <v>810.86342800884995</v>
      </c>
      <c r="Z207">
        <v>206.89218718228099</v>
      </c>
      <c r="AA207">
        <v>629.500237336552</v>
      </c>
      <c r="AB207">
        <v>778.20301232122597</v>
      </c>
      <c r="AC207">
        <v>895.92318665485095</v>
      </c>
      <c r="AD207">
        <v>454.56425697812199</v>
      </c>
      <c r="AE207">
        <v>955.01843729918505</v>
      </c>
      <c r="AF207">
        <v>868.21103928658101</v>
      </c>
      <c r="AG207">
        <v>662.01278779628001</v>
      </c>
    </row>
    <row r="208" spans="1:33" x14ac:dyDescent="0.25">
      <c r="A208" s="1">
        <v>44259</v>
      </c>
      <c r="B208">
        <v>6394.64324234579</v>
      </c>
      <c r="C208">
        <v>8413.9884829025104</v>
      </c>
      <c r="D208">
        <v>5197.3231067818897</v>
      </c>
      <c r="E208">
        <v>7046.2244725832097</v>
      </c>
      <c r="F208">
        <v>12843.3002758605</v>
      </c>
      <c r="G208">
        <v>11646.522429795599</v>
      </c>
      <c r="H208">
        <v>23983.4710088846</v>
      </c>
      <c r="I208">
        <v>13769.3445184212</v>
      </c>
      <c r="J208">
        <v>923.26132114700295</v>
      </c>
      <c r="K208">
        <v>904.71211362493796</v>
      </c>
      <c r="L208">
        <v>517.28429626589696</v>
      </c>
      <c r="M208">
        <v>10103.807582490001</v>
      </c>
      <c r="N208">
        <v>2457.8284358912701</v>
      </c>
      <c r="O208">
        <v>475.86920911245898</v>
      </c>
      <c r="P208">
        <v>1053.2899127095</v>
      </c>
      <c r="Q208">
        <v>8089.7817329651998</v>
      </c>
      <c r="R208">
        <v>534.65458076353298</v>
      </c>
      <c r="S208">
        <v>371.33053902626398</v>
      </c>
      <c r="T208">
        <v>249.29994709778299</v>
      </c>
      <c r="U208">
        <v>252.661147985513</v>
      </c>
      <c r="V208">
        <v>239.68742212216301</v>
      </c>
      <c r="W208">
        <v>183.36667504891</v>
      </c>
      <c r="X208">
        <v>189.60114176930901</v>
      </c>
      <c r="Y208">
        <v>828.12182306540001</v>
      </c>
      <c r="Z208">
        <v>203.198022361374</v>
      </c>
      <c r="AA208">
        <v>624.00420025206404</v>
      </c>
      <c r="AB208">
        <v>791.02412108309102</v>
      </c>
      <c r="AC208">
        <v>894.09490999034904</v>
      </c>
      <c r="AD208">
        <v>456.06459732415999</v>
      </c>
      <c r="AE208">
        <v>967.02256532500996</v>
      </c>
      <c r="AF208">
        <v>863.25173710390595</v>
      </c>
      <c r="AG208">
        <v>666.914701205097</v>
      </c>
    </row>
    <row r="209" spans="1:33" x14ac:dyDescent="0.25">
      <c r="A209" s="1">
        <v>44260</v>
      </c>
      <c r="B209">
        <v>6542.1761975895597</v>
      </c>
      <c r="C209">
        <v>7862.1839629921897</v>
      </c>
      <c r="D209">
        <v>5674.0956775598597</v>
      </c>
      <c r="E209">
        <v>7067.6384728541498</v>
      </c>
      <c r="F209">
        <v>12404.4752238285</v>
      </c>
      <c r="G209">
        <v>11007.874732554301</v>
      </c>
      <c r="H209">
        <v>23333.3075248817</v>
      </c>
      <c r="I209">
        <v>14067.2662872826</v>
      </c>
      <c r="J209">
        <v>926.70443720995695</v>
      </c>
      <c r="K209">
        <v>888.06457150461904</v>
      </c>
      <c r="L209">
        <v>507.39631166664299</v>
      </c>
      <c r="M209">
        <v>9477.2040322286102</v>
      </c>
      <c r="N209">
        <v>2164.43743987978</v>
      </c>
      <c r="O209">
        <v>448.77974660816801</v>
      </c>
      <c r="P209">
        <v>1020.50072808011</v>
      </c>
      <c r="Q209">
        <v>7510.9490635641896</v>
      </c>
      <c r="R209">
        <v>513.60598386370896</v>
      </c>
      <c r="S209">
        <v>374.19383685304399</v>
      </c>
      <c r="T209">
        <v>237.891958689777</v>
      </c>
      <c r="U209">
        <v>250.450505585282</v>
      </c>
      <c r="V209">
        <v>234.17003139403499</v>
      </c>
      <c r="W209">
        <v>176.12216404375701</v>
      </c>
      <c r="X209">
        <v>187.75859635321399</v>
      </c>
      <c r="Y209">
        <v>855.53988094292595</v>
      </c>
      <c r="Z209">
        <v>202.814373573235</v>
      </c>
      <c r="AA209">
        <v>623.80711338779304</v>
      </c>
      <c r="AB209">
        <v>819.93752434104294</v>
      </c>
      <c r="AC209">
        <v>878.77836550677205</v>
      </c>
      <c r="AD209">
        <v>455.16293984236501</v>
      </c>
      <c r="AE209">
        <v>944.32776156916805</v>
      </c>
      <c r="AF209">
        <v>857.17937042267499</v>
      </c>
      <c r="AG209">
        <v>674.576255126668</v>
      </c>
    </row>
    <row r="210" spans="1:33" x14ac:dyDescent="0.25">
      <c r="A210" s="1">
        <v>44261</v>
      </c>
      <c r="B210">
        <v>6616.90642226009</v>
      </c>
      <c r="C210">
        <v>7575.45696543954</v>
      </c>
      <c r="D210">
        <v>6305.2269729440804</v>
      </c>
      <c r="E210">
        <v>7287.8939546586198</v>
      </c>
      <c r="F210">
        <v>12256.937808004701</v>
      </c>
      <c r="G210">
        <v>11158.2763923723</v>
      </c>
      <c r="H210">
        <v>23789.242261249801</v>
      </c>
      <c r="I210">
        <v>14337.896191530999</v>
      </c>
      <c r="J210">
        <v>929.23961999959295</v>
      </c>
      <c r="K210">
        <v>922.02232005989595</v>
      </c>
      <c r="L210">
        <v>501.850709803607</v>
      </c>
      <c r="M210">
        <v>9706.6907062714399</v>
      </c>
      <c r="N210">
        <v>2335.8144297068902</v>
      </c>
      <c r="O210">
        <v>454.90580424752602</v>
      </c>
      <c r="P210">
        <v>1064.94796794544</v>
      </c>
      <c r="Q210">
        <v>7758.5383481152103</v>
      </c>
      <c r="R210">
        <v>526.05844665608004</v>
      </c>
      <c r="S210">
        <v>368.576850154309</v>
      </c>
      <c r="T210">
        <v>251.17982151546701</v>
      </c>
      <c r="U210">
        <v>250.929551582702</v>
      </c>
      <c r="V210">
        <v>247.71030698132699</v>
      </c>
      <c r="W210">
        <v>172.740461444803</v>
      </c>
      <c r="X210">
        <v>191.12611121638599</v>
      </c>
      <c r="Y210">
        <v>852.83250968450295</v>
      </c>
      <c r="Z210">
        <v>204.79599446799801</v>
      </c>
      <c r="AA210">
        <v>624.97260289052394</v>
      </c>
      <c r="AB210">
        <v>820.80769258864404</v>
      </c>
      <c r="AC210">
        <v>882.32757521396695</v>
      </c>
      <c r="AD210">
        <v>456.185385249295</v>
      </c>
      <c r="AE210">
        <v>919.96074914512599</v>
      </c>
      <c r="AF210">
        <v>855.21424678078301</v>
      </c>
      <c r="AG210">
        <v>675.04947211062904</v>
      </c>
    </row>
    <row r="211" spans="1:33" x14ac:dyDescent="0.25">
      <c r="A211" s="1">
        <v>44262</v>
      </c>
      <c r="B211">
        <v>6702.5257847102403</v>
      </c>
      <c r="C211">
        <v>7670.2494390145102</v>
      </c>
      <c r="D211">
        <v>6779.9847603196804</v>
      </c>
      <c r="E211">
        <v>7353.8850990996898</v>
      </c>
      <c r="F211">
        <v>11942.336754427301</v>
      </c>
      <c r="G211">
        <v>10629.1929135265</v>
      </c>
      <c r="H211">
        <v>23198.106873807399</v>
      </c>
      <c r="I211">
        <v>14365.0801046161</v>
      </c>
      <c r="J211">
        <v>929.53129553961401</v>
      </c>
      <c r="K211">
        <v>905.60678803989197</v>
      </c>
      <c r="L211">
        <v>499.46592654595997</v>
      </c>
      <c r="M211">
        <v>9286.4923034252206</v>
      </c>
      <c r="N211">
        <v>2155.80973697646</v>
      </c>
      <c r="O211">
        <v>444.50523868299098</v>
      </c>
      <c r="P211">
        <v>1049.22628598038</v>
      </c>
      <c r="Q211">
        <v>7417.0550057902301</v>
      </c>
      <c r="R211">
        <v>512.27478694013996</v>
      </c>
      <c r="S211">
        <v>369.76192604048498</v>
      </c>
      <c r="T211">
        <v>248.75958270355599</v>
      </c>
      <c r="U211">
        <v>248.548999482905</v>
      </c>
      <c r="V211">
        <v>238.605637237286</v>
      </c>
      <c r="W211">
        <v>177.45628994059999</v>
      </c>
      <c r="X211">
        <v>185.46541356319</v>
      </c>
      <c r="Y211">
        <v>865.06673697667804</v>
      </c>
      <c r="Z211">
        <v>206.08494694918099</v>
      </c>
      <c r="AA211">
        <v>625.25107155907904</v>
      </c>
      <c r="AB211">
        <v>840.52713311624802</v>
      </c>
      <c r="AC211">
        <v>892.48963721877897</v>
      </c>
      <c r="AD211">
        <v>454.16189902105498</v>
      </c>
      <c r="AE211">
        <v>944.93803630144203</v>
      </c>
      <c r="AF211">
        <v>852.08191035482105</v>
      </c>
      <c r="AG211">
        <v>680.08467311492097</v>
      </c>
    </row>
    <row r="212" spans="1:33" x14ac:dyDescent="0.25">
      <c r="A212" s="1">
        <v>44263</v>
      </c>
      <c r="B212">
        <v>6803.2444378770497</v>
      </c>
      <c r="C212">
        <v>7272.5882730885696</v>
      </c>
      <c r="D212">
        <v>7061.94610485663</v>
      </c>
      <c r="E212">
        <v>7687.0394525603197</v>
      </c>
      <c r="F212">
        <v>11838.031076048799</v>
      </c>
      <c r="G212">
        <v>10690.354857705201</v>
      </c>
      <c r="H212">
        <v>23390.561538738799</v>
      </c>
      <c r="I212">
        <v>14483.563902595301</v>
      </c>
      <c r="J212">
        <v>929.34306721379005</v>
      </c>
      <c r="K212">
        <v>912.67535933848205</v>
      </c>
      <c r="L212">
        <v>494.52849766861601</v>
      </c>
      <c r="M212">
        <v>9573.9441070394205</v>
      </c>
      <c r="N212">
        <v>2380.4949218818901</v>
      </c>
      <c r="O212">
        <v>452.21576607106903</v>
      </c>
      <c r="P212">
        <v>1082.44852484234</v>
      </c>
      <c r="Q212">
        <v>7560.4241599685001</v>
      </c>
      <c r="R212">
        <v>518.15453223225904</v>
      </c>
      <c r="S212">
        <v>355.84463047981302</v>
      </c>
      <c r="T212">
        <v>256.77725690281801</v>
      </c>
      <c r="U212">
        <v>242.83104473228801</v>
      </c>
      <c r="V212">
        <v>246.019179373133</v>
      </c>
      <c r="W212">
        <v>176.51147024642401</v>
      </c>
      <c r="X212">
        <v>180.92513680297299</v>
      </c>
      <c r="Y212">
        <v>865.78024148830696</v>
      </c>
      <c r="Z212">
        <v>207.74553598325201</v>
      </c>
      <c r="AA212">
        <v>625.609041177368</v>
      </c>
      <c r="AB212">
        <v>840.76641562543796</v>
      </c>
      <c r="AC212">
        <v>890.78052472038598</v>
      </c>
      <c r="AD212">
        <v>452.188860263587</v>
      </c>
      <c r="AE212">
        <v>962.13551268630397</v>
      </c>
      <c r="AF212">
        <v>851.73925914236497</v>
      </c>
      <c r="AG212">
        <v>683.78749908184898</v>
      </c>
    </row>
    <row r="213" spans="1:33" x14ac:dyDescent="0.25">
      <c r="A213" s="1">
        <v>44264</v>
      </c>
      <c r="B213">
        <v>6962.0582039856399</v>
      </c>
      <c r="C213">
        <v>7056.1710000550602</v>
      </c>
      <c r="D213">
        <v>7205.1021883650401</v>
      </c>
      <c r="E213">
        <v>7929.2672554863702</v>
      </c>
      <c r="F213">
        <v>11563.0271598401</v>
      </c>
      <c r="G213">
        <v>10674.9678751389</v>
      </c>
      <c r="H213">
        <v>22799.365375137801</v>
      </c>
      <c r="I213">
        <v>14545.1299258298</v>
      </c>
      <c r="J213">
        <v>923.21696837488298</v>
      </c>
      <c r="K213">
        <v>907.40729876751004</v>
      </c>
      <c r="L213">
        <v>490.701733160456</v>
      </c>
      <c r="M213">
        <v>9290.3762747196306</v>
      </c>
      <c r="N213">
        <v>2247.73664796189</v>
      </c>
      <c r="O213">
        <v>447.82311533963798</v>
      </c>
      <c r="P213">
        <v>1055.2631911895401</v>
      </c>
      <c r="Q213">
        <v>7473.6256188951402</v>
      </c>
      <c r="R213">
        <v>508.94473769152597</v>
      </c>
      <c r="S213">
        <v>348.65121142960999</v>
      </c>
      <c r="T213">
        <v>250.45030395001999</v>
      </c>
      <c r="U213">
        <v>240.779283476476</v>
      </c>
      <c r="V213">
        <v>245.52170601034601</v>
      </c>
      <c r="W213">
        <v>175.80429517307101</v>
      </c>
      <c r="X213">
        <v>184.044658180211</v>
      </c>
      <c r="Y213">
        <v>857.52223683234297</v>
      </c>
      <c r="Z213">
        <v>208.05147569614201</v>
      </c>
      <c r="AA213">
        <v>624.36856245160004</v>
      </c>
      <c r="AB213">
        <v>830.742676858967</v>
      </c>
      <c r="AC213">
        <v>888.80021381501501</v>
      </c>
      <c r="AD213">
        <v>451.80393389758899</v>
      </c>
      <c r="AE213">
        <v>885.97854032928399</v>
      </c>
      <c r="AF213">
        <v>853.895871866471</v>
      </c>
      <c r="AG213">
        <v>683.247155700696</v>
      </c>
    </row>
    <row r="214" spans="1:33" x14ac:dyDescent="0.25">
      <c r="A214" s="1">
        <v>44265</v>
      </c>
      <c r="B214">
        <v>7138.4828811105399</v>
      </c>
      <c r="C214">
        <v>6875.7451238476397</v>
      </c>
      <c r="D214">
        <v>7229.8153091081604</v>
      </c>
      <c r="E214">
        <v>8226.4254614308193</v>
      </c>
      <c r="F214">
        <v>11912.1266103995</v>
      </c>
      <c r="G214">
        <v>11113.3088648005</v>
      </c>
      <c r="H214">
        <v>22776.450483084402</v>
      </c>
      <c r="I214">
        <v>14555.2885986744</v>
      </c>
      <c r="J214">
        <v>922.52719419401103</v>
      </c>
      <c r="K214">
        <v>927.02465733411395</v>
      </c>
      <c r="L214">
        <v>492.52194693311702</v>
      </c>
      <c r="M214">
        <v>9566.0857904650402</v>
      </c>
      <c r="N214">
        <v>2428.2407654141798</v>
      </c>
      <c r="O214">
        <v>453.14380991402601</v>
      </c>
      <c r="P214">
        <v>1100.43246408918</v>
      </c>
      <c r="Q214">
        <v>7767.8422061984302</v>
      </c>
      <c r="R214">
        <v>513.31073535181099</v>
      </c>
      <c r="S214">
        <v>335.992268210725</v>
      </c>
      <c r="T214">
        <v>258.94427109706299</v>
      </c>
      <c r="U214">
        <v>243.19128158961101</v>
      </c>
      <c r="V214">
        <v>256.942400661357</v>
      </c>
      <c r="W214">
        <v>171.66828651303101</v>
      </c>
      <c r="X214">
        <v>193.04207666307499</v>
      </c>
      <c r="Y214">
        <v>852.551638305859</v>
      </c>
      <c r="Z214">
        <v>208.442608437654</v>
      </c>
      <c r="AA214">
        <v>621.27847657829602</v>
      </c>
      <c r="AB214">
        <v>820.83587214748195</v>
      </c>
      <c r="AC214">
        <v>902.36049966906398</v>
      </c>
      <c r="AD214">
        <v>453.41579504282998</v>
      </c>
      <c r="AE214">
        <v>828.36878847241303</v>
      </c>
      <c r="AF214">
        <v>856.97855985358899</v>
      </c>
      <c r="AG214">
        <v>683.89662038313099</v>
      </c>
    </row>
    <row r="215" spans="1:33" x14ac:dyDescent="0.25">
      <c r="A215" s="1">
        <v>44266</v>
      </c>
      <c r="B215">
        <v>7342.8163201400803</v>
      </c>
      <c r="C215">
        <v>6845.9624222349703</v>
      </c>
      <c r="D215">
        <v>7133.5574441569297</v>
      </c>
      <c r="E215">
        <v>8161.8805678682002</v>
      </c>
      <c r="F215">
        <v>11773.5545577669</v>
      </c>
      <c r="G215">
        <v>10623.652998649401</v>
      </c>
      <c r="H215">
        <v>21976.476507331299</v>
      </c>
      <c r="I215">
        <v>14584.8262239713</v>
      </c>
      <c r="J215">
        <v>919.47872897960701</v>
      </c>
      <c r="K215">
        <v>899.40261685938003</v>
      </c>
      <c r="L215">
        <v>492.41271312502897</v>
      </c>
      <c r="M215">
        <v>8999.3702117067605</v>
      </c>
      <c r="N215">
        <v>2032.3664197384901</v>
      </c>
      <c r="O215">
        <v>442.04314620879899</v>
      </c>
      <c r="P215">
        <v>1044.93142202226</v>
      </c>
      <c r="Q215">
        <v>7236.1868664779304</v>
      </c>
      <c r="R215">
        <v>500.847322715514</v>
      </c>
      <c r="S215">
        <v>349.98099845287197</v>
      </c>
      <c r="T215">
        <v>239.593687944018</v>
      </c>
      <c r="U215">
        <v>243.021757344566</v>
      </c>
      <c r="V215">
        <v>225.72535083130199</v>
      </c>
      <c r="W215">
        <v>166.671959223687</v>
      </c>
      <c r="X215">
        <v>181.97969434363401</v>
      </c>
      <c r="Y215">
        <v>860.52614809957095</v>
      </c>
      <c r="Z215">
        <v>207.650323646733</v>
      </c>
      <c r="AA215">
        <v>619.48560617506098</v>
      </c>
      <c r="AB215">
        <v>829.30979834637606</v>
      </c>
      <c r="AC215">
        <v>905.55812996576003</v>
      </c>
      <c r="AD215">
        <v>450.53382718035999</v>
      </c>
      <c r="AE215">
        <v>849.89746822714005</v>
      </c>
      <c r="AF215">
        <v>861.17704575577602</v>
      </c>
      <c r="AG215">
        <v>690.07373518179804</v>
      </c>
    </row>
    <row r="216" spans="1:33" x14ac:dyDescent="0.25">
      <c r="A216" s="1">
        <v>44267</v>
      </c>
      <c r="B216">
        <v>7523.9333602028601</v>
      </c>
      <c r="C216">
        <v>6428.0462879362603</v>
      </c>
      <c r="D216">
        <v>7038.7887119940196</v>
      </c>
      <c r="E216">
        <v>8163.7450682547296</v>
      </c>
      <c r="F216">
        <v>11378.141003016701</v>
      </c>
      <c r="G216">
        <v>10122.767478055001</v>
      </c>
      <c r="H216">
        <v>21853.580265585599</v>
      </c>
      <c r="I216">
        <v>14547.4568351158</v>
      </c>
      <c r="J216">
        <v>919.17209355313105</v>
      </c>
      <c r="K216">
        <v>870.04129292922005</v>
      </c>
      <c r="L216">
        <v>489.29106059062002</v>
      </c>
      <c r="M216">
        <v>8552.4327261918606</v>
      </c>
      <c r="N216">
        <v>1713.0047980524701</v>
      </c>
      <c r="O216">
        <v>438.22657090272298</v>
      </c>
      <c r="P216">
        <v>995.32344595185896</v>
      </c>
      <c r="Q216">
        <v>6759.5920811973101</v>
      </c>
      <c r="R216">
        <v>492.60341811011801</v>
      </c>
      <c r="S216">
        <v>361.07622321759601</v>
      </c>
      <c r="T216">
        <v>225.75751577703701</v>
      </c>
      <c r="U216">
        <v>243.37913083806501</v>
      </c>
      <c r="V216">
        <v>197.340942773764</v>
      </c>
      <c r="W216">
        <v>179.128084747071</v>
      </c>
      <c r="X216">
        <v>172.351766308912</v>
      </c>
      <c r="Y216">
        <v>873.24637368400602</v>
      </c>
      <c r="Z216">
        <v>207.76249778541401</v>
      </c>
      <c r="AA216">
        <v>621.01905327494103</v>
      </c>
      <c r="AB216">
        <v>840.33292069261597</v>
      </c>
      <c r="AC216">
        <v>871.85568694309404</v>
      </c>
      <c r="AD216">
        <v>447.46402961136101</v>
      </c>
      <c r="AE216">
        <v>864.88859185420404</v>
      </c>
      <c r="AF216">
        <v>864.99800112962203</v>
      </c>
      <c r="AG216">
        <v>695.41720755763595</v>
      </c>
    </row>
    <row r="217" spans="1:33" x14ac:dyDescent="0.25">
      <c r="A217" s="1">
        <v>44268</v>
      </c>
      <c r="B217">
        <v>7618.0738813235503</v>
      </c>
      <c r="C217">
        <v>6293.5072726924</v>
      </c>
      <c r="D217">
        <v>6961.57423891499</v>
      </c>
      <c r="E217">
        <v>8232.6480344336105</v>
      </c>
      <c r="F217">
        <v>10925.5656994113</v>
      </c>
      <c r="G217">
        <v>9947.6666467400992</v>
      </c>
      <c r="H217">
        <v>22505.243662412999</v>
      </c>
      <c r="I217">
        <v>14377.3517821925</v>
      </c>
      <c r="J217">
        <v>919.59349407976197</v>
      </c>
      <c r="K217">
        <v>848.16020024680995</v>
      </c>
      <c r="L217">
        <v>486.23024836813698</v>
      </c>
      <c r="M217">
        <v>8473.14840479329</v>
      </c>
      <c r="N217">
        <v>1639.7423190347899</v>
      </c>
      <c r="O217">
        <v>440.653468708677</v>
      </c>
      <c r="P217">
        <v>945.80954840596905</v>
      </c>
      <c r="Q217">
        <v>6634.8016525065595</v>
      </c>
      <c r="R217">
        <v>491.65038239256597</v>
      </c>
      <c r="S217">
        <v>356.015472547125</v>
      </c>
      <c r="T217">
        <v>221.642905909619</v>
      </c>
      <c r="U217">
        <v>241.84144146784001</v>
      </c>
      <c r="V217">
        <v>195.05421723006199</v>
      </c>
      <c r="W217">
        <v>169.07606338633599</v>
      </c>
      <c r="X217">
        <v>170.788916662948</v>
      </c>
      <c r="Y217">
        <v>886.30822534195704</v>
      </c>
      <c r="Z217">
        <v>208.25043999649199</v>
      </c>
      <c r="AA217">
        <v>624.675125041255</v>
      </c>
      <c r="AB217">
        <v>858.62681658985002</v>
      </c>
      <c r="AC217">
        <v>844.19678238112897</v>
      </c>
      <c r="AD217">
        <v>445.25402672296701</v>
      </c>
      <c r="AE217">
        <v>886.49158944292196</v>
      </c>
      <c r="AF217">
        <v>868.07557677803902</v>
      </c>
      <c r="AG217">
        <v>703.68578715810702</v>
      </c>
    </row>
    <row r="218" spans="1:33" x14ac:dyDescent="0.25">
      <c r="A218" s="1">
        <v>44269</v>
      </c>
      <c r="B218">
        <v>7737.2737357838096</v>
      </c>
      <c r="C218">
        <v>6159.7241090636799</v>
      </c>
      <c r="D218">
        <v>6815.9593924727797</v>
      </c>
      <c r="E218">
        <v>8281.4924096023806</v>
      </c>
      <c r="F218">
        <v>10514.526896393199</v>
      </c>
      <c r="G218">
        <v>9340.5829343035493</v>
      </c>
      <c r="H218">
        <v>21848.162985180301</v>
      </c>
      <c r="I218">
        <v>14272.525750581801</v>
      </c>
      <c r="J218">
        <v>915.04027934156898</v>
      </c>
      <c r="K218">
        <v>811.62193913257795</v>
      </c>
      <c r="L218">
        <v>494.59625323378799</v>
      </c>
      <c r="M218">
        <v>8056.7231239849598</v>
      </c>
      <c r="N218">
        <v>1456.0466617934101</v>
      </c>
      <c r="O218">
        <v>424.18723937291998</v>
      </c>
      <c r="P218">
        <v>901.05968753378897</v>
      </c>
      <c r="Q218">
        <v>6155.7852511434103</v>
      </c>
      <c r="R218">
        <v>476.13568119887901</v>
      </c>
      <c r="S218">
        <v>340.74398939738097</v>
      </c>
      <c r="T218">
        <v>213.337440367482</v>
      </c>
      <c r="U218">
        <v>243.43177884758899</v>
      </c>
      <c r="V218">
        <v>190.72715022362601</v>
      </c>
      <c r="W218">
        <v>163.88009731087499</v>
      </c>
      <c r="X218">
        <v>176.88737898717201</v>
      </c>
      <c r="Y218">
        <v>896.18427228589701</v>
      </c>
      <c r="Z218">
        <v>205.84904125120701</v>
      </c>
      <c r="AA218">
        <v>626.40391807048798</v>
      </c>
      <c r="AB218">
        <v>873.90864183803205</v>
      </c>
      <c r="AC218">
        <v>852.98623115971998</v>
      </c>
      <c r="AD218">
        <v>447.33930221533501</v>
      </c>
      <c r="AE218">
        <v>910.66572336744196</v>
      </c>
      <c r="AF218">
        <v>871.16983191528595</v>
      </c>
      <c r="AG218">
        <v>715.26622657765699</v>
      </c>
    </row>
    <row r="219" spans="1:33" x14ac:dyDescent="0.25">
      <c r="A219" s="1">
        <v>44270</v>
      </c>
      <c r="B219">
        <v>7845.0610029048203</v>
      </c>
      <c r="C219">
        <v>5612.9678651013401</v>
      </c>
      <c r="D219">
        <v>6599.6500902977596</v>
      </c>
      <c r="E219">
        <v>8262.6901866415301</v>
      </c>
      <c r="F219">
        <v>10326.4810615304</v>
      </c>
      <c r="G219">
        <v>8984.5169260488201</v>
      </c>
      <c r="H219">
        <v>21280.3052885855</v>
      </c>
      <c r="I219">
        <v>14145.3652415819</v>
      </c>
      <c r="J219">
        <v>914.16373660766203</v>
      </c>
      <c r="K219">
        <v>789.12061535199302</v>
      </c>
      <c r="L219">
        <v>493.52892880303801</v>
      </c>
      <c r="M219">
        <v>7451.4583162451599</v>
      </c>
      <c r="N219">
        <v>1158.3953373750101</v>
      </c>
      <c r="O219">
        <v>426.80760879459501</v>
      </c>
      <c r="P219">
        <v>858.89114930608503</v>
      </c>
      <c r="Q219">
        <v>5640.7011268029801</v>
      </c>
      <c r="R219">
        <v>464.61810482835199</v>
      </c>
      <c r="S219">
        <v>332.81740289923903</v>
      </c>
      <c r="T219">
        <v>206.25171956663399</v>
      </c>
      <c r="U219">
        <v>243.76043491536399</v>
      </c>
      <c r="V219">
        <v>179.688068042482</v>
      </c>
      <c r="W219">
        <v>142.03979092177099</v>
      </c>
      <c r="X219">
        <v>168.609414557506</v>
      </c>
      <c r="Y219">
        <v>883.02810613161398</v>
      </c>
      <c r="Z219">
        <v>201.83086647568101</v>
      </c>
      <c r="AA219">
        <v>628.76926856156001</v>
      </c>
      <c r="AB219">
        <v>871.74455067967904</v>
      </c>
      <c r="AC219">
        <v>861.02638742475904</v>
      </c>
      <c r="AD219">
        <v>445.78406407497198</v>
      </c>
      <c r="AE219">
        <v>901.78064954543504</v>
      </c>
      <c r="AF219">
        <v>874.415585948998</v>
      </c>
      <c r="AG219">
        <v>714.65975694279803</v>
      </c>
    </row>
    <row r="220" spans="1:33" x14ac:dyDescent="0.25">
      <c r="A220" s="1">
        <v>44271</v>
      </c>
      <c r="B220">
        <v>7963.47881157749</v>
      </c>
      <c r="C220">
        <v>5438.9169758026501</v>
      </c>
      <c r="D220">
        <v>6444.9653483182801</v>
      </c>
      <c r="E220">
        <v>8135.4979139506704</v>
      </c>
      <c r="F220">
        <v>9466.2017072897106</v>
      </c>
      <c r="G220">
        <v>8240.7814367987194</v>
      </c>
      <c r="H220">
        <v>20335.6597454568</v>
      </c>
      <c r="I220">
        <v>13880.7453767923</v>
      </c>
      <c r="J220">
        <v>906.64936161401999</v>
      </c>
      <c r="K220">
        <v>740.45222516638205</v>
      </c>
      <c r="L220">
        <v>480.25446416745802</v>
      </c>
      <c r="M220">
        <v>6900.0800935206298</v>
      </c>
      <c r="N220">
        <v>981.01037277292301</v>
      </c>
      <c r="O220">
        <v>403.04451598187802</v>
      </c>
      <c r="P220">
        <v>802.30465452202702</v>
      </c>
      <c r="Q220">
        <v>5084.5301394741</v>
      </c>
      <c r="R220">
        <v>451.56576724116502</v>
      </c>
      <c r="S220">
        <v>358.45941142265502</v>
      </c>
      <c r="T220">
        <v>197.354284041623</v>
      </c>
      <c r="U220">
        <v>243.98705415015701</v>
      </c>
      <c r="V220">
        <v>172.756114417953</v>
      </c>
      <c r="W220">
        <v>141.99828549484101</v>
      </c>
      <c r="X220">
        <v>158.37277191531601</v>
      </c>
      <c r="Y220">
        <v>844.21483170051499</v>
      </c>
      <c r="Z220">
        <v>199.37209082421401</v>
      </c>
      <c r="AA220">
        <v>630.78236670784895</v>
      </c>
      <c r="AB220">
        <v>836.11846719361597</v>
      </c>
      <c r="AC220">
        <v>876.93781816996204</v>
      </c>
      <c r="AD220">
        <v>440.891350267333</v>
      </c>
      <c r="AE220">
        <v>889.54370931870801</v>
      </c>
      <c r="AF220">
        <v>878.11929470688403</v>
      </c>
      <c r="AG220">
        <v>709.54153962135695</v>
      </c>
    </row>
    <row r="221" spans="1:33" x14ac:dyDescent="0.25">
      <c r="A221" s="1">
        <v>44272</v>
      </c>
      <c r="B221">
        <v>7994.7735523329002</v>
      </c>
      <c r="C221">
        <v>5105.78095452462</v>
      </c>
      <c r="D221">
        <v>6282.0501144504997</v>
      </c>
      <c r="E221">
        <v>8129.59114720868</v>
      </c>
      <c r="F221">
        <v>9516.0237682496499</v>
      </c>
      <c r="G221">
        <v>8470.1209540222208</v>
      </c>
      <c r="H221">
        <v>20994.662350727998</v>
      </c>
      <c r="I221">
        <v>13520.4037178052</v>
      </c>
      <c r="J221">
        <v>900.38469221414005</v>
      </c>
      <c r="K221">
        <v>737.438576101428</v>
      </c>
      <c r="L221">
        <v>461.98571424116602</v>
      </c>
      <c r="M221">
        <v>7191.3899909474703</v>
      </c>
      <c r="N221">
        <v>1043.83774592433</v>
      </c>
      <c r="O221">
        <v>409.22113234784001</v>
      </c>
      <c r="P221">
        <v>807.50126477626702</v>
      </c>
      <c r="Q221">
        <v>5295.28477615882</v>
      </c>
      <c r="R221">
        <v>459.91389871034801</v>
      </c>
      <c r="S221">
        <v>346.97365233736298</v>
      </c>
      <c r="T221">
        <v>190.06445476386199</v>
      </c>
      <c r="U221">
        <v>244.288945258166</v>
      </c>
      <c r="V221">
        <v>157.614712732394</v>
      </c>
      <c r="W221">
        <v>143.753781745601</v>
      </c>
      <c r="X221">
        <v>142.04650347665699</v>
      </c>
      <c r="Y221">
        <v>833.60817678531805</v>
      </c>
      <c r="Z221">
        <v>200.033800583328</v>
      </c>
      <c r="AA221">
        <v>630.60276931569297</v>
      </c>
      <c r="AB221">
        <v>810.63255087300399</v>
      </c>
      <c r="AC221">
        <v>883.94365501724496</v>
      </c>
      <c r="AD221">
        <v>430.82999110653998</v>
      </c>
      <c r="AE221">
        <v>901.09260258049801</v>
      </c>
      <c r="AF221">
        <v>878.40018978330204</v>
      </c>
      <c r="AG221">
        <v>684.33505050287397</v>
      </c>
    </row>
    <row r="222" spans="1:33" x14ac:dyDescent="0.25">
      <c r="A222" s="1">
        <v>44273</v>
      </c>
      <c r="B222">
        <v>7938.1432793161503</v>
      </c>
      <c r="C222">
        <v>5240.1296251178201</v>
      </c>
      <c r="D222">
        <v>6053.9105476418899</v>
      </c>
      <c r="E222">
        <v>8077.2813838312504</v>
      </c>
      <c r="F222">
        <v>9825.0044379973697</v>
      </c>
      <c r="G222">
        <v>8839.2182880979399</v>
      </c>
      <c r="H222">
        <v>21809.356834251601</v>
      </c>
      <c r="I222">
        <v>13197.2902467985</v>
      </c>
      <c r="J222">
        <v>890.55363630019303</v>
      </c>
      <c r="K222">
        <v>744.42419195859804</v>
      </c>
      <c r="L222">
        <v>453.33051721133597</v>
      </c>
      <c r="M222">
        <v>7550.7565639320501</v>
      </c>
      <c r="N222">
        <v>1109.6579575472299</v>
      </c>
      <c r="O222">
        <v>403.13371159340699</v>
      </c>
      <c r="P222">
        <v>825.96089431264704</v>
      </c>
      <c r="Q222">
        <v>5551.9743556003305</v>
      </c>
      <c r="R222">
        <v>464.00408721962401</v>
      </c>
      <c r="S222">
        <v>339.64322950063303</v>
      </c>
      <c r="T222">
        <v>182.89757126287799</v>
      </c>
      <c r="U222">
        <v>244.99090215035</v>
      </c>
      <c r="V222">
        <v>152.16454862711799</v>
      </c>
      <c r="W222">
        <v>144.36149502137201</v>
      </c>
      <c r="X222">
        <v>142.52382508002299</v>
      </c>
      <c r="Y222">
        <v>822.972247223208</v>
      </c>
      <c r="Z222">
        <v>202.368866053499</v>
      </c>
      <c r="AA222">
        <v>635.63759894228497</v>
      </c>
      <c r="AB222">
        <v>788.34860053622799</v>
      </c>
      <c r="AC222">
        <v>879.44014967069904</v>
      </c>
      <c r="AD222">
        <v>423.987229473139</v>
      </c>
      <c r="AE222">
        <v>934.90201731391005</v>
      </c>
      <c r="AF222">
        <v>876.49913512450803</v>
      </c>
      <c r="AG222">
        <v>673.99299443572704</v>
      </c>
    </row>
    <row r="223" spans="1:33" x14ac:dyDescent="0.25">
      <c r="A223" s="1">
        <v>44274</v>
      </c>
      <c r="B223">
        <v>7887.74136044835</v>
      </c>
      <c r="C223">
        <v>5320.8035782155803</v>
      </c>
      <c r="D223">
        <v>5713.9482295548696</v>
      </c>
      <c r="E223">
        <v>7998.9515466113098</v>
      </c>
      <c r="F223">
        <v>9831.6150407835303</v>
      </c>
      <c r="G223">
        <v>8820.6912981940604</v>
      </c>
      <c r="H223">
        <v>22067.987324913</v>
      </c>
      <c r="I223">
        <v>13074.435639739</v>
      </c>
      <c r="J223">
        <v>877.44757231879396</v>
      </c>
      <c r="K223">
        <v>743.68056690624405</v>
      </c>
      <c r="L223">
        <v>457.56826300744098</v>
      </c>
      <c r="M223">
        <v>7374.3385463289596</v>
      </c>
      <c r="N223">
        <v>1017.60010143384</v>
      </c>
      <c r="O223">
        <v>385.129097897056</v>
      </c>
      <c r="P223">
        <v>821.17043328306102</v>
      </c>
      <c r="Q223">
        <v>5330.3633024486198</v>
      </c>
      <c r="R223">
        <v>460.230998394305</v>
      </c>
      <c r="S223">
        <v>346.73022238686599</v>
      </c>
      <c r="T223">
        <v>177.00996077588101</v>
      </c>
      <c r="U223">
        <v>244.04562863974499</v>
      </c>
      <c r="V223">
        <v>149.01928646101501</v>
      </c>
      <c r="W223">
        <v>143.179918859521</v>
      </c>
      <c r="X223">
        <v>143.94462807598299</v>
      </c>
      <c r="Y223">
        <v>815.90212308548496</v>
      </c>
      <c r="Z223">
        <v>202.92289784453101</v>
      </c>
      <c r="AA223">
        <v>638.13791712931595</v>
      </c>
      <c r="AB223">
        <v>776.53747761047396</v>
      </c>
      <c r="AC223">
        <v>871.75288344476701</v>
      </c>
      <c r="AD223">
        <v>424.09411950771801</v>
      </c>
      <c r="AE223">
        <v>955.86604841727603</v>
      </c>
      <c r="AF223">
        <v>872.59269411712705</v>
      </c>
      <c r="AG223">
        <v>667.50235627303596</v>
      </c>
    </row>
    <row r="224" spans="1:33" x14ac:dyDescent="0.25">
      <c r="A224" s="1">
        <v>44275</v>
      </c>
      <c r="B224">
        <v>7863.2804327378799</v>
      </c>
      <c r="C224">
        <v>5309.91447990898</v>
      </c>
      <c r="D224">
        <v>5455.5077512534099</v>
      </c>
      <c r="E224">
        <v>7846.4750136319099</v>
      </c>
      <c r="F224">
        <v>9421.5125980918092</v>
      </c>
      <c r="G224">
        <v>8113.4785744391302</v>
      </c>
      <c r="H224">
        <v>22102.404678591702</v>
      </c>
      <c r="I224">
        <v>13087.9182042593</v>
      </c>
      <c r="J224">
        <v>873.58448476011404</v>
      </c>
      <c r="K224">
        <v>719.50012277100802</v>
      </c>
      <c r="L224">
        <v>458.96478154315201</v>
      </c>
      <c r="M224">
        <v>6843.0639626852799</v>
      </c>
      <c r="N224">
        <v>812.78719676690605</v>
      </c>
      <c r="O224">
        <v>363.63872803142499</v>
      </c>
      <c r="P224">
        <v>777.08779626063495</v>
      </c>
      <c r="Q224">
        <v>4755.41545480683</v>
      </c>
      <c r="R224">
        <v>447.897829411678</v>
      </c>
      <c r="S224">
        <v>361.81289457175899</v>
      </c>
      <c r="T224">
        <v>172.95654589999901</v>
      </c>
      <c r="U224">
        <v>243.47709692578701</v>
      </c>
      <c r="V224">
        <v>145.89965181321199</v>
      </c>
      <c r="W224">
        <v>149.13362421878</v>
      </c>
      <c r="X224">
        <v>143.38740058810799</v>
      </c>
      <c r="Y224">
        <v>814.17990271506903</v>
      </c>
      <c r="Z224">
        <v>200.83223144215901</v>
      </c>
      <c r="AA224">
        <v>635.69611776597003</v>
      </c>
      <c r="AB224">
        <v>774.87136292137905</v>
      </c>
      <c r="AC224">
        <v>873.41328800728502</v>
      </c>
      <c r="AD224">
        <v>418.60003914210898</v>
      </c>
      <c r="AE224">
        <v>991.350753453945</v>
      </c>
      <c r="AF224">
        <v>869.70645638639996</v>
      </c>
      <c r="AG224">
        <v>666.60429200230897</v>
      </c>
    </row>
    <row r="225" spans="1:33" x14ac:dyDescent="0.25">
      <c r="A225" s="1">
        <v>44276</v>
      </c>
      <c r="B225">
        <v>7793.9946249444702</v>
      </c>
      <c r="C225">
        <v>4963.6343658544602</v>
      </c>
      <c r="D225">
        <v>5348.2125801826096</v>
      </c>
      <c r="E225">
        <v>7621.6349961366404</v>
      </c>
      <c r="F225">
        <v>8738.2427642413095</v>
      </c>
      <c r="G225">
        <v>7090.1857498490099</v>
      </c>
      <c r="H225">
        <v>21426.4908426722</v>
      </c>
      <c r="I225">
        <v>13028.1507697544</v>
      </c>
      <c r="J225">
        <v>865.04084093688198</v>
      </c>
      <c r="K225">
        <v>680.42445683539302</v>
      </c>
      <c r="L225">
        <v>447.72635579578701</v>
      </c>
      <c r="M225">
        <v>6050.6342943176096</v>
      </c>
      <c r="N225">
        <v>579.92257844102505</v>
      </c>
      <c r="O225">
        <v>334.41346380347301</v>
      </c>
      <c r="P225">
        <v>725.38209128613198</v>
      </c>
      <c r="Q225">
        <v>4184.8698201831003</v>
      </c>
      <c r="R225">
        <v>419.42568446263101</v>
      </c>
      <c r="S225">
        <v>375.82066813655899</v>
      </c>
      <c r="T225">
        <v>170.02601395858599</v>
      </c>
      <c r="U225">
        <v>243.65585485759999</v>
      </c>
      <c r="V225">
        <v>144.08321952541999</v>
      </c>
      <c r="W225">
        <v>160.62783961581999</v>
      </c>
      <c r="X225">
        <v>144.650555474079</v>
      </c>
      <c r="Y225">
        <v>820.88088112315995</v>
      </c>
      <c r="Z225">
        <v>197.70977900907801</v>
      </c>
      <c r="AA225">
        <v>638.71600618560899</v>
      </c>
      <c r="AB225">
        <v>781.71445230412303</v>
      </c>
      <c r="AC225">
        <v>879.02806616460305</v>
      </c>
      <c r="AD225">
        <v>412.14146243092</v>
      </c>
      <c r="AE225">
        <v>1055.42023212861</v>
      </c>
      <c r="AF225">
        <v>866.92747996587104</v>
      </c>
      <c r="AG225">
        <v>673.508445491168</v>
      </c>
    </row>
    <row r="226" spans="1:33" x14ac:dyDescent="0.25">
      <c r="A226" s="1">
        <v>44277</v>
      </c>
      <c r="B226">
        <v>7657.6602337506401</v>
      </c>
      <c r="C226">
        <v>4268.7969403283696</v>
      </c>
      <c r="D226">
        <v>5292.7835076721803</v>
      </c>
      <c r="E226">
        <v>7378.6281150772802</v>
      </c>
      <c r="F226">
        <v>8068.0275077443803</v>
      </c>
      <c r="G226">
        <v>6516.9001377179302</v>
      </c>
      <c r="H226">
        <v>21788.047131140302</v>
      </c>
      <c r="I226">
        <v>12893.8877596527</v>
      </c>
      <c r="J226">
        <v>856.96166672832396</v>
      </c>
      <c r="K226">
        <v>649.50058952206598</v>
      </c>
      <c r="L226">
        <v>441.64687640782398</v>
      </c>
      <c r="M226">
        <v>5644.4502068072597</v>
      </c>
      <c r="N226">
        <v>548.73567437083204</v>
      </c>
      <c r="O226">
        <v>330.24382324676299</v>
      </c>
      <c r="P226">
        <v>693.16340488574599</v>
      </c>
      <c r="Q226">
        <v>3938.4980130691602</v>
      </c>
      <c r="R226">
        <v>412.52413165134601</v>
      </c>
      <c r="S226">
        <v>410.95436916036601</v>
      </c>
      <c r="T226">
        <v>170.26073085181099</v>
      </c>
      <c r="U226">
        <v>244.199593631814</v>
      </c>
      <c r="V226">
        <v>155.81617126668399</v>
      </c>
      <c r="W226">
        <v>159.710127264476</v>
      </c>
      <c r="X226">
        <v>157.43484818094399</v>
      </c>
      <c r="Y226">
        <v>826.81639480288004</v>
      </c>
      <c r="Z226">
        <v>194.96603804252101</v>
      </c>
      <c r="AA226">
        <v>643.12239636655102</v>
      </c>
      <c r="AB226">
        <v>789.723247431809</v>
      </c>
      <c r="AC226">
        <v>896.01455246571697</v>
      </c>
      <c r="AD226">
        <v>405.17752160545399</v>
      </c>
      <c r="AE226">
        <v>1143.6493142495899</v>
      </c>
      <c r="AF226">
        <v>864.54783472874999</v>
      </c>
      <c r="AG226">
        <v>677.81047791767298</v>
      </c>
    </row>
    <row r="227" spans="1:33" x14ac:dyDescent="0.25">
      <c r="A227" s="1">
        <v>44278</v>
      </c>
      <c r="B227">
        <v>7471.7023467076297</v>
      </c>
      <c r="C227">
        <v>3994.3601942565701</v>
      </c>
      <c r="D227">
        <v>5194.7620250960199</v>
      </c>
      <c r="E227">
        <v>7184.4002528493702</v>
      </c>
      <c r="F227">
        <v>7345.8444899619999</v>
      </c>
      <c r="G227">
        <v>6033.2379490496596</v>
      </c>
      <c r="H227">
        <v>20697.316991632099</v>
      </c>
      <c r="I227">
        <v>12314.0409748723</v>
      </c>
      <c r="J227">
        <v>832.52285151111596</v>
      </c>
      <c r="K227">
        <v>603.20246135780303</v>
      </c>
      <c r="L227">
        <v>427.65441542007397</v>
      </c>
      <c r="M227">
        <v>4646.6978855526404</v>
      </c>
      <c r="N227">
        <v>376.32765388494499</v>
      </c>
      <c r="O227">
        <v>338.621393052987</v>
      </c>
      <c r="P227">
        <v>640.97431080921899</v>
      </c>
      <c r="Q227">
        <v>3346.80839813188</v>
      </c>
      <c r="R227">
        <v>397.63198953070702</v>
      </c>
      <c r="S227">
        <v>369.67028299916598</v>
      </c>
      <c r="T227">
        <v>171.473131978163</v>
      </c>
      <c r="U227">
        <v>244.16870784135301</v>
      </c>
      <c r="V227">
        <v>160.73346790105799</v>
      </c>
      <c r="W227">
        <v>158.640267803656</v>
      </c>
      <c r="X227">
        <v>160.22043901497</v>
      </c>
      <c r="Y227">
        <v>826.21670076373198</v>
      </c>
      <c r="Z227">
        <v>186.579572020341</v>
      </c>
      <c r="AA227">
        <v>646.04023290561497</v>
      </c>
      <c r="AB227">
        <v>788.33341660825999</v>
      </c>
      <c r="AC227">
        <v>913.38345373023299</v>
      </c>
      <c r="AD227">
        <v>401.52721147039398</v>
      </c>
      <c r="AE227">
        <v>1181.1078578648001</v>
      </c>
      <c r="AF227">
        <v>864.85480434257795</v>
      </c>
      <c r="AG227">
        <v>670.91330662590599</v>
      </c>
    </row>
    <row r="228" spans="1:33" x14ac:dyDescent="0.25">
      <c r="A228" s="1">
        <v>44279</v>
      </c>
      <c r="B228">
        <v>7206.9726161458202</v>
      </c>
      <c r="C228">
        <v>3273.5751595703</v>
      </c>
      <c r="D228">
        <v>5128.02962570824</v>
      </c>
      <c r="E228">
        <v>7003.9103416708303</v>
      </c>
      <c r="F228">
        <v>7096.3460365881901</v>
      </c>
      <c r="G228">
        <v>6591.9711394156402</v>
      </c>
      <c r="H228">
        <v>21842.743413738099</v>
      </c>
      <c r="I228">
        <v>10789.1667483074</v>
      </c>
      <c r="J228">
        <v>806.03170809881101</v>
      </c>
      <c r="K228">
        <v>589.90792643931798</v>
      </c>
      <c r="L228">
        <v>412.62110727519803</v>
      </c>
      <c r="M228">
        <v>5158.5075050322002</v>
      </c>
      <c r="N228">
        <v>462.06467342180099</v>
      </c>
      <c r="O228">
        <v>344.53072861802002</v>
      </c>
      <c r="P228">
        <v>638.05688029631301</v>
      </c>
      <c r="Q228">
        <v>3524.5334298870298</v>
      </c>
      <c r="R228">
        <v>385.67311583421701</v>
      </c>
      <c r="S228">
        <v>371.70248493016197</v>
      </c>
      <c r="T228">
        <v>174.99159816010899</v>
      </c>
      <c r="U228">
        <v>244.528332965895</v>
      </c>
      <c r="V228">
        <v>165.80427159234301</v>
      </c>
      <c r="W228">
        <v>146.73334978749699</v>
      </c>
      <c r="X228">
        <v>161.167231735878</v>
      </c>
      <c r="Y228">
        <v>833.98690796964502</v>
      </c>
      <c r="Z228">
        <v>184.71241848268099</v>
      </c>
      <c r="AA228">
        <v>645.075422152849</v>
      </c>
      <c r="AB228">
        <v>794.61375225488598</v>
      </c>
      <c r="AC228">
        <v>944.66896450679599</v>
      </c>
      <c r="AD228">
        <v>395.03995681652702</v>
      </c>
      <c r="AE228">
        <v>1096.8268311504901</v>
      </c>
      <c r="AF228">
        <v>865.45788601823403</v>
      </c>
      <c r="AG228">
        <v>670.02654495202796</v>
      </c>
    </row>
    <row r="229" spans="1:33" x14ac:dyDescent="0.25">
      <c r="A229" s="1">
        <v>44280</v>
      </c>
      <c r="B229">
        <v>6942.3945787708799</v>
      </c>
      <c r="C229">
        <v>3416.7110895473302</v>
      </c>
      <c r="D229">
        <v>4887.8290528118596</v>
      </c>
      <c r="E229">
        <v>7049.28288281396</v>
      </c>
      <c r="F229">
        <v>8026.4116217696601</v>
      </c>
      <c r="G229">
        <v>7996.7547508044399</v>
      </c>
      <c r="H229">
        <v>24357.8488722232</v>
      </c>
      <c r="I229">
        <v>11030.129825026501</v>
      </c>
      <c r="J229">
        <v>772.51742544543799</v>
      </c>
      <c r="K229">
        <v>587.59118748844799</v>
      </c>
      <c r="L229">
        <v>406.40788169586398</v>
      </c>
      <c r="M229">
        <v>6505.7287327886297</v>
      </c>
      <c r="N229">
        <v>719.46577089609798</v>
      </c>
      <c r="O229">
        <v>364.80889773404903</v>
      </c>
      <c r="P229">
        <v>652.28049398851704</v>
      </c>
      <c r="Q229">
        <v>4665.35799088162</v>
      </c>
      <c r="R229">
        <v>406.92437323602098</v>
      </c>
      <c r="S229">
        <v>354.03333671792001</v>
      </c>
      <c r="T229">
        <v>177.82852618774999</v>
      </c>
      <c r="U229">
        <v>244.96136504406101</v>
      </c>
      <c r="V229">
        <v>168.94327768312499</v>
      </c>
      <c r="W229">
        <v>159.57086265528699</v>
      </c>
      <c r="X229">
        <v>157.32480933869601</v>
      </c>
      <c r="Y229">
        <v>808.747086731384</v>
      </c>
      <c r="Z229">
        <v>182.76303663597699</v>
      </c>
      <c r="AA229">
        <v>645.65107564284597</v>
      </c>
      <c r="AB229">
        <v>778.49729424795305</v>
      </c>
      <c r="AC229">
        <v>963.98570339750597</v>
      </c>
      <c r="AD229">
        <v>387.70359818033103</v>
      </c>
      <c r="AE229">
        <v>1132.10907894976</v>
      </c>
      <c r="AF229">
        <v>866.60497282962103</v>
      </c>
      <c r="AG229">
        <v>665.03771303757401</v>
      </c>
    </row>
    <row r="230" spans="1:33" x14ac:dyDescent="0.25">
      <c r="A230" s="1">
        <v>44281</v>
      </c>
      <c r="B230">
        <v>6871.8268396796802</v>
      </c>
      <c r="C230">
        <v>4512.7620528467796</v>
      </c>
      <c r="D230">
        <v>4500.7970786075102</v>
      </c>
      <c r="E230">
        <v>6911.3233504756299</v>
      </c>
      <c r="F230">
        <v>8790.3364970937</v>
      </c>
      <c r="G230">
        <v>7831.2008963029502</v>
      </c>
      <c r="H230">
        <v>21813.005668154499</v>
      </c>
      <c r="I230">
        <v>11183.051743817899</v>
      </c>
      <c r="J230">
        <v>760.90675879382798</v>
      </c>
      <c r="K230">
        <v>560.04732931441902</v>
      </c>
      <c r="L230">
        <v>413.764377142733</v>
      </c>
      <c r="M230">
        <v>5923.6538896917</v>
      </c>
      <c r="N230">
        <v>607.70094533033603</v>
      </c>
      <c r="O230">
        <v>358.020000913898</v>
      </c>
      <c r="P230">
        <v>606.169645386772</v>
      </c>
      <c r="Q230">
        <v>4360.21138437227</v>
      </c>
      <c r="R230">
        <v>394.37690527346302</v>
      </c>
      <c r="S230">
        <v>336.779878366665</v>
      </c>
      <c r="T230">
        <v>173.95430852038501</v>
      </c>
      <c r="U230">
        <v>244.81116882546701</v>
      </c>
      <c r="V230">
        <v>158.27182243333399</v>
      </c>
      <c r="W230">
        <v>160.03577629156899</v>
      </c>
      <c r="X230">
        <v>149.19424147192399</v>
      </c>
      <c r="Y230">
        <v>831.70196858328404</v>
      </c>
      <c r="Z230">
        <v>179.45527550763401</v>
      </c>
      <c r="AA230">
        <v>638.92216720277202</v>
      </c>
      <c r="AB230">
        <v>785.45855681831597</v>
      </c>
      <c r="AC230">
        <v>1009.25772662722</v>
      </c>
      <c r="AD230">
        <v>391.51717728790999</v>
      </c>
      <c r="AE230">
        <v>1066.44703953978</v>
      </c>
      <c r="AF230">
        <v>868.29094691504201</v>
      </c>
      <c r="AG230">
        <v>667.30334326628599</v>
      </c>
    </row>
    <row r="231" spans="1:33" x14ac:dyDescent="0.25">
      <c r="A231" s="1">
        <v>44282</v>
      </c>
      <c r="B231">
        <v>6759.9491560634397</v>
      </c>
      <c r="C231">
        <v>4230.6644481505</v>
      </c>
      <c r="D231">
        <v>4303.2188671083104</v>
      </c>
      <c r="E231">
        <v>6765.7236239355698</v>
      </c>
      <c r="F231">
        <v>8702.5958812386707</v>
      </c>
      <c r="G231">
        <v>7918.8483856203902</v>
      </c>
      <c r="H231">
        <v>21319.924817483799</v>
      </c>
      <c r="I231">
        <v>11364.8513194195</v>
      </c>
      <c r="J231">
        <v>745.20073570525199</v>
      </c>
      <c r="K231">
        <v>547.099380559878</v>
      </c>
      <c r="L231">
        <v>415.88247536394101</v>
      </c>
      <c r="M231">
        <v>6328.7217445061697</v>
      </c>
      <c r="N231">
        <v>781.95155586145802</v>
      </c>
      <c r="O231">
        <v>353.86069795113201</v>
      </c>
      <c r="P231">
        <v>589.48135343759395</v>
      </c>
      <c r="Q231">
        <v>4503.7047609045103</v>
      </c>
      <c r="R231">
        <v>389.56761278634099</v>
      </c>
      <c r="S231">
        <v>337.64628923740099</v>
      </c>
      <c r="T231">
        <v>174.53126413249299</v>
      </c>
      <c r="U231">
        <v>243.92066287334001</v>
      </c>
      <c r="V231">
        <v>169.37705001254901</v>
      </c>
      <c r="W231">
        <v>152.17532862028199</v>
      </c>
      <c r="X231">
        <v>161.13250323436199</v>
      </c>
      <c r="Y231">
        <v>848.09868448847499</v>
      </c>
      <c r="Z231">
        <v>179.87787208132499</v>
      </c>
      <c r="AA231">
        <v>640.58990962552105</v>
      </c>
      <c r="AB231">
        <v>796.31575336966398</v>
      </c>
      <c r="AC231">
        <v>1047.1402855869601</v>
      </c>
      <c r="AD231">
        <v>392.31574310911401</v>
      </c>
      <c r="AE231">
        <v>1010.79967818131</v>
      </c>
      <c r="AF231">
        <v>870.39649192259003</v>
      </c>
      <c r="AG231">
        <v>670.16627767575596</v>
      </c>
    </row>
    <row r="232" spans="1:33" x14ac:dyDescent="0.25">
      <c r="A232" s="1">
        <v>44283</v>
      </c>
      <c r="B232">
        <v>6557.1547084529502</v>
      </c>
      <c r="C232">
        <v>3962.9565507428201</v>
      </c>
      <c r="D232">
        <v>4290.3308504045699</v>
      </c>
      <c r="E232">
        <v>6593.9366086554701</v>
      </c>
      <c r="F232">
        <v>9000.1135730962505</v>
      </c>
      <c r="G232">
        <v>8393.1267151440006</v>
      </c>
      <c r="H232">
        <v>21433.697473276301</v>
      </c>
      <c r="I232">
        <v>11504.062893875</v>
      </c>
      <c r="J232">
        <v>727.312721932621</v>
      </c>
      <c r="K232">
        <v>542.443233844475</v>
      </c>
      <c r="L232">
        <v>416.07861667016101</v>
      </c>
      <c r="M232">
        <v>6740.5316958510602</v>
      </c>
      <c r="N232">
        <v>917.62626158207001</v>
      </c>
      <c r="O232">
        <v>355.38171671050401</v>
      </c>
      <c r="P232">
        <v>586.91660744335604</v>
      </c>
      <c r="Q232">
        <v>4839.2731265931398</v>
      </c>
      <c r="R232">
        <v>387.20767551953401</v>
      </c>
      <c r="S232">
        <v>331.20607708172702</v>
      </c>
      <c r="T232">
        <v>176.93908289842301</v>
      </c>
      <c r="U232">
        <v>243.59779820794901</v>
      </c>
      <c r="V232">
        <v>174.14547590890001</v>
      </c>
      <c r="W232">
        <v>150.38666390202701</v>
      </c>
      <c r="X232">
        <v>162.337124872673</v>
      </c>
      <c r="Y232">
        <v>862.59381863135798</v>
      </c>
      <c r="Z232">
        <v>181.04334854302101</v>
      </c>
      <c r="AA232">
        <v>640.92592972151499</v>
      </c>
      <c r="AB232">
        <v>798.87963604134995</v>
      </c>
      <c r="AC232">
        <v>1043.87309561487</v>
      </c>
      <c r="AD232">
        <v>390.34774524611402</v>
      </c>
      <c r="AE232">
        <v>1011.277706399</v>
      </c>
      <c r="AF232">
        <v>872.345882522804</v>
      </c>
      <c r="AG232">
        <v>670.88385888969401</v>
      </c>
    </row>
    <row r="233" spans="1:33" x14ac:dyDescent="0.25">
      <c r="A233" s="1">
        <v>44284</v>
      </c>
      <c r="B233">
        <v>6348.8832725224202</v>
      </c>
      <c r="C233">
        <v>4416.1071837890304</v>
      </c>
      <c r="D233">
        <v>4326.0586751239298</v>
      </c>
      <c r="E233">
        <v>6484.2482138113701</v>
      </c>
      <c r="F233">
        <v>9537.9561525202498</v>
      </c>
      <c r="G233">
        <v>8774.9168987983903</v>
      </c>
      <c r="H233">
        <v>21364.7749423735</v>
      </c>
      <c r="I233">
        <v>11780.314910192799</v>
      </c>
      <c r="J233">
        <v>711.42142111019405</v>
      </c>
      <c r="K233">
        <v>546.85943701367205</v>
      </c>
      <c r="L233">
        <v>414.17293608758303</v>
      </c>
      <c r="M233">
        <v>7100.6872313839904</v>
      </c>
      <c r="N233">
        <v>1017.77981819709</v>
      </c>
      <c r="O233">
        <v>362.54767832376001</v>
      </c>
      <c r="P233">
        <v>591.78522684296604</v>
      </c>
      <c r="Q233">
        <v>5292.1573146402297</v>
      </c>
      <c r="R233">
        <v>388.56496320863801</v>
      </c>
      <c r="S233">
        <v>325.18842399354997</v>
      </c>
      <c r="T233">
        <v>179.53139100527</v>
      </c>
      <c r="U233">
        <v>243.07624871707699</v>
      </c>
      <c r="V233">
        <v>172.772074400484</v>
      </c>
      <c r="W233">
        <v>152.571929875123</v>
      </c>
      <c r="X233">
        <v>156.200967653513</v>
      </c>
      <c r="Y233">
        <v>880.76558598466295</v>
      </c>
      <c r="Z233">
        <v>181.573166793936</v>
      </c>
      <c r="AA233">
        <v>642.23785308133495</v>
      </c>
      <c r="AB233">
        <v>805.35897188149602</v>
      </c>
      <c r="AC233">
        <v>1040.9239795211099</v>
      </c>
      <c r="AD233">
        <v>386.84227958427698</v>
      </c>
      <c r="AE233">
        <v>982.85106993981594</v>
      </c>
      <c r="AF233">
        <v>874.54868611707298</v>
      </c>
      <c r="AG233">
        <v>670.52872126580905</v>
      </c>
    </row>
    <row r="234" spans="1:33" x14ac:dyDescent="0.25">
      <c r="A234" s="1">
        <v>44285</v>
      </c>
      <c r="B234">
        <v>6219.2546098602897</v>
      </c>
      <c r="C234">
        <v>4943.2671380969796</v>
      </c>
      <c r="D234">
        <v>4420.5150745249603</v>
      </c>
      <c r="E234">
        <v>6499.9668260754497</v>
      </c>
      <c r="F234">
        <v>9838.4516372507296</v>
      </c>
      <c r="G234">
        <v>9003.0928623111195</v>
      </c>
      <c r="H234">
        <v>21061.589958195698</v>
      </c>
      <c r="I234">
        <v>12158.065181219299</v>
      </c>
      <c r="J234">
        <v>697.73583885041796</v>
      </c>
      <c r="K234">
        <v>551.67560808858195</v>
      </c>
      <c r="L234">
        <v>410.398737854827</v>
      </c>
      <c r="M234">
        <v>7278.9232968353499</v>
      </c>
      <c r="N234">
        <v>1055.44462321321</v>
      </c>
      <c r="O234">
        <v>366.01060439456199</v>
      </c>
      <c r="P234">
        <v>603.74096424324796</v>
      </c>
      <c r="Q234">
        <v>5479.4313458660799</v>
      </c>
      <c r="R234">
        <v>387.36521754363503</v>
      </c>
      <c r="S234">
        <v>321.45530021723403</v>
      </c>
      <c r="T234">
        <v>179.83969347441101</v>
      </c>
      <c r="U234">
        <v>240.75150227125701</v>
      </c>
      <c r="V234">
        <v>168.62160672738301</v>
      </c>
      <c r="W234">
        <v>156.20669632284401</v>
      </c>
      <c r="X234">
        <v>155.29604481525399</v>
      </c>
      <c r="Y234">
        <v>903.131178699668</v>
      </c>
      <c r="Z234">
        <v>180.630673668844</v>
      </c>
      <c r="AA234">
        <v>645.86730319025105</v>
      </c>
      <c r="AB234">
        <v>821.88047514075197</v>
      </c>
      <c r="AC234">
        <v>1009.71588362001</v>
      </c>
      <c r="AD234">
        <v>384.81721852602101</v>
      </c>
      <c r="AE234">
        <v>974.41466269692705</v>
      </c>
      <c r="AF234">
        <v>879.24233420497899</v>
      </c>
      <c r="AG234">
        <v>670.776637357102</v>
      </c>
    </row>
    <row r="235" spans="1:33" x14ac:dyDescent="0.25">
      <c r="A235" s="1">
        <v>44286</v>
      </c>
      <c r="B235">
        <v>6243.3382952246502</v>
      </c>
      <c r="C235">
        <v>5108.9051130061198</v>
      </c>
      <c r="D235">
        <v>4605.89183541479</v>
      </c>
      <c r="E235">
        <v>6673.9848295720803</v>
      </c>
      <c r="F235">
        <v>10149.5546879543</v>
      </c>
      <c r="G235">
        <v>9522.1511219662007</v>
      </c>
      <c r="H235">
        <v>21786.681664260701</v>
      </c>
      <c r="I235">
        <v>12485.729432911599</v>
      </c>
      <c r="J235">
        <v>686.56652451462298</v>
      </c>
      <c r="K235">
        <v>567.13559055514395</v>
      </c>
      <c r="L235">
        <v>414.09826515765502</v>
      </c>
      <c r="M235">
        <v>7998.0665421365502</v>
      </c>
      <c r="N235">
        <v>1472.9959170955401</v>
      </c>
      <c r="O235">
        <v>362.60165315193501</v>
      </c>
      <c r="P235">
        <v>639.33021471759798</v>
      </c>
      <c r="Q235">
        <v>6030.3116161757298</v>
      </c>
      <c r="R235">
        <v>390.11173283144302</v>
      </c>
      <c r="S235">
        <v>321.90466450800699</v>
      </c>
      <c r="T235">
        <v>188.09361069393</v>
      </c>
      <c r="U235">
        <v>238.35629854763499</v>
      </c>
      <c r="V235">
        <v>186.397471851538</v>
      </c>
      <c r="W235">
        <v>159.21890924844499</v>
      </c>
      <c r="X235">
        <v>159.68454341495701</v>
      </c>
      <c r="Y235">
        <v>914.66493294348095</v>
      </c>
      <c r="Z235">
        <v>180.622476577398</v>
      </c>
      <c r="AA235">
        <v>648.137187351585</v>
      </c>
      <c r="AB235">
        <v>836.61196960668303</v>
      </c>
      <c r="AC235">
        <v>986.07872816050099</v>
      </c>
      <c r="AD235">
        <v>386.788783418447</v>
      </c>
      <c r="AE235">
        <v>903.00637982154797</v>
      </c>
      <c r="AF235">
        <v>883.97995521004498</v>
      </c>
      <c r="AG235">
        <v>671.027480851993</v>
      </c>
    </row>
    <row r="236" spans="1:33" x14ac:dyDescent="0.25">
      <c r="A236" s="1">
        <v>44287</v>
      </c>
      <c r="B236">
        <v>6339.3248907479501</v>
      </c>
      <c r="C236">
        <v>5446.0347960481404</v>
      </c>
      <c r="D236">
        <v>4791.7169191011999</v>
      </c>
      <c r="E236">
        <v>6879.3236895233304</v>
      </c>
      <c r="F236">
        <v>10937.8478674941</v>
      </c>
      <c r="G236">
        <v>10585.201253372399</v>
      </c>
      <c r="H236">
        <v>23194.851147217199</v>
      </c>
      <c r="I236">
        <v>12800.862977339701</v>
      </c>
      <c r="J236">
        <v>677.30361792668202</v>
      </c>
      <c r="K236">
        <v>614.47885507878004</v>
      </c>
      <c r="L236">
        <v>411.570410955797</v>
      </c>
      <c r="M236">
        <v>8897.0182332061704</v>
      </c>
      <c r="N236">
        <v>1896.4095259462599</v>
      </c>
      <c r="O236">
        <v>367.14315479728202</v>
      </c>
      <c r="P236">
        <v>723.51941657290001</v>
      </c>
      <c r="Q236">
        <v>7009.6385225670601</v>
      </c>
      <c r="R236">
        <v>397.49565265253102</v>
      </c>
      <c r="S236">
        <v>314.343182855848</v>
      </c>
      <c r="T236">
        <v>204.93753254594199</v>
      </c>
      <c r="U236">
        <v>237.44718218247601</v>
      </c>
      <c r="V236">
        <v>211.60140905575199</v>
      </c>
      <c r="W236">
        <v>160.617206136954</v>
      </c>
      <c r="X236">
        <v>167.68913604609301</v>
      </c>
      <c r="Y236">
        <v>898.65875456031495</v>
      </c>
      <c r="Z236">
        <v>180.53275087489999</v>
      </c>
      <c r="AA236">
        <v>647.31306745711004</v>
      </c>
      <c r="AB236">
        <v>829.29286069448494</v>
      </c>
      <c r="AC236">
        <v>970.81946690175505</v>
      </c>
      <c r="AD236">
        <v>386.07180022324798</v>
      </c>
      <c r="AE236">
        <v>837.59851093720897</v>
      </c>
      <c r="AF236">
        <v>887.21693997500302</v>
      </c>
      <c r="AG236">
        <v>668.59346501088498</v>
      </c>
    </row>
    <row r="237" spans="1:33" x14ac:dyDescent="0.25">
      <c r="A237" s="1">
        <v>44288</v>
      </c>
      <c r="B237">
        <v>6450.6846981807203</v>
      </c>
      <c r="C237">
        <v>6606.5285088745704</v>
      </c>
      <c r="D237">
        <v>4944.8835690767201</v>
      </c>
      <c r="E237">
        <v>7145.5261555741999</v>
      </c>
      <c r="F237">
        <v>11760.785432667</v>
      </c>
      <c r="G237">
        <v>11363.9718273457</v>
      </c>
      <c r="H237">
        <v>24360.891874531299</v>
      </c>
      <c r="I237">
        <v>13134.477080016701</v>
      </c>
      <c r="J237">
        <v>677.77367750232395</v>
      </c>
      <c r="K237">
        <v>686.61541930724104</v>
      </c>
      <c r="L237">
        <v>412.533513619887</v>
      </c>
      <c r="M237">
        <v>9515.7244846445192</v>
      </c>
      <c r="N237">
        <v>2280.7886808787298</v>
      </c>
      <c r="O237">
        <v>374.53461844121802</v>
      </c>
      <c r="P237">
        <v>830.86719404264795</v>
      </c>
      <c r="Q237">
        <v>7825.1848676684403</v>
      </c>
      <c r="R237">
        <v>409.29030668629002</v>
      </c>
      <c r="S237">
        <v>306.19167533458398</v>
      </c>
      <c r="T237">
        <v>236.87579643191299</v>
      </c>
      <c r="U237">
        <v>235.448757121386</v>
      </c>
      <c r="V237">
        <v>237.662841898354</v>
      </c>
      <c r="W237">
        <v>157.789256544224</v>
      </c>
      <c r="X237">
        <v>176.36803529044499</v>
      </c>
      <c r="Y237">
        <v>880.57983472271599</v>
      </c>
      <c r="Z237">
        <v>179.78275806324299</v>
      </c>
      <c r="AA237">
        <v>645.01948368441504</v>
      </c>
      <c r="AB237">
        <v>819.58827614675999</v>
      </c>
      <c r="AC237">
        <v>959.74118637930906</v>
      </c>
      <c r="AD237">
        <v>389.02950555181098</v>
      </c>
      <c r="AE237">
        <v>819.84988559742499</v>
      </c>
      <c r="AF237">
        <v>890.28008589986996</v>
      </c>
      <c r="AG237">
        <v>667.46758251467895</v>
      </c>
    </row>
    <row r="238" spans="1:33" x14ac:dyDescent="0.25">
      <c r="A238" s="1">
        <v>44289</v>
      </c>
      <c r="B238">
        <v>6565.2686628458896</v>
      </c>
      <c r="C238">
        <v>7686.0954348079704</v>
      </c>
      <c r="D238">
        <v>5083.5119896298702</v>
      </c>
      <c r="E238">
        <v>7194.7474757829696</v>
      </c>
      <c r="F238">
        <v>12063.029062346901</v>
      </c>
      <c r="G238">
        <v>11021.3906501725</v>
      </c>
      <c r="H238">
        <v>24266.047908384298</v>
      </c>
      <c r="I238">
        <v>13226.500879056801</v>
      </c>
      <c r="J238">
        <v>684.50754859869096</v>
      </c>
      <c r="K238">
        <v>713.40158990037696</v>
      </c>
      <c r="L238">
        <v>421.514007404783</v>
      </c>
      <c r="M238">
        <v>9520.6560889231096</v>
      </c>
      <c r="N238">
        <v>2348.1670623997802</v>
      </c>
      <c r="O238">
        <v>378.05999172846902</v>
      </c>
      <c r="P238">
        <v>837.79169560885805</v>
      </c>
      <c r="Q238">
        <v>7701.2658080712299</v>
      </c>
      <c r="R238">
        <v>416.86811035820102</v>
      </c>
      <c r="S238">
        <v>301.97472741504703</v>
      </c>
      <c r="T238">
        <v>243.929150346</v>
      </c>
      <c r="U238">
        <v>228.93131372831201</v>
      </c>
      <c r="V238">
        <v>233.30485943859401</v>
      </c>
      <c r="W238">
        <v>156.501493631508</v>
      </c>
      <c r="X238">
        <v>171.86888428224199</v>
      </c>
      <c r="Y238">
        <v>878.50628358544498</v>
      </c>
      <c r="Z238">
        <v>177.687054794609</v>
      </c>
      <c r="AA238">
        <v>644.42629160508397</v>
      </c>
      <c r="AB238">
        <v>826.41138854546205</v>
      </c>
      <c r="AC238">
        <v>941.97826960417797</v>
      </c>
      <c r="AD238">
        <v>392.25362377993099</v>
      </c>
      <c r="AE238">
        <v>816.14659652357102</v>
      </c>
      <c r="AF238">
        <v>897.56697828606002</v>
      </c>
      <c r="AG238">
        <v>667.986986154693</v>
      </c>
    </row>
    <row r="239" spans="1:33" x14ac:dyDescent="0.25">
      <c r="A239" s="1">
        <v>44290</v>
      </c>
      <c r="B239">
        <v>6644.37745610193</v>
      </c>
      <c r="C239">
        <v>7810.0870695212998</v>
      </c>
      <c r="D239">
        <v>5428.1612018333699</v>
      </c>
      <c r="E239">
        <v>7191.6933921939699</v>
      </c>
      <c r="F239">
        <v>11590.043067285</v>
      </c>
      <c r="G239">
        <v>10160.213819546299</v>
      </c>
      <c r="H239">
        <v>23330.284675113198</v>
      </c>
      <c r="I239">
        <v>13493.634685668299</v>
      </c>
      <c r="J239">
        <v>689.94746466013999</v>
      </c>
      <c r="K239">
        <v>697.40427321244204</v>
      </c>
      <c r="L239">
        <v>425.26922257226198</v>
      </c>
      <c r="M239">
        <v>8892.1556325075198</v>
      </c>
      <c r="N239">
        <v>2071.19441997681</v>
      </c>
      <c r="O239">
        <v>361.18020408994499</v>
      </c>
      <c r="P239">
        <v>810.73734956937994</v>
      </c>
      <c r="Q239">
        <v>7090.1375561462701</v>
      </c>
      <c r="R239">
        <v>406.95881508918001</v>
      </c>
      <c r="S239">
        <v>299.85026375089802</v>
      </c>
      <c r="T239">
        <v>224.121752672459</v>
      </c>
      <c r="U239">
        <v>228.51093939843301</v>
      </c>
      <c r="V239">
        <v>201.47443999413699</v>
      </c>
      <c r="W239">
        <v>157.208453092832</v>
      </c>
      <c r="X239">
        <v>159.60586451344901</v>
      </c>
      <c r="Y239">
        <v>896.60522578323196</v>
      </c>
      <c r="Z239">
        <v>175.38737611344499</v>
      </c>
      <c r="AA239">
        <v>643.76764077114206</v>
      </c>
      <c r="AB239">
        <v>848.95508271837696</v>
      </c>
      <c r="AC239">
        <v>916.888438367155</v>
      </c>
      <c r="AD239">
        <v>395.60595682244701</v>
      </c>
      <c r="AE239">
        <v>829.56182549299399</v>
      </c>
      <c r="AF239">
        <v>911.61595615140004</v>
      </c>
      <c r="AG239">
        <v>670.60855007748</v>
      </c>
    </row>
    <row r="240" spans="1:33" x14ac:dyDescent="0.25">
      <c r="A240" s="1">
        <v>44291</v>
      </c>
      <c r="B240">
        <v>6682.4919627890704</v>
      </c>
      <c r="C240">
        <v>7251.7868982392802</v>
      </c>
      <c r="D240">
        <v>5882.7807515714403</v>
      </c>
      <c r="E240">
        <v>7267.4544019571804</v>
      </c>
      <c r="F240">
        <v>11296.2670101862</v>
      </c>
      <c r="G240">
        <v>10151.9032797565</v>
      </c>
      <c r="H240">
        <v>23432.992572846098</v>
      </c>
      <c r="I240">
        <v>13723.3826174306</v>
      </c>
      <c r="J240">
        <v>692.58100253905297</v>
      </c>
      <c r="K240">
        <v>706.58845051199103</v>
      </c>
      <c r="L240">
        <v>421.37593196444402</v>
      </c>
      <c r="M240">
        <v>8954.5082068634201</v>
      </c>
      <c r="N240">
        <v>2141.49535374993</v>
      </c>
      <c r="O240">
        <v>366.04867757374501</v>
      </c>
      <c r="P240">
        <v>834.49674586496496</v>
      </c>
      <c r="Q240">
        <v>7050.6454500780701</v>
      </c>
      <c r="R240">
        <v>408.41219701159099</v>
      </c>
      <c r="S240">
        <v>284.27649873002099</v>
      </c>
      <c r="T240">
        <v>225.787086836892</v>
      </c>
      <c r="U240">
        <v>224.38463749924699</v>
      </c>
      <c r="V240">
        <v>201.09015668829201</v>
      </c>
      <c r="W240">
        <v>156.12158201311601</v>
      </c>
      <c r="X240">
        <v>158.276185827527</v>
      </c>
      <c r="Y240">
        <v>895.60571751605505</v>
      </c>
      <c r="Z240">
        <v>174.32272113653499</v>
      </c>
      <c r="AA240">
        <v>645.83464793938504</v>
      </c>
      <c r="AB240">
        <v>856.99082884670599</v>
      </c>
      <c r="AC240">
        <v>898.00284431775401</v>
      </c>
      <c r="AD240">
        <v>392.75830811807498</v>
      </c>
      <c r="AE240">
        <v>823.58463946546101</v>
      </c>
      <c r="AF240">
        <v>923.59165517041299</v>
      </c>
      <c r="AG240">
        <v>670.72870748052901</v>
      </c>
    </row>
    <row r="241" spans="1:33" x14ac:dyDescent="0.25">
      <c r="A241" s="1">
        <v>44292</v>
      </c>
      <c r="B241">
        <v>6739.9484276844096</v>
      </c>
      <c r="C241">
        <v>7045.0525801822796</v>
      </c>
      <c r="D241">
        <v>6308.3612377622903</v>
      </c>
      <c r="E241">
        <v>7318.6447446095499</v>
      </c>
      <c r="F241">
        <v>11071.0983033842</v>
      </c>
      <c r="G241">
        <v>9863.3901666914608</v>
      </c>
      <c r="H241">
        <v>22756.1587388997</v>
      </c>
      <c r="I241">
        <v>13881.7465370755</v>
      </c>
      <c r="J241">
        <v>691.03092648575796</v>
      </c>
      <c r="K241">
        <v>686.93564665048802</v>
      </c>
      <c r="L241">
        <v>414.08336687268599</v>
      </c>
      <c r="M241">
        <v>8528.3513949709595</v>
      </c>
      <c r="N241">
        <v>1883.15750326374</v>
      </c>
      <c r="O241">
        <v>360.09619997852099</v>
      </c>
      <c r="P241">
        <v>805.21645507107905</v>
      </c>
      <c r="Q241">
        <v>6768.5602537490004</v>
      </c>
      <c r="R241">
        <v>399.363692114716</v>
      </c>
      <c r="S241">
        <v>274.084161360628</v>
      </c>
      <c r="T241">
        <v>211.96974881800699</v>
      </c>
      <c r="U241">
        <v>225.49910313416299</v>
      </c>
      <c r="V241">
        <v>189.137722159188</v>
      </c>
      <c r="W241">
        <v>146.75866744594799</v>
      </c>
      <c r="X241">
        <v>158.17803113865301</v>
      </c>
      <c r="Y241">
        <v>888.83743139828903</v>
      </c>
      <c r="Z241">
        <v>172.91884294413899</v>
      </c>
      <c r="AA241">
        <v>644.30531344636404</v>
      </c>
      <c r="AB241">
        <v>847.77707776587499</v>
      </c>
      <c r="AC241">
        <v>894.292971391636</v>
      </c>
      <c r="AD241">
        <v>392.68028014251001</v>
      </c>
      <c r="AE241">
        <v>801.29613726276</v>
      </c>
      <c r="AF241">
        <v>937.61541007010499</v>
      </c>
      <c r="AG241">
        <v>670.82684024154003</v>
      </c>
    </row>
    <row r="242" spans="1:33" x14ac:dyDescent="0.25">
      <c r="A242" s="1">
        <v>44293</v>
      </c>
      <c r="B242">
        <v>6839.6914855306504</v>
      </c>
      <c r="C242">
        <v>6777.6739277728802</v>
      </c>
      <c r="D242">
        <v>6607.0891103658596</v>
      </c>
      <c r="E242">
        <v>7415.4446918021004</v>
      </c>
      <c r="F242">
        <v>10835.9739222918</v>
      </c>
      <c r="G242">
        <v>9674.6677101824407</v>
      </c>
      <c r="H242">
        <v>22885.465756710601</v>
      </c>
      <c r="I242">
        <v>13934.447152476099</v>
      </c>
      <c r="J242">
        <v>693.77795824402995</v>
      </c>
      <c r="K242">
        <v>683.85575835982104</v>
      </c>
      <c r="L242">
        <v>413.54328484523103</v>
      </c>
      <c r="M242">
        <v>8334.1028816318994</v>
      </c>
      <c r="N242">
        <v>1829.5814490954699</v>
      </c>
      <c r="O242">
        <v>367.513017607834</v>
      </c>
      <c r="P242">
        <v>782.82257895892303</v>
      </c>
      <c r="Q242">
        <v>6615.8864944806601</v>
      </c>
      <c r="R242">
        <v>406.00789535433398</v>
      </c>
      <c r="S242">
        <v>257.44068362036103</v>
      </c>
      <c r="T242">
        <v>208.73308295927001</v>
      </c>
      <c r="U242">
        <v>221.440743731304</v>
      </c>
      <c r="V242">
        <v>189.21513010750101</v>
      </c>
      <c r="W242">
        <v>144.552654139373</v>
      </c>
      <c r="X242">
        <v>158.246867361688</v>
      </c>
      <c r="Y242">
        <v>856.44538387951104</v>
      </c>
      <c r="Z242">
        <v>171.953374532536</v>
      </c>
      <c r="AA242">
        <v>643.15244482677201</v>
      </c>
      <c r="AB242">
        <v>818.82044308634102</v>
      </c>
      <c r="AC242">
        <v>887.46426708875595</v>
      </c>
      <c r="AD242">
        <v>389.97379709555901</v>
      </c>
      <c r="AE242">
        <v>734.88591297455605</v>
      </c>
      <c r="AF242">
        <v>944.80835670552005</v>
      </c>
      <c r="AG242">
        <v>668.53534025214697</v>
      </c>
    </row>
    <row r="243" spans="1:33" x14ac:dyDescent="0.25">
      <c r="A243" s="1">
        <v>44294</v>
      </c>
      <c r="B243">
        <v>7001.4749592283697</v>
      </c>
      <c r="C243">
        <v>6349.5887887074496</v>
      </c>
      <c r="D243">
        <v>6694.7075772077396</v>
      </c>
      <c r="E243">
        <v>7503.0764399630098</v>
      </c>
      <c r="F243">
        <v>10276.973170638001</v>
      </c>
      <c r="G243">
        <v>8658.8223735045704</v>
      </c>
      <c r="H243">
        <v>21365.209765250202</v>
      </c>
      <c r="I243">
        <v>13941.320792921</v>
      </c>
      <c r="J243">
        <v>691.92297672749203</v>
      </c>
      <c r="K243">
        <v>652.67703938304396</v>
      </c>
      <c r="L243">
        <v>415.08341070028399</v>
      </c>
      <c r="M243">
        <v>7497.0071078189003</v>
      </c>
      <c r="N243">
        <v>1448.7846480824401</v>
      </c>
      <c r="O243">
        <v>354.75966639619901</v>
      </c>
      <c r="P243">
        <v>727.06622588643302</v>
      </c>
      <c r="Q243">
        <v>5759.2859502173897</v>
      </c>
      <c r="R243">
        <v>394.409564067004</v>
      </c>
      <c r="S243">
        <v>255.42601804603299</v>
      </c>
      <c r="T243">
        <v>195.35281338869601</v>
      </c>
      <c r="U243">
        <v>221.806085507554</v>
      </c>
      <c r="V243">
        <v>168.767162221376</v>
      </c>
      <c r="W243">
        <v>141.10630506260901</v>
      </c>
      <c r="X243">
        <v>149.33167814687701</v>
      </c>
      <c r="Y243">
        <v>844.74472854079499</v>
      </c>
      <c r="Z243">
        <v>170.47687209280301</v>
      </c>
      <c r="AA243">
        <v>639.10798188910201</v>
      </c>
      <c r="AB243">
        <v>803.20492853546796</v>
      </c>
      <c r="AC243">
        <v>870.94891297792799</v>
      </c>
      <c r="AD243">
        <v>393.09262938334899</v>
      </c>
      <c r="AE243">
        <v>703.37967893169298</v>
      </c>
      <c r="AF243">
        <v>953.24021300732397</v>
      </c>
      <c r="AG243">
        <v>668.67690586811398</v>
      </c>
    </row>
    <row r="244" spans="1:33" x14ac:dyDescent="0.25">
      <c r="A244" s="1">
        <v>44295</v>
      </c>
      <c r="B244">
        <v>7159.0713694414999</v>
      </c>
      <c r="C244">
        <v>5662.1650902300898</v>
      </c>
      <c r="D244">
        <v>6706.4675619604704</v>
      </c>
      <c r="E244">
        <v>7631.4082821927504</v>
      </c>
      <c r="F244">
        <v>9717.0615120562998</v>
      </c>
      <c r="G244">
        <v>8808.4817624704901</v>
      </c>
      <c r="H244">
        <v>21761.284008917999</v>
      </c>
      <c r="I244">
        <v>13654.4970528496</v>
      </c>
      <c r="J244">
        <v>692.27191577888402</v>
      </c>
      <c r="K244">
        <v>648.37975421015994</v>
      </c>
      <c r="L244">
        <v>405.780653744049</v>
      </c>
      <c r="M244">
        <v>7480.42577814179</v>
      </c>
      <c r="N244">
        <v>1368.12171908045</v>
      </c>
      <c r="O244">
        <v>359.23069976049698</v>
      </c>
      <c r="P244">
        <v>715.91157736588195</v>
      </c>
      <c r="Q244">
        <v>5728.4888831949202</v>
      </c>
      <c r="R244">
        <v>395.10838014191398</v>
      </c>
      <c r="S244">
        <v>264.37877071499202</v>
      </c>
      <c r="T244">
        <v>189.34765524521799</v>
      </c>
      <c r="U244">
        <v>220.66037283807799</v>
      </c>
      <c r="V244">
        <v>170.349130537436</v>
      </c>
      <c r="W244">
        <v>137.93020654968899</v>
      </c>
      <c r="X244">
        <v>147.169058237196</v>
      </c>
      <c r="Y244">
        <v>813.79823550992501</v>
      </c>
      <c r="Z244">
        <v>169.91977279508799</v>
      </c>
      <c r="AA244">
        <v>639.51936908610799</v>
      </c>
      <c r="AB244">
        <v>777.38508019395601</v>
      </c>
      <c r="AC244">
        <v>861.96919047571896</v>
      </c>
      <c r="AD244">
        <v>386.58021698728999</v>
      </c>
      <c r="AE244">
        <v>643.11705315314305</v>
      </c>
      <c r="AF244">
        <v>954.236846754113</v>
      </c>
      <c r="AG244">
        <v>664.24412226338598</v>
      </c>
    </row>
    <row r="245" spans="1:33" x14ac:dyDescent="0.25">
      <c r="A245" s="1">
        <v>44296</v>
      </c>
      <c r="B245">
        <v>7343.6257908300104</v>
      </c>
      <c r="C245">
        <v>5532.4846998195399</v>
      </c>
      <c r="D245">
        <v>6580.1473732485301</v>
      </c>
      <c r="E245">
        <v>7747.0721722450699</v>
      </c>
      <c r="F245">
        <v>9660.6609286241801</v>
      </c>
      <c r="G245">
        <v>8598.2012833498702</v>
      </c>
      <c r="H245">
        <v>21231.097680310799</v>
      </c>
      <c r="I245">
        <v>13487.9217313463</v>
      </c>
      <c r="J245">
        <v>689.06295667075301</v>
      </c>
      <c r="K245">
        <v>641.62361039334303</v>
      </c>
      <c r="L245">
        <v>407.44145161626398</v>
      </c>
      <c r="M245">
        <v>7247.8897938840801</v>
      </c>
      <c r="N245">
        <v>1297.2561887628799</v>
      </c>
      <c r="O245">
        <v>355.23886892258503</v>
      </c>
      <c r="P245">
        <v>709.80242321650201</v>
      </c>
      <c r="Q245">
        <v>5454.3464111458597</v>
      </c>
      <c r="R245">
        <v>392.32438873613802</v>
      </c>
      <c r="S245">
        <v>260.74686345484298</v>
      </c>
      <c r="T245">
        <v>183.31514745226099</v>
      </c>
      <c r="U245">
        <v>218.10881128443199</v>
      </c>
      <c r="V245">
        <v>162.62718381683899</v>
      </c>
      <c r="W245">
        <v>132.90590713747699</v>
      </c>
      <c r="X245">
        <v>143.49605027715401</v>
      </c>
      <c r="Y245">
        <v>803.33873905846394</v>
      </c>
      <c r="Z245">
        <v>169.363106743282</v>
      </c>
      <c r="AA245">
        <v>634.54860342222798</v>
      </c>
      <c r="AB245">
        <v>758.841938393482</v>
      </c>
      <c r="AC245">
        <v>854.22932700725698</v>
      </c>
      <c r="AD245">
        <v>383.79451223092599</v>
      </c>
      <c r="AE245">
        <v>643.75112856534201</v>
      </c>
      <c r="AF245">
        <v>953.97847904807895</v>
      </c>
      <c r="AG245">
        <v>661.175872673654</v>
      </c>
    </row>
    <row r="246" spans="1:33" x14ac:dyDescent="0.25">
      <c r="A246" s="1">
        <v>44297</v>
      </c>
      <c r="B246">
        <v>7528.0436322247197</v>
      </c>
      <c r="C246">
        <v>5369.5547897885299</v>
      </c>
      <c r="D246">
        <v>6402.0730196411896</v>
      </c>
      <c r="E246">
        <v>7913.0877763243398</v>
      </c>
      <c r="F246">
        <v>9777.0820354225107</v>
      </c>
      <c r="G246">
        <v>9290.1134309129993</v>
      </c>
      <c r="H246">
        <v>22091.680597056999</v>
      </c>
      <c r="I246">
        <v>13286.891850084399</v>
      </c>
      <c r="J246">
        <v>690.63014032083504</v>
      </c>
      <c r="K246">
        <v>653.48695095862604</v>
      </c>
      <c r="L246">
        <v>399.87267761152299</v>
      </c>
      <c r="M246">
        <v>7730.8669974595095</v>
      </c>
      <c r="N246">
        <v>1396.06356844011</v>
      </c>
      <c r="O246">
        <v>362.96421766815098</v>
      </c>
      <c r="P246">
        <v>731.31718484877399</v>
      </c>
      <c r="Q246">
        <v>5913.1146592331797</v>
      </c>
      <c r="R246">
        <v>397.39098855357798</v>
      </c>
      <c r="S246">
        <v>263.404670936098</v>
      </c>
      <c r="T246">
        <v>180.54726248863199</v>
      </c>
      <c r="U246">
        <v>218.24179243621001</v>
      </c>
      <c r="V246">
        <v>165.073797684163</v>
      </c>
      <c r="W246">
        <v>139.16077244959601</v>
      </c>
      <c r="X246">
        <v>141.73880448086501</v>
      </c>
      <c r="Y246">
        <v>794.27965447238398</v>
      </c>
      <c r="Z246">
        <v>169.33277573494701</v>
      </c>
      <c r="AA246">
        <v>632.958905337705</v>
      </c>
      <c r="AB246">
        <v>753.47214391144996</v>
      </c>
      <c r="AC246">
        <v>842.81363570102906</v>
      </c>
      <c r="AD246">
        <v>377.53444506517701</v>
      </c>
      <c r="AE246">
        <v>676.36779672846706</v>
      </c>
      <c r="AF246">
        <v>951.223306715587</v>
      </c>
      <c r="AG246">
        <v>658.47791259924395</v>
      </c>
    </row>
    <row r="247" spans="1:33" x14ac:dyDescent="0.25">
      <c r="A247" s="1">
        <v>44298</v>
      </c>
      <c r="B247">
        <v>7698.1748576671598</v>
      </c>
      <c r="C247">
        <v>5784.6189071730596</v>
      </c>
      <c r="D247">
        <v>6225.8614324074397</v>
      </c>
      <c r="E247">
        <v>8087.5176351200398</v>
      </c>
      <c r="F247">
        <v>10543.6975335157</v>
      </c>
      <c r="G247">
        <v>10385.469158150599</v>
      </c>
      <c r="H247">
        <v>23472.6038295812</v>
      </c>
      <c r="I247">
        <v>13283.330786692401</v>
      </c>
      <c r="J247">
        <v>694.74774426621605</v>
      </c>
      <c r="K247">
        <v>690.35184089534596</v>
      </c>
      <c r="L247">
        <v>400.14474216416897</v>
      </c>
      <c r="M247">
        <v>8672.0302934320407</v>
      </c>
      <c r="N247">
        <v>1689.56674399248</v>
      </c>
      <c r="O247">
        <v>375.68384089472897</v>
      </c>
      <c r="P247">
        <v>783.79230409356899</v>
      </c>
      <c r="Q247">
        <v>6801.9181744276502</v>
      </c>
      <c r="R247">
        <v>409.77472996021902</v>
      </c>
      <c r="S247">
        <v>253.321988611412</v>
      </c>
      <c r="T247">
        <v>184.70759532364701</v>
      </c>
      <c r="U247">
        <v>216.152230406456</v>
      </c>
      <c r="V247">
        <v>169.15304573045699</v>
      </c>
      <c r="W247">
        <v>136.72323608459001</v>
      </c>
      <c r="X247">
        <v>138.48945595733099</v>
      </c>
      <c r="Y247">
        <v>776.54062475534499</v>
      </c>
      <c r="Z247">
        <v>168.768596296514</v>
      </c>
      <c r="AA247">
        <v>629.64961807951101</v>
      </c>
      <c r="AB247">
        <v>737.60378871779506</v>
      </c>
      <c r="AC247">
        <v>830.51579127848595</v>
      </c>
      <c r="AD247">
        <v>374.37607053103301</v>
      </c>
      <c r="AE247">
        <v>587.10435393592104</v>
      </c>
      <c r="AF247">
        <v>948.04955146751695</v>
      </c>
      <c r="AG247">
        <v>653.89262562943895</v>
      </c>
    </row>
    <row r="248" spans="1:33" x14ac:dyDescent="0.25">
      <c r="A248" s="1">
        <v>44299</v>
      </c>
      <c r="B248">
        <v>7810.4811188529202</v>
      </c>
      <c r="C248">
        <v>6586.3671950563303</v>
      </c>
      <c r="D248">
        <v>6023.25599344077</v>
      </c>
      <c r="E248">
        <v>8160.2521232870904</v>
      </c>
      <c r="F248">
        <v>11236.977025468101</v>
      </c>
      <c r="G248">
        <v>10890.1542470862</v>
      </c>
      <c r="H248">
        <v>23946.613419163601</v>
      </c>
      <c r="I248">
        <v>13514.6621327542</v>
      </c>
      <c r="J248">
        <v>700.57674841132905</v>
      </c>
      <c r="K248">
        <v>720.59906697667202</v>
      </c>
      <c r="L248">
        <v>407.19541435201398</v>
      </c>
      <c r="M248">
        <v>9295.7103874014301</v>
      </c>
      <c r="N248">
        <v>1979.2313829203899</v>
      </c>
      <c r="O248">
        <v>380.04220988021302</v>
      </c>
      <c r="P248">
        <v>831.46034797519997</v>
      </c>
      <c r="Q248">
        <v>7384.0584918786199</v>
      </c>
      <c r="R248">
        <v>420.76431674455898</v>
      </c>
      <c r="S248">
        <v>245.05744300987101</v>
      </c>
      <c r="T248">
        <v>193.720244909873</v>
      </c>
      <c r="U248">
        <v>212.605540604613</v>
      </c>
      <c r="V248">
        <v>178.854897677792</v>
      </c>
      <c r="W248">
        <v>136.16995479236499</v>
      </c>
      <c r="X248">
        <v>143.59022826907</v>
      </c>
      <c r="Y248">
        <v>771.72211053637204</v>
      </c>
      <c r="Z248">
        <v>167.004556820619</v>
      </c>
      <c r="AA248">
        <v>623.54619492709503</v>
      </c>
      <c r="AB248">
        <v>731.17265623254298</v>
      </c>
      <c r="AC248">
        <v>811.34973528986404</v>
      </c>
      <c r="AD248">
        <v>376.22433754460201</v>
      </c>
      <c r="AE248">
        <v>432.58244780832098</v>
      </c>
      <c r="AF248">
        <v>944.96123813456404</v>
      </c>
      <c r="AG248">
        <v>650.52281957763103</v>
      </c>
    </row>
    <row r="249" spans="1:33" x14ac:dyDescent="0.25">
      <c r="A249" s="1">
        <v>44300</v>
      </c>
      <c r="B249">
        <v>7851.4860371798004</v>
      </c>
      <c r="C249">
        <v>7156.4383510564403</v>
      </c>
      <c r="D249">
        <v>5945.1080418819802</v>
      </c>
      <c r="E249">
        <v>8144.6898246453802</v>
      </c>
      <c r="F249">
        <v>11654.1103817496</v>
      </c>
      <c r="G249">
        <v>10652.1007588342</v>
      </c>
      <c r="H249">
        <v>23380.8246575015</v>
      </c>
      <c r="I249">
        <v>13812.035845546299</v>
      </c>
      <c r="J249">
        <v>706.778834449947</v>
      </c>
      <c r="K249">
        <v>739.59902556756094</v>
      </c>
      <c r="L249">
        <v>409.741101890278</v>
      </c>
      <c r="M249">
        <v>9282.5466234332398</v>
      </c>
      <c r="N249">
        <v>1996.9109454715799</v>
      </c>
      <c r="O249">
        <v>367.67833533654903</v>
      </c>
      <c r="P249">
        <v>860.08769070517098</v>
      </c>
      <c r="Q249">
        <v>7296.7201394845497</v>
      </c>
      <c r="R249">
        <v>417.95434231784901</v>
      </c>
      <c r="S249">
        <v>246.91751976665299</v>
      </c>
      <c r="T249">
        <v>189.984266258427</v>
      </c>
      <c r="U249">
        <v>210.90136854273399</v>
      </c>
      <c r="V249">
        <v>174.688859794085</v>
      </c>
      <c r="W249">
        <v>139.90095774721601</v>
      </c>
      <c r="X249">
        <v>141.43732444562099</v>
      </c>
      <c r="Y249">
        <v>769.02770148594095</v>
      </c>
      <c r="Z249">
        <v>164.90089022319799</v>
      </c>
      <c r="AA249">
        <v>616.77844210540195</v>
      </c>
      <c r="AB249">
        <v>727.90547119008602</v>
      </c>
      <c r="AC249">
        <v>792.85546216415605</v>
      </c>
      <c r="AD249">
        <v>376.32934199726998</v>
      </c>
      <c r="AE249">
        <v>364.60706617203601</v>
      </c>
      <c r="AF249">
        <v>940.23408787924598</v>
      </c>
      <c r="AG249">
        <v>648.71874418541904</v>
      </c>
    </row>
    <row r="250" spans="1:33" x14ac:dyDescent="0.25">
      <c r="A250" s="1">
        <v>44301</v>
      </c>
      <c r="B250">
        <v>7822.9506225591103</v>
      </c>
      <c r="C250">
        <v>7083.3403081202496</v>
      </c>
      <c r="D250">
        <v>6038.2948553830702</v>
      </c>
      <c r="E250">
        <v>8061.0799066415602</v>
      </c>
      <c r="F250">
        <v>11636.342120686901</v>
      </c>
      <c r="G250">
        <v>10723.9776538144</v>
      </c>
      <c r="H250">
        <v>23243.018803368999</v>
      </c>
      <c r="I250">
        <v>14087.4952356679</v>
      </c>
      <c r="J250">
        <v>712.15288369231098</v>
      </c>
      <c r="K250">
        <v>746.00035497428598</v>
      </c>
      <c r="L250">
        <v>410.22863720068199</v>
      </c>
      <c r="M250">
        <v>9235.2375079805606</v>
      </c>
      <c r="N250">
        <v>1942.81970985619</v>
      </c>
      <c r="O250">
        <v>364.38264330399699</v>
      </c>
      <c r="P250">
        <v>865.07444827556299</v>
      </c>
      <c r="Q250">
        <v>7362.9837371545</v>
      </c>
      <c r="R250">
        <v>416.651814243015</v>
      </c>
      <c r="S250">
        <v>247.664886665164</v>
      </c>
      <c r="T250">
        <v>186.82407747083801</v>
      </c>
      <c r="U250">
        <v>210.53291189670099</v>
      </c>
      <c r="V250">
        <v>171.12857188258499</v>
      </c>
      <c r="W250">
        <v>138.53672934771501</v>
      </c>
      <c r="X250">
        <v>139.00308160351301</v>
      </c>
      <c r="Y250">
        <v>762.66001662918904</v>
      </c>
      <c r="Z250">
        <v>163.05914503904901</v>
      </c>
      <c r="AA250">
        <v>613.94182597059398</v>
      </c>
      <c r="AB250">
        <v>726.41357155022604</v>
      </c>
      <c r="AC250">
        <v>748.80525640696396</v>
      </c>
      <c r="AD250">
        <v>375.89103507791799</v>
      </c>
      <c r="AE250">
        <v>280.57837793033798</v>
      </c>
      <c r="AF250">
        <v>934.67671961469205</v>
      </c>
      <c r="AG250">
        <v>646.94351118973498</v>
      </c>
    </row>
    <row r="251" spans="1:33" x14ac:dyDescent="0.25">
      <c r="A251" s="1">
        <v>44302</v>
      </c>
      <c r="B251">
        <v>7765.3833760543403</v>
      </c>
      <c r="C251">
        <v>7213.2638014164704</v>
      </c>
      <c r="D251">
        <v>6251.3293526935004</v>
      </c>
      <c r="E251">
        <v>8046.6020301684302</v>
      </c>
      <c r="F251">
        <v>11645.3924295944</v>
      </c>
      <c r="G251">
        <v>10752.897465336</v>
      </c>
      <c r="H251">
        <v>23797.710174788699</v>
      </c>
      <c r="I251">
        <v>14057.7839390103</v>
      </c>
      <c r="J251">
        <v>722.23225178342204</v>
      </c>
      <c r="K251">
        <v>761.71421995237995</v>
      </c>
      <c r="L251">
        <v>412.27064422651</v>
      </c>
      <c r="M251">
        <v>9311.6971806682395</v>
      </c>
      <c r="N251">
        <v>2004.8965569225199</v>
      </c>
      <c r="O251">
        <v>374.30504951234298</v>
      </c>
      <c r="P251">
        <v>874.27797245481099</v>
      </c>
      <c r="Q251">
        <v>7540.6972218219798</v>
      </c>
      <c r="R251">
        <v>431.75023564617197</v>
      </c>
      <c r="S251">
        <v>245.97901817476199</v>
      </c>
      <c r="T251">
        <v>191.27686972009499</v>
      </c>
      <c r="U251">
        <v>208.26231225167601</v>
      </c>
      <c r="V251">
        <v>176.43784871043101</v>
      </c>
      <c r="W251">
        <v>132.645447732897</v>
      </c>
      <c r="X251">
        <v>141.022000590511</v>
      </c>
      <c r="Y251">
        <v>754.04470870758303</v>
      </c>
      <c r="Z251">
        <v>161.75500248911499</v>
      </c>
      <c r="AA251">
        <v>614.58340848874604</v>
      </c>
      <c r="AB251">
        <v>723.280811083348</v>
      </c>
      <c r="AC251">
        <v>709.79503064147502</v>
      </c>
      <c r="AD251">
        <v>377.70695311718902</v>
      </c>
      <c r="AE251">
        <v>191.22127429213299</v>
      </c>
      <c r="AF251">
        <v>928.42766391964403</v>
      </c>
      <c r="AG251">
        <v>643.51030430022399</v>
      </c>
    </row>
    <row r="252" spans="1:33" x14ac:dyDescent="0.25">
      <c r="A252" s="1">
        <v>44303</v>
      </c>
      <c r="B252">
        <v>7716.9677623303696</v>
      </c>
      <c r="C252">
        <v>7642.3853100122997</v>
      </c>
      <c r="D252">
        <v>6468.5869506488798</v>
      </c>
      <c r="E252">
        <v>8102.7595373947697</v>
      </c>
      <c r="F252">
        <v>11547.636673364699</v>
      </c>
      <c r="G252">
        <v>10208.989206259301</v>
      </c>
      <c r="H252">
        <v>23059.538822212398</v>
      </c>
      <c r="I252">
        <v>14190.680214542799</v>
      </c>
      <c r="J252">
        <v>721.498208920244</v>
      </c>
      <c r="K252">
        <v>753.55412077077006</v>
      </c>
      <c r="L252">
        <v>413.43968819528601</v>
      </c>
      <c r="M252">
        <v>8973.8299546063299</v>
      </c>
      <c r="N252">
        <v>2074.89253381052</v>
      </c>
      <c r="O252">
        <v>362.836024411658</v>
      </c>
      <c r="P252">
        <v>881.28692754398901</v>
      </c>
      <c r="Q252">
        <v>7136.6550581997899</v>
      </c>
      <c r="R252">
        <v>423.158716968389</v>
      </c>
      <c r="S252">
        <v>246.722796126904</v>
      </c>
      <c r="T252">
        <v>192.82106785081001</v>
      </c>
      <c r="U252">
        <v>206.668069778833</v>
      </c>
      <c r="V252">
        <v>173.192885540861</v>
      </c>
      <c r="W252">
        <v>127.050624503162</v>
      </c>
      <c r="X252">
        <v>139.732249754013</v>
      </c>
      <c r="Y252">
        <v>740.48403022921605</v>
      </c>
      <c r="Z252">
        <v>160.27216981225999</v>
      </c>
      <c r="AA252">
        <v>614.37671693171797</v>
      </c>
      <c r="AB252">
        <v>721.93203251013006</v>
      </c>
      <c r="AC252">
        <v>681.980677243527</v>
      </c>
      <c r="AD252">
        <v>378.24589268221899</v>
      </c>
      <c r="AE252">
        <v>108.96755412799</v>
      </c>
      <c r="AF252">
        <v>915.02036575876605</v>
      </c>
      <c r="AG252">
        <v>642.20953474874398</v>
      </c>
    </row>
    <row r="253" spans="1:33" x14ac:dyDescent="0.25">
      <c r="A253" s="1">
        <v>44304</v>
      </c>
      <c r="B253">
        <v>7687.0276846279703</v>
      </c>
      <c r="C253">
        <v>7246.2618858130099</v>
      </c>
      <c r="D253">
        <v>6662.9051410324</v>
      </c>
      <c r="E253">
        <v>7866.7850609439802</v>
      </c>
      <c r="F253">
        <v>10843.532903380499</v>
      </c>
      <c r="G253">
        <v>9287.5401576986496</v>
      </c>
      <c r="H253">
        <v>22240.223016263099</v>
      </c>
      <c r="I253">
        <v>14329.5556633707</v>
      </c>
      <c r="J253">
        <v>715.92000160589203</v>
      </c>
      <c r="K253">
        <v>706.93300180438405</v>
      </c>
      <c r="L253">
        <v>408.95129261088101</v>
      </c>
      <c r="M253">
        <v>8065.6030647003499</v>
      </c>
      <c r="N253">
        <v>1582.2662953828799</v>
      </c>
      <c r="O253">
        <v>339.30469449028902</v>
      </c>
      <c r="P253">
        <v>798.05956184045101</v>
      </c>
      <c r="Q253">
        <v>6219.7619753642102</v>
      </c>
      <c r="R253">
        <v>402.72040316446697</v>
      </c>
      <c r="S253">
        <v>260.18577481773201</v>
      </c>
      <c r="T253">
        <v>174.26129573734099</v>
      </c>
      <c r="U253">
        <v>206.693761575753</v>
      </c>
      <c r="V253">
        <v>145.70732859184599</v>
      </c>
      <c r="W253">
        <v>125.918737463396</v>
      </c>
      <c r="X253">
        <v>132.93239712014099</v>
      </c>
      <c r="Y253">
        <v>724.94721710323404</v>
      </c>
      <c r="Z253">
        <v>159.58109747002999</v>
      </c>
      <c r="AA253">
        <v>610.90555452882199</v>
      </c>
      <c r="AB253">
        <v>717.99722015961197</v>
      </c>
      <c r="AC253">
        <v>676.10803836392699</v>
      </c>
      <c r="AD253">
        <v>375.685191352559</v>
      </c>
      <c r="AE253">
        <v>252.787062397348</v>
      </c>
      <c r="AF253">
        <v>885.47945715333299</v>
      </c>
      <c r="AG253">
        <v>644.57530960733698</v>
      </c>
    </row>
    <row r="254" spans="1:33" x14ac:dyDescent="0.25">
      <c r="A254" s="1">
        <v>44305</v>
      </c>
      <c r="B254">
        <v>7639.8168516330697</v>
      </c>
      <c r="C254">
        <v>6233.8506521818499</v>
      </c>
      <c r="D254">
        <v>6823.4601670284201</v>
      </c>
      <c r="E254">
        <v>7916.3896126823402</v>
      </c>
      <c r="F254">
        <v>10459.726580798701</v>
      </c>
      <c r="G254">
        <v>9738.5042292408907</v>
      </c>
      <c r="H254">
        <v>23403.3644257343</v>
      </c>
      <c r="I254">
        <v>14252.212917421801</v>
      </c>
      <c r="J254">
        <v>713.635571326231</v>
      </c>
      <c r="K254">
        <v>714.55780915037894</v>
      </c>
      <c r="L254">
        <v>400.94756903441402</v>
      </c>
      <c r="M254">
        <v>8460.8446944197694</v>
      </c>
      <c r="N254">
        <v>1806.1029125647101</v>
      </c>
      <c r="O254">
        <v>349.80796477076501</v>
      </c>
      <c r="P254">
        <v>808.51296065365705</v>
      </c>
      <c r="Q254">
        <v>6556.3255637640596</v>
      </c>
      <c r="R254">
        <v>409.85729986532601</v>
      </c>
      <c r="S254">
        <v>265.03121031349701</v>
      </c>
      <c r="T254">
        <v>182.11699067264601</v>
      </c>
      <c r="U254">
        <v>204.20930003875</v>
      </c>
      <c r="V254">
        <v>162.50110098777</v>
      </c>
      <c r="W254">
        <v>125.22692382655799</v>
      </c>
      <c r="X254">
        <v>131.322058543944</v>
      </c>
      <c r="Y254">
        <v>711.85734002679897</v>
      </c>
      <c r="Z254">
        <v>160.616295334753</v>
      </c>
      <c r="AA254">
        <v>614.91226934473104</v>
      </c>
      <c r="AB254">
        <v>701.52406228859297</v>
      </c>
      <c r="AC254">
        <v>660.31827697031804</v>
      </c>
      <c r="AD254">
        <v>373.22177093102198</v>
      </c>
      <c r="AE254">
        <v>256.42863080738999</v>
      </c>
      <c r="AF254">
        <v>858.62184081681403</v>
      </c>
      <c r="AG254">
        <v>640.77943635357406</v>
      </c>
    </row>
    <row r="255" spans="1:33" x14ac:dyDescent="0.25">
      <c r="A255" s="1">
        <v>44306</v>
      </c>
      <c r="B255">
        <v>7641.9898754513497</v>
      </c>
      <c r="C255">
        <v>6649.2379052306796</v>
      </c>
      <c r="D255">
        <v>6891.2524313385202</v>
      </c>
      <c r="E255">
        <v>8016.9938155107702</v>
      </c>
      <c r="F255">
        <v>10301.5850822269</v>
      </c>
      <c r="G255">
        <v>9711.75885277419</v>
      </c>
      <c r="H255">
        <v>24159.660467399499</v>
      </c>
      <c r="I255">
        <v>14220.794742931899</v>
      </c>
      <c r="J255">
        <v>709.47443516172098</v>
      </c>
      <c r="K255">
        <v>697.37580443444597</v>
      </c>
      <c r="L255">
        <v>400.45147680533</v>
      </c>
      <c r="M255">
        <v>8685.8206307303099</v>
      </c>
      <c r="N255">
        <v>1980.55635089665</v>
      </c>
      <c r="O255">
        <v>355.904366262959</v>
      </c>
      <c r="P255">
        <v>793.35486465024803</v>
      </c>
      <c r="Q255">
        <v>6725.8740438275399</v>
      </c>
      <c r="R255">
        <v>416.09294701409698</v>
      </c>
      <c r="S255">
        <v>244.76551889031799</v>
      </c>
      <c r="T255">
        <v>186.62319480584199</v>
      </c>
      <c r="U255">
        <v>202.70311705873499</v>
      </c>
      <c r="V255">
        <v>166.939216250714</v>
      </c>
      <c r="W255">
        <v>127.364752664859</v>
      </c>
      <c r="X255">
        <v>134.44148338746399</v>
      </c>
      <c r="Y255">
        <v>701.74590282728104</v>
      </c>
      <c r="Z255">
        <v>160.83892548940199</v>
      </c>
      <c r="AA255">
        <v>610.824098974908</v>
      </c>
      <c r="AB255">
        <v>697.50856529042903</v>
      </c>
      <c r="AC255">
        <v>670.01759984422199</v>
      </c>
      <c r="AD255">
        <v>371.257086999021</v>
      </c>
      <c r="AE255">
        <v>183.08559970100799</v>
      </c>
      <c r="AF255">
        <v>819.60133184690199</v>
      </c>
      <c r="AG255">
        <v>638.97999668312798</v>
      </c>
    </row>
    <row r="256" spans="1:33" x14ac:dyDescent="0.25">
      <c r="A256" s="1">
        <v>44307</v>
      </c>
      <c r="B256">
        <v>7712.3998641899698</v>
      </c>
      <c r="C256">
        <v>6834.7060065650603</v>
      </c>
      <c r="D256">
        <v>6868.1860450610702</v>
      </c>
      <c r="E256">
        <v>8165.4482814937101</v>
      </c>
      <c r="F256">
        <v>10269.823557945499</v>
      </c>
      <c r="G256">
        <v>10099.7649308974</v>
      </c>
      <c r="H256">
        <v>24222.0488593439</v>
      </c>
      <c r="I256">
        <v>14147.719078246901</v>
      </c>
      <c r="J256">
        <v>706.45179808489502</v>
      </c>
      <c r="K256">
        <v>696.83838536644703</v>
      </c>
      <c r="L256">
        <v>395.67493843752101</v>
      </c>
      <c r="M256">
        <v>8864.9161416621391</v>
      </c>
      <c r="N256">
        <v>1918.7157831035399</v>
      </c>
      <c r="O256">
        <v>358.05125501700201</v>
      </c>
      <c r="P256">
        <v>804.33851792522103</v>
      </c>
      <c r="Q256">
        <v>6830.8372288929804</v>
      </c>
      <c r="R256">
        <v>403.07854449918102</v>
      </c>
      <c r="S256">
        <v>232.450425964087</v>
      </c>
      <c r="T256">
        <v>183.30782946046901</v>
      </c>
      <c r="U256">
        <v>201.850790133261</v>
      </c>
      <c r="V256">
        <v>161.42663951759599</v>
      </c>
      <c r="W256">
        <v>132.46377590567599</v>
      </c>
      <c r="X256">
        <v>130.51642464673299</v>
      </c>
      <c r="Y256">
        <v>697.56005771009302</v>
      </c>
      <c r="Z256">
        <v>160.65354150757</v>
      </c>
      <c r="AA256">
        <v>606.95527465239104</v>
      </c>
      <c r="AB256">
        <v>693.95934529445799</v>
      </c>
      <c r="AC256">
        <v>667.12766379772904</v>
      </c>
      <c r="AD256">
        <v>369.94081527568198</v>
      </c>
      <c r="AE256">
        <v>84.268961670848697</v>
      </c>
      <c r="AF256">
        <v>779.70499189722204</v>
      </c>
      <c r="AG256">
        <v>638.77361058849601</v>
      </c>
    </row>
    <row r="257" spans="1:33" x14ac:dyDescent="0.25">
      <c r="A257" s="1">
        <v>44308</v>
      </c>
      <c r="B257">
        <v>7820.3186719839296</v>
      </c>
      <c r="C257">
        <v>6798.1286142378103</v>
      </c>
      <c r="D257">
        <v>6825.6068119483598</v>
      </c>
      <c r="E257">
        <v>8345.2003875563696</v>
      </c>
      <c r="F257">
        <v>10951.8026356588</v>
      </c>
      <c r="G257">
        <v>10890.6345323569</v>
      </c>
      <c r="H257">
        <v>25052.611547950899</v>
      </c>
      <c r="I257">
        <v>14066.7476567187</v>
      </c>
      <c r="J257">
        <v>703.98636007097195</v>
      </c>
      <c r="K257">
        <v>707.22810929319405</v>
      </c>
      <c r="L257">
        <v>395.35968977563198</v>
      </c>
      <c r="M257">
        <v>9212.7548672982502</v>
      </c>
      <c r="N257">
        <v>2039.76931970587</v>
      </c>
      <c r="O257">
        <v>372.97498142622197</v>
      </c>
      <c r="P257">
        <v>810.78103905227601</v>
      </c>
      <c r="Q257">
        <v>7376.29882618377</v>
      </c>
      <c r="R257">
        <v>410.19092721790503</v>
      </c>
      <c r="S257">
        <v>215.10516436411601</v>
      </c>
      <c r="T257">
        <v>189.762474403716</v>
      </c>
      <c r="U257">
        <v>200.38387492113699</v>
      </c>
      <c r="V257">
        <v>178.36838319753701</v>
      </c>
      <c r="W257">
        <v>132.31036546675301</v>
      </c>
      <c r="X257">
        <v>131.70776105794101</v>
      </c>
      <c r="Y257">
        <v>693.15853468416196</v>
      </c>
      <c r="Z257">
        <v>160.39808181974399</v>
      </c>
      <c r="AA257">
        <v>600.92945100569204</v>
      </c>
      <c r="AB257">
        <v>689.59320461149696</v>
      </c>
      <c r="AC257">
        <v>679.02552685749504</v>
      </c>
      <c r="AD257">
        <v>371.865726141636</v>
      </c>
      <c r="AE257">
        <v>119.748385904236</v>
      </c>
      <c r="AF257">
        <v>748.58083320114804</v>
      </c>
      <c r="AG257">
        <v>636.32331708504103</v>
      </c>
    </row>
    <row r="258" spans="1:33" x14ac:dyDescent="0.25">
      <c r="A258" s="1">
        <v>44309</v>
      </c>
      <c r="B258">
        <v>7954.2063738224897</v>
      </c>
      <c r="C258">
        <v>7272.2347463769402</v>
      </c>
      <c r="D258">
        <v>6772.6030019496902</v>
      </c>
      <c r="E258">
        <v>8405.9015862368396</v>
      </c>
      <c r="F258">
        <v>11178.032977360501</v>
      </c>
      <c r="G258">
        <v>10451.0569891082</v>
      </c>
      <c r="H258">
        <v>23751.232009482799</v>
      </c>
      <c r="I258">
        <v>14121.5946966586</v>
      </c>
      <c r="J258">
        <v>702.12198315715102</v>
      </c>
      <c r="K258">
        <v>697.71301303562495</v>
      </c>
      <c r="L258">
        <v>399.91805240174301</v>
      </c>
      <c r="M258">
        <v>9057.0483850328892</v>
      </c>
      <c r="N258">
        <v>1996.8335488965399</v>
      </c>
      <c r="O258">
        <v>371.76172874871997</v>
      </c>
      <c r="P258">
        <v>789.72282733115401</v>
      </c>
      <c r="Q258">
        <v>7185.0113288193597</v>
      </c>
      <c r="R258">
        <v>410.38827600600399</v>
      </c>
      <c r="S258">
        <v>206.099142428389</v>
      </c>
      <c r="T258">
        <v>185.941352489792</v>
      </c>
      <c r="U258">
        <v>198.210075458197</v>
      </c>
      <c r="V258">
        <v>173.662225483344</v>
      </c>
      <c r="W258">
        <v>129.85394714917601</v>
      </c>
      <c r="X258">
        <v>132.95207648464799</v>
      </c>
      <c r="Y258">
        <v>695.46394801166002</v>
      </c>
      <c r="Z258">
        <v>158.55339488460001</v>
      </c>
      <c r="AA258">
        <v>594.78105147814995</v>
      </c>
      <c r="AB258">
        <v>689.01956172479095</v>
      </c>
      <c r="AC258">
        <v>670.43792678390696</v>
      </c>
      <c r="AD258">
        <v>375.93449105349202</v>
      </c>
      <c r="AE258">
        <v>130.712408632387</v>
      </c>
      <c r="AF258">
        <v>730.73360092243502</v>
      </c>
      <c r="AG258">
        <v>636.15822420233906</v>
      </c>
    </row>
    <row r="259" spans="1:33" x14ac:dyDescent="0.25">
      <c r="A259" s="1">
        <v>44310</v>
      </c>
      <c r="B259">
        <v>8047.4858985003602</v>
      </c>
      <c r="C259">
        <v>6891.3242394640101</v>
      </c>
      <c r="D259">
        <v>6836.12370641712</v>
      </c>
      <c r="E259">
        <v>8503.0154555572208</v>
      </c>
      <c r="F259">
        <v>11265.422611297899</v>
      </c>
      <c r="G259">
        <v>10845.6908008716</v>
      </c>
      <c r="H259">
        <v>24306.692862232801</v>
      </c>
      <c r="I259">
        <v>14283.198683701299</v>
      </c>
      <c r="J259">
        <v>709.26443507267004</v>
      </c>
      <c r="K259">
        <v>719.845042524213</v>
      </c>
      <c r="L259">
        <v>406.74374029023699</v>
      </c>
      <c r="M259">
        <v>9389.2253902110697</v>
      </c>
      <c r="N259">
        <v>2191.1968742397999</v>
      </c>
      <c r="O259">
        <v>385.21096921287</v>
      </c>
      <c r="P259">
        <v>818.29013967822402</v>
      </c>
      <c r="Q259">
        <v>7472.8514043831201</v>
      </c>
      <c r="R259">
        <v>419.40434628673302</v>
      </c>
      <c r="S259">
        <v>200.909870488839</v>
      </c>
      <c r="T259">
        <v>198.51056533675401</v>
      </c>
      <c r="U259">
        <v>196.637773087509</v>
      </c>
      <c r="V259">
        <v>202.76256798341001</v>
      </c>
      <c r="W259">
        <v>129.31643417643599</v>
      </c>
      <c r="X259">
        <v>142.963190172065</v>
      </c>
      <c r="Y259">
        <v>693.24013298226805</v>
      </c>
      <c r="Z259">
        <v>156.38110417528401</v>
      </c>
      <c r="AA259">
        <v>594.16757453324601</v>
      </c>
      <c r="AB259">
        <v>687.36512024944898</v>
      </c>
      <c r="AC259">
        <v>686.51758000318205</v>
      </c>
      <c r="AD259">
        <v>377.90002584631901</v>
      </c>
      <c r="AE259">
        <v>153.30383844775099</v>
      </c>
      <c r="AF259">
        <v>722.92066786286898</v>
      </c>
      <c r="AG259">
        <v>633.15830149807005</v>
      </c>
    </row>
    <row r="260" spans="1:33" x14ac:dyDescent="0.25">
      <c r="A260" s="1">
        <v>44311</v>
      </c>
      <c r="B260">
        <v>8142.7970773337802</v>
      </c>
      <c r="C260">
        <v>6977.76523987155</v>
      </c>
      <c r="D260">
        <v>6950.2609195369496</v>
      </c>
      <c r="E260">
        <v>8620.7853144150795</v>
      </c>
      <c r="F260">
        <v>11698.176002541</v>
      </c>
      <c r="G260">
        <v>11045.5559523462</v>
      </c>
      <c r="H260">
        <v>23482.932293000202</v>
      </c>
      <c r="I260">
        <v>14558.9940174974</v>
      </c>
      <c r="J260">
        <v>718.57237055414203</v>
      </c>
      <c r="K260">
        <v>743.65975642852504</v>
      </c>
      <c r="L260">
        <v>417.389332512213</v>
      </c>
      <c r="M260">
        <v>9545.3269649668091</v>
      </c>
      <c r="N260">
        <v>2428.9288223118101</v>
      </c>
      <c r="O260">
        <v>380.50817309994699</v>
      </c>
      <c r="P260">
        <v>860.50120908251495</v>
      </c>
      <c r="Q260">
        <v>7598.1390492788596</v>
      </c>
      <c r="R260">
        <v>417.39904648598099</v>
      </c>
      <c r="S260">
        <v>202.46414090097201</v>
      </c>
      <c r="T260">
        <v>211.02965577828701</v>
      </c>
      <c r="U260">
        <v>195.05399530232</v>
      </c>
      <c r="V260">
        <v>226.45233779923799</v>
      </c>
      <c r="W260">
        <v>128.50278385442701</v>
      </c>
      <c r="X260">
        <v>150.19349512531099</v>
      </c>
      <c r="Y260">
        <v>686.96039573247901</v>
      </c>
      <c r="Z260">
        <v>154.01078666582001</v>
      </c>
      <c r="AA260">
        <v>592.63068543612201</v>
      </c>
      <c r="AB260">
        <v>683.57286866607501</v>
      </c>
      <c r="AC260">
        <v>682.32622312035198</v>
      </c>
      <c r="AD260">
        <v>384.584297130126</v>
      </c>
      <c r="AE260">
        <v>218.59383208288401</v>
      </c>
      <c r="AF260">
        <v>716.58596989807404</v>
      </c>
      <c r="AG260">
        <v>631.89139392316304</v>
      </c>
    </row>
    <row r="261" spans="1:33" x14ac:dyDescent="0.25">
      <c r="A261" s="1">
        <v>44312</v>
      </c>
      <c r="B261">
        <v>8182.5150650411297</v>
      </c>
      <c r="C261">
        <v>6957.5818633509898</v>
      </c>
      <c r="D261">
        <v>7035.7220384091297</v>
      </c>
      <c r="E261">
        <v>8610.3799991183805</v>
      </c>
      <c r="F261">
        <v>11932.3023659791</v>
      </c>
      <c r="G261">
        <v>11487.579718085801</v>
      </c>
      <c r="H261">
        <v>23584.3734808226</v>
      </c>
      <c r="I261">
        <v>14697.0458134075</v>
      </c>
      <c r="J261">
        <v>736.02749756851995</v>
      </c>
      <c r="K261">
        <v>779.58171600974595</v>
      </c>
      <c r="L261">
        <v>424.65999193041898</v>
      </c>
      <c r="M261">
        <v>9775.3314333471808</v>
      </c>
      <c r="N261">
        <v>2552.15156175226</v>
      </c>
      <c r="O261">
        <v>389.785716728838</v>
      </c>
      <c r="P261">
        <v>905.01747269022803</v>
      </c>
      <c r="Q261">
        <v>7951.9007200469096</v>
      </c>
      <c r="R261">
        <v>425.30855264727097</v>
      </c>
      <c r="S261">
        <v>206.690928159241</v>
      </c>
      <c r="T261">
        <v>233.97054208417401</v>
      </c>
      <c r="U261">
        <v>193.56930669233401</v>
      </c>
      <c r="V261">
        <v>254.170608345152</v>
      </c>
      <c r="W261">
        <v>125.235357545079</v>
      </c>
      <c r="X261">
        <v>161.71480179373901</v>
      </c>
      <c r="Y261">
        <v>676.37189277161099</v>
      </c>
      <c r="Z261">
        <v>152.839334535006</v>
      </c>
      <c r="AA261">
        <v>592.14836598390195</v>
      </c>
      <c r="AB261">
        <v>676.46816282103896</v>
      </c>
      <c r="AC261">
        <v>694.63624438387399</v>
      </c>
      <c r="AD261">
        <v>388.83042799639901</v>
      </c>
      <c r="AE261">
        <v>286.69161149117099</v>
      </c>
      <c r="AF261">
        <v>713.38277281921603</v>
      </c>
      <c r="AG261">
        <v>628.15062339391795</v>
      </c>
    </row>
    <row r="262" spans="1:33" x14ac:dyDescent="0.25">
      <c r="A262" s="1">
        <v>44313</v>
      </c>
      <c r="B262">
        <v>8223.9136608291701</v>
      </c>
      <c r="C262">
        <v>7239.2245443729198</v>
      </c>
      <c r="D262">
        <v>7130.4319736571497</v>
      </c>
      <c r="E262">
        <v>8619.9835721691907</v>
      </c>
      <c r="F262">
        <v>12146.418489227</v>
      </c>
      <c r="G262">
        <v>11241.398726940901</v>
      </c>
      <c r="H262">
        <v>23008.058770625201</v>
      </c>
      <c r="I262">
        <v>14815.1448117656</v>
      </c>
      <c r="J262">
        <v>752.14318449651898</v>
      </c>
      <c r="K262">
        <v>800.60948813648497</v>
      </c>
      <c r="L262">
        <v>428.67278639067598</v>
      </c>
      <c r="M262">
        <v>9644.73183486997</v>
      </c>
      <c r="N262">
        <v>2565.1336367267299</v>
      </c>
      <c r="O262">
        <v>394.33468529532303</v>
      </c>
      <c r="P262">
        <v>934.51897207454795</v>
      </c>
      <c r="Q262">
        <v>7900.5570970982799</v>
      </c>
      <c r="R262">
        <v>429.268129562269</v>
      </c>
      <c r="S262">
        <v>214.49050206022699</v>
      </c>
      <c r="T262">
        <v>252.22996173346999</v>
      </c>
      <c r="U262">
        <v>193.413797702746</v>
      </c>
      <c r="V262">
        <v>259.25295019716998</v>
      </c>
      <c r="W262">
        <v>128.906009709573</v>
      </c>
      <c r="X262">
        <v>164.88012722507699</v>
      </c>
      <c r="Y262">
        <v>668.96467370286496</v>
      </c>
      <c r="Z262">
        <v>151.986834014816</v>
      </c>
      <c r="AA262">
        <v>591.81265057738096</v>
      </c>
      <c r="AB262">
        <v>670.32768115005797</v>
      </c>
      <c r="AC262">
        <v>684.43890324670599</v>
      </c>
      <c r="AD262">
        <v>393.295086541785</v>
      </c>
      <c r="AE262">
        <v>311.67269305332798</v>
      </c>
      <c r="AF262">
        <v>711.90360304887201</v>
      </c>
      <c r="AG262">
        <v>625.93899039910298</v>
      </c>
    </row>
    <row r="263" spans="1:33" x14ac:dyDescent="0.25">
      <c r="A263" s="1">
        <v>44314</v>
      </c>
      <c r="B263">
        <v>8265.4125103143397</v>
      </c>
      <c r="C263">
        <v>7146.33088049448</v>
      </c>
      <c r="D263">
        <v>7264.16324094844</v>
      </c>
      <c r="E263">
        <v>8748.8069092085807</v>
      </c>
      <c r="F263">
        <v>11999.581682832</v>
      </c>
      <c r="G263">
        <v>11231.756658692701</v>
      </c>
      <c r="H263">
        <v>22978.901824212699</v>
      </c>
      <c r="I263">
        <v>14897.391544725</v>
      </c>
      <c r="J263">
        <v>760.896744366093</v>
      </c>
      <c r="K263">
        <v>819.86283579613098</v>
      </c>
      <c r="L263">
        <v>430.93993528457599</v>
      </c>
      <c r="M263">
        <v>9649.2957402028696</v>
      </c>
      <c r="N263">
        <v>2660.9842114578501</v>
      </c>
      <c r="O263">
        <v>392.39301048824001</v>
      </c>
      <c r="P263">
        <v>977.51319420832795</v>
      </c>
      <c r="Q263">
        <v>7923.60123551997</v>
      </c>
      <c r="R263">
        <v>433.33409124742701</v>
      </c>
      <c r="S263">
        <v>218.84022995228301</v>
      </c>
      <c r="T263">
        <v>270.51249526480098</v>
      </c>
      <c r="U263">
        <v>191.99187854271599</v>
      </c>
      <c r="V263">
        <v>274.65129538799198</v>
      </c>
      <c r="W263">
        <v>130.73029137594901</v>
      </c>
      <c r="X263">
        <v>170.43435529364399</v>
      </c>
      <c r="Y263">
        <v>666.677146657761</v>
      </c>
      <c r="Z263">
        <v>152.47294197817001</v>
      </c>
      <c r="AA263">
        <v>591.75520244166796</v>
      </c>
      <c r="AB263">
        <v>667.64106155817001</v>
      </c>
      <c r="AC263">
        <v>679.014332664672</v>
      </c>
      <c r="AD263">
        <v>397.55780613636898</v>
      </c>
      <c r="AE263">
        <v>255.334048973374</v>
      </c>
      <c r="AF263">
        <v>709.96526650998396</v>
      </c>
      <c r="AG263">
        <v>624.49512158432697</v>
      </c>
    </row>
    <row r="264" spans="1:33" x14ac:dyDescent="0.25">
      <c r="A264" s="1">
        <v>44315</v>
      </c>
      <c r="B264">
        <v>8348.1803595767906</v>
      </c>
      <c r="C264">
        <v>7154.1440476764301</v>
      </c>
      <c r="D264">
        <v>7444.7883719352403</v>
      </c>
      <c r="E264">
        <v>9016.1955103207492</v>
      </c>
      <c r="F264">
        <v>12218.966833554599</v>
      </c>
      <c r="G264">
        <v>11736.1824385035</v>
      </c>
      <c r="H264">
        <v>23689.621422025699</v>
      </c>
      <c r="I264">
        <v>14954.109842214601</v>
      </c>
      <c r="J264">
        <v>771.79058462320404</v>
      </c>
      <c r="K264">
        <v>885.18347585554</v>
      </c>
      <c r="L264">
        <v>434.40357668443102</v>
      </c>
      <c r="M264">
        <v>10138.4211005855</v>
      </c>
      <c r="N264">
        <v>2962.84232371504</v>
      </c>
      <c r="O264">
        <v>407.18149402510397</v>
      </c>
      <c r="P264">
        <v>1084.7928204502</v>
      </c>
      <c r="Q264">
        <v>8403.1773533246997</v>
      </c>
      <c r="R264">
        <v>453.34054852492801</v>
      </c>
      <c r="S264">
        <v>217.17532429404201</v>
      </c>
      <c r="T264">
        <v>315.43110664885802</v>
      </c>
      <c r="U264">
        <v>190.91497200358</v>
      </c>
      <c r="V264">
        <v>326.47997982406599</v>
      </c>
      <c r="W264">
        <v>129.168940547235</v>
      </c>
      <c r="X264">
        <v>195.351302204295</v>
      </c>
      <c r="Y264">
        <v>661.46034660622604</v>
      </c>
      <c r="Z264">
        <v>153.59070021381899</v>
      </c>
      <c r="AA264">
        <v>595.11077840173198</v>
      </c>
      <c r="AB264">
        <v>663.18434423660699</v>
      </c>
      <c r="AC264">
        <v>674.774666326324</v>
      </c>
      <c r="AD264">
        <v>401.78275223760699</v>
      </c>
      <c r="AE264">
        <v>267.23428832319502</v>
      </c>
      <c r="AF264">
        <v>709.31895488507701</v>
      </c>
      <c r="AG264">
        <v>618.26115134788699</v>
      </c>
    </row>
    <row r="265" spans="1:33" x14ac:dyDescent="0.25">
      <c r="A265" s="1">
        <v>44316</v>
      </c>
      <c r="B265">
        <v>8487.1759577692992</v>
      </c>
      <c r="C265">
        <v>7826.2795249669598</v>
      </c>
      <c r="D265">
        <v>7486.05222864191</v>
      </c>
      <c r="E265">
        <v>9250.9652196178104</v>
      </c>
      <c r="F265">
        <v>12670.2024493426</v>
      </c>
      <c r="G265">
        <v>12098.911536264201</v>
      </c>
      <c r="H265">
        <v>24133.7540063136</v>
      </c>
      <c r="I265">
        <v>15076.065066021099</v>
      </c>
      <c r="J265">
        <v>788.37497678561294</v>
      </c>
      <c r="K265">
        <v>967.14762433065096</v>
      </c>
      <c r="L265">
        <v>443.39650693223598</v>
      </c>
      <c r="M265">
        <v>10539.623243817699</v>
      </c>
      <c r="N265">
        <v>3296.4146564914299</v>
      </c>
      <c r="O265">
        <v>423.16997964451502</v>
      </c>
      <c r="P265">
        <v>1199.8302089669201</v>
      </c>
      <c r="Q265">
        <v>8817.2851443196905</v>
      </c>
      <c r="R265">
        <v>480.428090961066</v>
      </c>
      <c r="S265">
        <v>215.001537076745</v>
      </c>
      <c r="T265">
        <v>365.31741537942202</v>
      </c>
      <c r="U265">
        <v>189.904338478032</v>
      </c>
      <c r="V265">
        <v>383.626456546756</v>
      </c>
      <c r="W265">
        <v>131.63650124927599</v>
      </c>
      <c r="X265">
        <v>225.23954691045</v>
      </c>
      <c r="Y265">
        <v>659.142863116027</v>
      </c>
      <c r="Z265">
        <v>154.27646881774001</v>
      </c>
      <c r="AA265">
        <v>599.123628266173</v>
      </c>
      <c r="AB265">
        <v>659.488183982539</v>
      </c>
      <c r="AC265">
        <v>663.40368724451105</v>
      </c>
      <c r="AD265">
        <v>408.61370412355501</v>
      </c>
      <c r="AE265">
        <v>323.75163377051098</v>
      </c>
      <c r="AF265">
        <v>709.70472445328198</v>
      </c>
      <c r="AG265">
        <v>612.84842808447297</v>
      </c>
    </row>
    <row r="266" spans="1:33" x14ac:dyDescent="0.25">
      <c r="A266" s="1">
        <v>44317</v>
      </c>
      <c r="B266">
        <v>8640.3279965485508</v>
      </c>
      <c r="C266">
        <v>8506.3716641667997</v>
      </c>
      <c r="D266">
        <v>7534.1436671404899</v>
      </c>
      <c r="E266">
        <v>9584.1090516313907</v>
      </c>
      <c r="F266">
        <v>13218.6022561809</v>
      </c>
      <c r="G266">
        <v>12604.6898319803</v>
      </c>
      <c r="H266">
        <v>25069.6885754139</v>
      </c>
      <c r="I266">
        <v>15191.058861318301</v>
      </c>
      <c r="J266">
        <v>817.28311023609297</v>
      </c>
      <c r="K266">
        <v>1095.4554136142699</v>
      </c>
      <c r="L266">
        <v>453.137652604339</v>
      </c>
      <c r="M266">
        <v>11293.320307730901</v>
      </c>
      <c r="N266">
        <v>3812.7701656229701</v>
      </c>
      <c r="O266">
        <v>451.73305314430701</v>
      </c>
      <c r="P266">
        <v>1345.2867946234401</v>
      </c>
      <c r="Q266">
        <v>9397.6192762854898</v>
      </c>
      <c r="R266">
        <v>517.98168527949099</v>
      </c>
      <c r="S266">
        <v>209.93379649053301</v>
      </c>
      <c r="T266">
        <v>453.60478882200903</v>
      </c>
      <c r="U266">
        <v>187.97705423249801</v>
      </c>
      <c r="V266">
        <v>471.48970693603002</v>
      </c>
      <c r="W266">
        <v>132.42519629200299</v>
      </c>
      <c r="X266">
        <v>262.69078199844802</v>
      </c>
      <c r="Y266">
        <v>658.17735321201906</v>
      </c>
      <c r="Z266">
        <v>154.98784955037399</v>
      </c>
      <c r="AA266">
        <v>597.63207094529605</v>
      </c>
      <c r="AB266">
        <v>656.45116807963996</v>
      </c>
      <c r="AC266">
        <v>650.68428536826002</v>
      </c>
      <c r="AD266">
        <v>417.75720122505101</v>
      </c>
      <c r="AE266">
        <v>343.98692092227998</v>
      </c>
      <c r="AF266">
        <v>710.34629755290996</v>
      </c>
      <c r="AG266">
        <v>607.664224096368</v>
      </c>
    </row>
    <row r="267" spans="1:33" x14ac:dyDescent="0.25">
      <c r="A267" s="1">
        <v>44318</v>
      </c>
      <c r="B267">
        <v>8779.4012540912008</v>
      </c>
      <c r="C267">
        <v>9125.3409783104307</v>
      </c>
      <c r="D267">
        <v>7541.6726133647899</v>
      </c>
      <c r="E267">
        <v>9459.5156847173603</v>
      </c>
      <c r="F267">
        <v>13174.742218220301</v>
      </c>
      <c r="G267">
        <v>11935.396208500601</v>
      </c>
      <c r="H267">
        <v>24287.949568519402</v>
      </c>
      <c r="I267">
        <v>15393.997189830199</v>
      </c>
      <c r="J267">
        <v>836.64674932425203</v>
      </c>
      <c r="K267">
        <v>1078.3498698471899</v>
      </c>
      <c r="L267">
        <v>461.60300612796698</v>
      </c>
      <c r="M267">
        <v>10643.527725050601</v>
      </c>
      <c r="N267">
        <v>3491.93047971636</v>
      </c>
      <c r="O267">
        <v>459.80013331802797</v>
      </c>
      <c r="P267">
        <v>1299.01092161057</v>
      </c>
      <c r="Q267">
        <v>8835.9480000331005</v>
      </c>
      <c r="R267">
        <v>530.25232152645003</v>
      </c>
      <c r="S267">
        <v>214.13797095225701</v>
      </c>
      <c r="T267">
        <v>399.75552498036802</v>
      </c>
      <c r="U267">
        <v>188.58014158979</v>
      </c>
      <c r="V267">
        <v>372.88915116911801</v>
      </c>
      <c r="W267">
        <v>128.41950139461699</v>
      </c>
      <c r="X267">
        <v>190.339975383184</v>
      </c>
      <c r="Y267">
        <v>657.19788813164996</v>
      </c>
      <c r="Z267">
        <v>153.977659557289</v>
      </c>
      <c r="AA267">
        <v>593.30687824464599</v>
      </c>
      <c r="AB267">
        <v>653.89042507110605</v>
      </c>
      <c r="AC267">
        <v>621.88078165954198</v>
      </c>
      <c r="AD267">
        <v>421.244394882471</v>
      </c>
      <c r="AE267">
        <v>306.21855680966098</v>
      </c>
      <c r="AF267">
        <v>711.32263357174895</v>
      </c>
      <c r="AG267">
        <v>605.235014668703</v>
      </c>
    </row>
    <row r="268" spans="1:33" x14ac:dyDescent="0.25">
      <c r="A268" s="1">
        <v>44319</v>
      </c>
      <c r="B268">
        <v>8828.1004668070509</v>
      </c>
      <c r="C268">
        <v>8706.16115873749</v>
      </c>
      <c r="D268">
        <v>7736.71765301307</v>
      </c>
      <c r="E268">
        <v>9298.7748246731899</v>
      </c>
      <c r="F268">
        <v>12609.0056670991</v>
      </c>
      <c r="G268">
        <v>11469.4444760591</v>
      </c>
      <c r="H268">
        <v>23307.814493087699</v>
      </c>
      <c r="I268">
        <v>15531.8031836464</v>
      </c>
      <c r="J268">
        <v>846.46230412625096</v>
      </c>
      <c r="K268">
        <v>1055.2958216847301</v>
      </c>
      <c r="L268">
        <v>455.793031429677</v>
      </c>
      <c r="M268">
        <v>10022.010963717699</v>
      </c>
      <c r="N268">
        <v>2907.2494448519101</v>
      </c>
      <c r="O268">
        <v>455.835425838601</v>
      </c>
      <c r="P268">
        <v>1249.9147786655501</v>
      </c>
      <c r="Q268">
        <v>8181.9146289759201</v>
      </c>
      <c r="R268">
        <v>511.94952496621499</v>
      </c>
      <c r="S268">
        <v>224.22178725756601</v>
      </c>
      <c r="T268">
        <v>318.39538543583802</v>
      </c>
      <c r="U268">
        <v>186.45887598967599</v>
      </c>
      <c r="V268">
        <v>279.357604121588</v>
      </c>
      <c r="W268">
        <v>127.352140161295</v>
      </c>
      <c r="X268">
        <v>157.01921400928799</v>
      </c>
      <c r="Y268">
        <v>654.51291790288099</v>
      </c>
      <c r="Z268">
        <v>153.46162375468899</v>
      </c>
      <c r="AA268">
        <v>591.98040348928998</v>
      </c>
      <c r="AB268">
        <v>652.68642367149596</v>
      </c>
      <c r="AC268">
        <v>579.27285151857404</v>
      </c>
      <c r="AD268">
        <v>418.77159828862898</v>
      </c>
      <c r="AE268">
        <v>332.17172422451898</v>
      </c>
      <c r="AF268">
        <v>710.71144382989905</v>
      </c>
      <c r="AG268">
        <v>604.602173267544</v>
      </c>
    </row>
    <row r="269" spans="1:33" x14ac:dyDescent="0.25">
      <c r="A269" s="1">
        <v>44320</v>
      </c>
      <c r="B269">
        <v>8836.0293067323892</v>
      </c>
      <c r="C269">
        <v>8228.7099471846504</v>
      </c>
      <c r="D269">
        <v>7976.4580013080404</v>
      </c>
      <c r="E269">
        <v>9258.8950594176295</v>
      </c>
      <c r="F269">
        <v>12376.078770914301</v>
      </c>
      <c r="G269">
        <v>11673.969128216</v>
      </c>
      <c r="H269">
        <v>23607.9897338107</v>
      </c>
      <c r="I269">
        <v>15464.501250642001</v>
      </c>
      <c r="J269">
        <v>852.82636589937897</v>
      </c>
      <c r="K269">
        <v>1062.3226405637599</v>
      </c>
      <c r="L269">
        <v>454.45481489214399</v>
      </c>
      <c r="M269">
        <v>10134.7873044188</v>
      </c>
      <c r="N269">
        <v>2973.2412874381798</v>
      </c>
      <c r="O269">
        <v>442.92188498193002</v>
      </c>
      <c r="P269">
        <v>1276.5692680964401</v>
      </c>
      <c r="Q269">
        <v>8229.1381598710996</v>
      </c>
      <c r="R269">
        <v>500.50565851733398</v>
      </c>
      <c r="S269">
        <v>228.90867608329901</v>
      </c>
      <c r="T269">
        <v>301.13370526074698</v>
      </c>
      <c r="U269">
        <v>182.79764490775801</v>
      </c>
      <c r="V269">
        <v>281.15201038876103</v>
      </c>
      <c r="W269">
        <v>134.34862553552199</v>
      </c>
      <c r="X269">
        <v>162.899790069408</v>
      </c>
      <c r="Y269">
        <v>648.688259985993</v>
      </c>
      <c r="Z269">
        <v>153.69919468870299</v>
      </c>
      <c r="AA269">
        <v>593.30920515774596</v>
      </c>
      <c r="AB269">
        <v>648.47641799003497</v>
      </c>
      <c r="AC269">
        <v>540.79984064026905</v>
      </c>
      <c r="AD269">
        <v>421.158026637896</v>
      </c>
      <c r="AE269">
        <v>387.40369508779401</v>
      </c>
      <c r="AF269">
        <v>710.06118154294404</v>
      </c>
      <c r="AG269">
        <v>601.88227121058901</v>
      </c>
    </row>
    <row r="270" spans="1:33" x14ac:dyDescent="0.25">
      <c r="A270" s="1">
        <v>44321</v>
      </c>
      <c r="B270">
        <v>8936.7943859365496</v>
      </c>
      <c r="C270">
        <v>8204.34693593669</v>
      </c>
      <c r="D270">
        <v>8155.6127473353199</v>
      </c>
      <c r="E270">
        <v>9435.12562377213</v>
      </c>
      <c r="F270">
        <v>12828.329901195801</v>
      </c>
      <c r="G270">
        <v>12723.373247940801</v>
      </c>
      <c r="H270">
        <v>25178.572164229401</v>
      </c>
      <c r="I270">
        <v>15456.776200173999</v>
      </c>
      <c r="J270">
        <v>875.59962159494501</v>
      </c>
      <c r="K270">
        <v>1142.5882141828399</v>
      </c>
      <c r="L270">
        <v>461.73347819634</v>
      </c>
      <c r="M270">
        <v>10996.135842339199</v>
      </c>
      <c r="N270">
        <v>3226.0493126342999</v>
      </c>
      <c r="O270">
        <v>469.488305813404</v>
      </c>
      <c r="P270">
        <v>1394.1363498048399</v>
      </c>
      <c r="Q270">
        <v>9103.5080645504204</v>
      </c>
      <c r="R270">
        <v>524.36516342851905</v>
      </c>
      <c r="S270">
        <v>216.797059301677</v>
      </c>
      <c r="T270">
        <v>319.63350468646001</v>
      </c>
      <c r="U270">
        <v>180.096664256027</v>
      </c>
      <c r="V270">
        <v>322.75381100023702</v>
      </c>
      <c r="W270">
        <v>139.183641740318</v>
      </c>
      <c r="X270">
        <v>181.72665039338401</v>
      </c>
      <c r="Y270">
        <v>642.88831403767801</v>
      </c>
      <c r="Z270">
        <v>154.18013749649299</v>
      </c>
      <c r="AA270">
        <v>594.70786357892405</v>
      </c>
      <c r="AB270">
        <v>643.72105077189201</v>
      </c>
      <c r="AC270">
        <v>531.495696344772</v>
      </c>
      <c r="AD270">
        <v>426.068089924795</v>
      </c>
      <c r="AE270">
        <v>434.09844830599599</v>
      </c>
      <c r="AF270">
        <v>710.55215530702901</v>
      </c>
      <c r="AG270">
        <v>598.21244793492099</v>
      </c>
    </row>
    <row r="271" spans="1:33" x14ac:dyDescent="0.25">
      <c r="A271" s="1">
        <v>44322</v>
      </c>
      <c r="B271">
        <v>9122.5617832096395</v>
      </c>
      <c r="C271">
        <v>8970.7893958103505</v>
      </c>
      <c r="D271">
        <v>8217.3793066870003</v>
      </c>
      <c r="E271">
        <v>9613.4159072901602</v>
      </c>
      <c r="F271">
        <v>13525.686667607401</v>
      </c>
      <c r="G271">
        <v>13238.5203818997</v>
      </c>
      <c r="H271">
        <v>26834.775410506001</v>
      </c>
      <c r="I271">
        <v>15586.8502845844</v>
      </c>
      <c r="J271">
        <v>914.98197057066898</v>
      </c>
      <c r="K271">
        <v>1239.83105826935</v>
      </c>
      <c r="L271">
        <v>489.85797667699501</v>
      </c>
      <c r="M271">
        <v>11637.5088424433</v>
      </c>
      <c r="N271">
        <v>3685.6812483423701</v>
      </c>
      <c r="O271">
        <v>519.75105522303102</v>
      </c>
      <c r="P271">
        <v>1475.3792293860599</v>
      </c>
      <c r="Q271">
        <v>9831.0973587206099</v>
      </c>
      <c r="R271">
        <v>575.68400850717205</v>
      </c>
      <c r="S271">
        <v>208.722106305007</v>
      </c>
      <c r="T271">
        <v>373.77824348056498</v>
      </c>
      <c r="U271">
        <v>171.10382624056101</v>
      </c>
      <c r="V271">
        <v>373.123540370005</v>
      </c>
      <c r="W271">
        <v>137.71840360772001</v>
      </c>
      <c r="X271">
        <v>202.364117544664</v>
      </c>
      <c r="Y271">
        <v>637.36683017096402</v>
      </c>
      <c r="Z271">
        <v>153.60074619925001</v>
      </c>
      <c r="AA271">
        <v>593.61572010904001</v>
      </c>
      <c r="AB271">
        <v>638.06261132559803</v>
      </c>
      <c r="AC271">
        <v>525.72472675780796</v>
      </c>
      <c r="AD271">
        <v>437.64111514497</v>
      </c>
      <c r="AE271">
        <v>503.45484506386299</v>
      </c>
      <c r="AF271">
        <v>711.26464694658205</v>
      </c>
      <c r="AG271">
        <v>595.23954341465901</v>
      </c>
    </row>
    <row r="272" spans="1:33" x14ac:dyDescent="0.25">
      <c r="A272" s="1">
        <v>44323</v>
      </c>
      <c r="B272">
        <v>9316.0777121007704</v>
      </c>
      <c r="C272">
        <v>9713.0606375811003</v>
      </c>
      <c r="D272">
        <v>8184.9321324216698</v>
      </c>
      <c r="E272">
        <v>9615.1929416616094</v>
      </c>
      <c r="F272">
        <v>13575.958618275499</v>
      </c>
      <c r="G272">
        <v>12631.4354998048</v>
      </c>
      <c r="H272">
        <v>24997.749283560999</v>
      </c>
      <c r="I272">
        <v>15760.479160668199</v>
      </c>
      <c r="J272">
        <v>942.86406305301898</v>
      </c>
      <c r="K272">
        <v>1209.8006766211799</v>
      </c>
      <c r="L272">
        <v>508.18714065815999</v>
      </c>
      <c r="M272">
        <v>11092.294133036299</v>
      </c>
      <c r="N272">
        <v>3367.7999350867499</v>
      </c>
      <c r="O272">
        <v>510.53705239439199</v>
      </c>
      <c r="P272">
        <v>1418.2367820290799</v>
      </c>
      <c r="Q272">
        <v>9145.3143423961701</v>
      </c>
      <c r="R272">
        <v>565.55686944401396</v>
      </c>
      <c r="S272">
        <v>207.31958561031399</v>
      </c>
      <c r="T272">
        <v>347.09804842850201</v>
      </c>
      <c r="U272">
        <v>171.567262842107</v>
      </c>
      <c r="V272">
        <v>308.01939702359601</v>
      </c>
      <c r="W272">
        <v>137.779326476905</v>
      </c>
      <c r="X272">
        <v>180.01273762114101</v>
      </c>
      <c r="Y272">
        <v>627.27094974977695</v>
      </c>
      <c r="Z272">
        <v>151.57710366826399</v>
      </c>
      <c r="AA272">
        <v>588.86101856689095</v>
      </c>
      <c r="AB272">
        <v>632.32736716222496</v>
      </c>
      <c r="AC272">
        <v>516.03220717995998</v>
      </c>
      <c r="AD272">
        <v>444.11649954159401</v>
      </c>
      <c r="AE272">
        <v>498.69067390118403</v>
      </c>
      <c r="AF272">
        <v>709.93138992991101</v>
      </c>
      <c r="AG272">
        <v>595.53845474777199</v>
      </c>
    </row>
    <row r="273" spans="1:33" x14ac:dyDescent="0.25">
      <c r="A273" s="1">
        <v>44324</v>
      </c>
      <c r="B273">
        <v>9427.2307637125596</v>
      </c>
      <c r="C273">
        <v>9249.2517194321608</v>
      </c>
      <c r="D273">
        <v>8314.5297347352207</v>
      </c>
      <c r="E273">
        <v>9601.0621987528993</v>
      </c>
      <c r="F273">
        <v>13233.6622975194</v>
      </c>
      <c r="G273">
        <v>12340.9240169445</v>
      </c>
      <c r="H273">
        <v>24265.7510445632</v>
      </c>
      <c r="I273">
        <v>16012.579716333001</v>
      </c>
      <c r="J273">
        <v>954.88524145245401</v>
      </c>
      <c r="K273">
        <v>1172.9825089117401</v>
      </c>
      <c r="L273">
        <v>489.67187384072901</v>
      </c>
      <c r="M273">
        <v>10578.0576775604</v>
      </c>
      <c r="N273">
        <v>2770.1751584498202</v>
      </c>
      <c r="O273">
        <v>511.67157843932</v>
      </c>
      <c r="P273">
        <v>1356.1304835246799</v>
      </c>
      <c r="Q273">
        <v>8714.3150264860196</v>
      </c>
      <c r="R273">
        <v>558.38186215860401</v>
      </c>
      <c r="S273">
        <v>208.30938657217001</v>
      </c>
      <c r="T273">
        <v>286.82373126332999</v>
      </c>
      <c r="U273">
        <v>171.514417812001</v>
      </c>
      <c r="V273">
        <v>257.28721161474402</v>
      </c>
      <c r="W273">
        <v>134.46499383256401</v>
      </c>
      <c r="X273">
        <v>165.58036687365501</v>
      </c>
      <c r="Y273">
        <v>617.72550550225196</v>
      </c>
      <c r="Z273">
        <v>150.969047683051</v>
      </c>
      <c r="AA273">
        <v>591.14737296326496</v>
      </c>
      <c r="AB273">
        <v>626.44321698322597</v>
      </c>
      <c r="AC273">
        <v>522.95061270956705</v>
      </c>
      <c r="AD273">
        <v>441.04903935881703</v>
      </c>
      <c r="AE273">
        <v>402.25280853937397</v>
      </c>
      <c r="AF273">
        <v>708.61347946496699</v>
      </c>
      <c r="AG273">
        <v>594.96160091075501</v>
      </c>
    </row>
    <row r="274" spans="1:33" x14ac:dyDescent="0.25">
      <c r="A274" s="1">
        <v>44325</v>
      </c>
      <c r="B274">
        <v>9513.3176354540192</v>
      </c>
      <c r="C274">
        <v>8750.6117096956295</v>
      </c>
      <c r="D274">
        <v>8591.8527334623504</v>
      </c>
      <c r="E274">
        <v>9835.2811327307008</v>
      </c>
      <c r="F274">
        <v>13506.304351743</v>
      </c>
      <c r="G274">
        <v>13235.4734848106</v>
      </c>
      <c r="H274">
        <v>25929.713250647801</v>
      </c>
      <c r="I274">
        <v>16167.018790928199</v>
      </c>
      <c r="J274">
        <v>990.88534864795395</v>
      </c>
      <c r="K274">
        <v>1238.0593599142401</v>
      </c>
      <c r="L274">
        <v>488.48503186992599</v>
      </c>
      <c r="M274">
        <v>11514.511683422999</v>
      </c>
      <c r="N274">
        <v>3364.4263587605801</v>
      </c>
      <c r="O274">
        <v>530.01032268610402</v>
      </c>
      <c r="P274">
        <v>1459.1734018365801</v>
      </c>
      <c r="Q274">
        <v>9671.7708960815307</v>
      </c>
      <c r="R274">
        <v>584.00897342509904</v>
      </c>
      <c r="S274">
        <v>208.631459176855</v>
      </c>
      <c r="T274">
        <v>312.274115491195</v>
      </c>
      <c r="U274">
        <v>171.06788071425299</v>
      </c>
      <c r="V274">
        <v>301.55923007070601</v>
      </c>
      <c r="W274">
        <v>137.97765798874499</v>
      </c>
      <c r="X274">
        <v>180.87003829173</v>
      </c>
      <c r="Y274">
        <v>612.09393526668703</v>
      </c>
      <c r="Z274">
        <v>152.43106157121201</v>
      </c>
      <c r="AA274">
        <v>597.580784175904</v>
      </c>
      <c r="AB274">
        <v>622.04569360924495</v>
      </c>
      <c r="AC274">
        <v>535.52004124319205</v>
      </c>
      <c r="AD274">
        <v>447.85288967986702</v>
      </c>
      <c r="AE274">
        <v>380.36488775572201</v>
      </c>
      <c r="AF274">
        <v>708.85290488937903</v>
      </c>
      <c r="AG274">
        <v>593.21621369094896</v>
      </c>
    </row>
    <row r="275" spans="1:33" x14ac:dyDescent="0.25">
      <c r="A275" s="1">
        <v>44326</v>
      </c>
      <c r="B275">
        <v>9694.1590785233802</v>
      </c>
      <c r="C275">
        <v>9362.7625997904306</v>
      </c>
      <c r="D275">
        <v>8816.6903316727203</v>
      </c>
      <c r="E275">
        <v>10109.7780700817</v>
      </c>
      <c r="F275">
        <v>14405.3148705026</v>
      </c>
      <c r="G275">
        <v>13962.1157580214</v>
      </c>
      <c r="H275">
        <v>26344.2070698801</v>
      </c>
      <c r="I275">
        <v>16391.4815891201</v>
      </c>
      <c r="J275">
        <v>1026.57541289394</v>
      </c>
      <c r="K275">
        <v>1335.57112869204</v>
      </c>
      <c r="L275">
        <v>518.27451695505704</v>
      </c>
      <c r="M275">
        <v>12181.0127953839</v>
      </c>
      <c r="N275">
        <v>3799.6469396017001</v>
      </c>
      <c r="O275">
        <v>567.91148124412996</v>
      </c>
      <c r="P275">
        <v>1611.5768965874299</v>
      </c>
      <c r="Q275">
        <v>10351.044504829801</v>
      </c>
      <c r="R275">
        <v>631.82099553506396</v>
      </c>
      <c r="S275">
        <v>207.99845811829999</v>
      </c>
      <c r="T275">
        <v>361.85387480479102</v>
      </c>
      <c r="U275">
        <v>170.65950291932299</v>
      </c>
      <c r="V275">
        <v>339.43750743663003</v>
      </c>
      <c r="W275">
        <v>138.45000319349501</v>
      </c>
      <c r="X275">
        <v>186.95887248806599</v>
      </c>
      <c r="Y275">
        <v>607.40428020096294</v>
      </c>
      <c r="Z275">
        <v>153.36740759581201</v>
      </c>
      <c r="AA275">
        <v>597.80317295104703</v>
      </c>
      <c r="AB275">
        <v>618.962635001276</v>
      </c>
      <c r="AC275">
        <v>546.93616586441794</v>
      </c>
      <c r="AD275">
        <v>461.41064004363301</v>
      </c>
      <c r="AE275">
        <v>349.62482338736999</v>
      </c>
      <c r="AF275">
        <v>708.96433163403196</v>
      </c>
      <c r="AG275">
        <v>591.64400231336504</v>
      </c>
    </row>
    <row r="276" spans="1:33" x14ac:dyDescent="0.25">
      <c r="A276" s="1">
        <v>44327</v>
      </c>
      <c r="B276">
        <v>9878.1273421267997</v>
      </c>
      <c r="C276">
        <v>10027.4209560501</v>
      </c>
      <c r="D276">
        <v>8948.0647989504996</v>
      </c>
      <c r="E276">
        <v>10435.6203715098</v>
      </c>
      <c r="F276">
        <v>15185.571902010501</v>
      </c>
      <c r="G276">
        <v>14972.0299651776</v>
      </c>
      <c r="H276">
        <v>27336.639098395499</v>
      </c>
      <c r="I276">
        <v>16827.2423534759</v>
      </c>
      <c r="J276">
        <v>1068.7693168962501</v>
      </c>
      <c r="K276">
        <v>1485.70852441478</v>
      </c>
      <c r="L276">
        <v>550.36729181238798</v>
      </c>
      <c r="M276">
        <v>13113.653841707899</v>
      </c>
      <c r="N276">
        <v>4450.80043896185</v>
      </c>
      <c r="O276">
        <v>591.48522519041796</v>
      </c>
      <c r="P276">
        <v>1816.53541725272</v>
      </c>
      <c r="Q276">
        <v>11294.4320266456</v>
      </c>
      <c r="R276">
        <v>673.60214566777597</v>
      </c>
      <c r="S276">
        <v>208.031523546454</v>
      </c>
      <c r="T276">
        <v>415.821176813524</v>
      </c>
      <c r="U276">
        <v>169.53315874403901</v>
      </c>
      <c r="V276">
        <v>385.58591255507503</v>
      </c>
      <c r="W276">
        <v>140.33570554406501</v>
      </c>
      <c r="X276">
        <v>193.28313568367301</v>
      </c>
      <c r="Y276">
        <v>604.96740240788802</v>
      </c>
      <c r="Z276">
        <v>154.102397821696</v>
      </c>
      <c r="AA276">
        <v>595.09283435659495</v>
      </c>
      <c r="AB276">
        <v>617.08293683035004</v>
      </c>
      <c r="AC276">
        <v>555.25609369604103</v>
      </c>
      <c r="AD276">
        <v>481.00855566848702</v>
      </c>
      <c r="AE276">
        <v>350.13523285410599</v>
      </c>
      <c r="AF276">
        <v>708.62391018342498</v>
      </c>
      <c r="AG276">
        <v>591.59829289229401</v>
      </c>
    </row>
    <row r="277" spans="1:33" x14ac:dyDescent="0.25">
      <c r="A277" s="1">
        <v>44328</v>
      </c>
      <c r="B277">
        <v>10051.448436209999</v>
      </c>
      <c r="C277">
        <v>11028.982912077099</v>
      </c>
      <c r="D277">
        <v>9099.8923351284702</v>
      </c>
      <c r="E277">
        <v>10819.8159270247</v>
      </c>
      <c r="F277">
        <v>15991.2070528411</v>
      </c>
      <c r="G277">
        <v>15754.7973914672</v>
      </c>
      <c r="H277">
        <v>28342.682344811899</v>
      </c>
      <c r="I277">
        <v>17092.480789979902</v>
      </c>
      <c r="J277">
        <v>1131.8387340986001</v>
      </c>
      <c r="K277">
        <v>1670.90579489368</v>
      </c>
      <c r="L277">
        <v>590.91667490446105</v>
      </c>
      <c r="M277">
        <v>13907.0879053385</v>
      </c>
      <c r="N277">
        <v>4997.4436832583397</v>
      </c>
      <c r="O277">
        <v>635.39448200400795</v>
      </c>
      <c r="P277">
        <v>2048.6522641444399</v>
      </c>
      <c r="Q277">
        <v>12181.0957088422</v>
      </c>
      <c r="R277">
        <v>743.02127109072603</v>
      </c>
      <c r="S277">
        <v>208.196943095092</v>
      </c>
      <c r="T277">
        <v>492.99041623337899</v>
      </c>
      <c r="U277">
        <v>169.141382902809</v>
      </c>
      <c r="V277">
        <v>432.562886444139</v>
      </c>
      <c r="W277">
        <v>139.802948154522</v>
      </c>
      <c r="X277">
        <v>210.55682320347199</v>
      </c>
      <c r="Y277">
        <v>604.22803864876005</v>
      </c>
      <c r="Z277">
        <v>154.30149881333799</v>
      </c>
      <c r="AA277">
        <v>595.53871496783802</v>
      </c>
      <c r="AB277">
        <v>614.65455449918898</v>
      </c>
      <c r="AC277">
        <v>558.71702691476003</v>
      </c>
      <c r="AD277">
        <v>509.81082024296802</v>
      </c>
      <c r="AE277">
        <v>256.57405944547901</v>
      </c>
      <c r="AF277">
        <v>708.22087729444195</v>
      </c>
      <c r="AG277">
        <v>591.15425668128398</v>
      </c>
    </row>
    <row r="278" spans="1:33" x14ac:dyDescent="0.25">
      <c r="A278" s="1">
        <v>44329</v>
      </c>
      <c r="B278">
        <v>10210.9681764669</v>
      </c>
      <c r="C278">
        <v>11982.4694703487</v>
      </c>
      <c r="D278">
        <v>9303.0596300542002</v>
      </c>
      <c r="E278">
        <v>11087.660265426101</v>
      </c>
      <c r="F278">
        <v>16454.441645307601</v>
      </c>
      <c r="G278">
        <v>15705.320862811201</v>
      </c>
      <c r="H278">
        <v>28453.040698868201</v>
      </c>
      <c r="I278">
        <v>17355.074967304001</v>
      </c>
      <c r="J278">
        <v>1188.2953835334199</v>
      </c>
      <c r="K278">
        <v>1746.0871512521601</v>
      </c>
      <c r="L278">
        <v>616.47644465311896</v>
      </c>
      <c r="M278">
        <v>14051.5459355118</v>
      </c>
      <c r="N278">
        <v>5249.7654211629397</v>
      </c>
      <c r="O278">
        <v>661.31651158115596</v>
      </c>
      <c r="P278">
        <v>2136.3108879793499</v>
      </c>
      <c r="Q278">
        <v>12362.8133195337</v>
      </c>
      <c r="R278">
        <v>790.93603643690903</v>
      </c>
      <c r="S278">
        <v>209.238628274191</v>
      </c>
      <c r="T278">
        <v>520.30140897600097</v>
      </c>
      <c r="U278">
        <v>168.282890953925</v>
      </c>
      <c r="V278">
        <v>414.56277020366099</v>
      </c>
      <c r="W278">
        <v>134.34513764561399</v>
      </c>
      <c r="X278">
        <v>196.824608286596</v>
      </c>
      <c r="Y278">
        <v>600.23087585657004</v>
      </c>
      <c r="Z278">
        <v>154.13996715147999</v>
      </c>
      <c r="AA278">
        <v>592.63768201246705</v>
      </c>
      <c r="AB278">
        <v>610.61563273384695</v>
      </c>
      <c r="AC278">
        <v>558.61927510478199</v>
      </c>
      <c r="AD278">
        <v>526.64983729585299</v>
      </c>
      <c r="AE278">
        <v>173.03742415514799</v>
      </c>
      <c r="AF278">
        <v>705.15453467073098</v>
      </c>
      <c r="AG278">
        <v>591.48142919338295</v>
      </c>
    </row>
    <row r="279" spans="1:33" x14ac:dyDescent="0.25">
      <c r="A279" s="1">
        <v>44330</v>
      </c>
      <c r="B279">
        <v>10400.9818069141</v>
      </c>
      <c r="C279">
        <v>12428.941488747399</v>
      </c>
      <c r="D279">
        <v>9686.0064139381193</v>
      </c>
      <c r="E279">
        <v>11525.843082268901</v>
      </c>
      <c r="F279">
        <v>16558.532972385499</v>
      </c>
      <c r="G279">
        <v>15588.6581148444</v>
      </c>
      <c r="H279">
        <v>28349.327518804399</v>
      </c>
      <c r="I279">
        <v>17805.591768142</v>
      </c>
      <c r="J279">
        <v>1228.58571896484</v>
      </c>
      <c r="K279">
        <v>1821.1910397402601</v>
      </c>
      <c r="L279">
        <v>637.38124002263396</v>
      </c>
      <c r="M279">
        <v>14233.717551797199</v>
      </c>
      <c r="N279">
        <v>5596.4653981936599</v>
      </c>
      <c r="O279">
        <v>664.90876678049699</v>
      </c>
      <c r="P279">
        <v>2257.6171349363299</v>
      </c>
      <c r="Q279">
        <v>12394.4607631612</v>
      </c>
      <c r="R279">
        <v>814.29930609527401</v>
      </c>
      <c r="S279">
        <v>211.425404373172</v>
      </c>
      <c r="T279">
        <v>566.31871360203399</v>
      </c>
      <c r="U279">
        <v>167.47609411099799</v>
      </c>
      <c r="V279">
        <v>451.661639470757</v>
      </c>
      <c r="W279">
        <v>125.286203853057</v>
      </c>
      <c r="X279">
        <v>207.39036320502399</v>
      </c>
      <c r="Y279">
        <v>594.74555770773395</v>
      </c>
      <c r="Z279">
        <v>154.23696646211599</v>
      </c>
      <c r="AA279">
        <v>593.23390349858903</v>
      </c>
      <c r="AB279">
        <v>604.18243312287495</v>
      </c>
      <c r="AC279">
        <v>556.60948541860603</v>
      </c>
      <c r="AD279">
        <v>541.44847202888502</v>
      </c>
      <c r="AE279">
        <v>167.49499204135901</v>
      </c>
      <c r="AF279">
        <v>698.52223163054998</v>
      </c>
      <c r="AG279">
        <v>592.47872384908999</v>
      </c>
    </row>
    <row r="280" spans="1:33" x14ac:dyDescent="0.25">
      <c r="A280" s="1">
        <v>44331</v>
      </c>
      <c r="B280">
        <v>10574.627099552799</v>
      </c>
      <c r="C280">
        <v>12429.887133046501</v>
      </c>
      <c r="D280">
        <v>10141.386735902601</v>
      </c>
      <c r="E280">
        <v>11699.664522094499</v>
      </c>
      <c r="F280">
        <v>16408.490729547299</v>
      </c>
      <c r="G280">
        <v>15142.7083128988</v>
      </c>
      <c r="H280">
        <v>27724.863166758299</v>
      </c>
      <c r="I280">
        <v>18154.2240129235</v>
      </c>
      <c r="J280">
        <v>1255.6710648082901</v>
      </c>
      <c r="K280">
        <v>1857.82066083312</v>
      </c>
      <c r="L280">
        <v>652.82149521384497</v>
      </c>
      <c r="M280">
        <v>13950.211244739399</v>
      </c>
      <c r="N280">
        <v>5596.88435130788</v>
      </c>
      <c r="O280">
        <v>644.483557749939</v>
      </c>
      <c r="P280">
        <v>2257.6386612106699</v>
      </c>
      <c r="Q280">
        <v>12005.366676948201</v>
      </c>
      <c r="R280">
        <v>806.61958363863596</v>
      </c>
      <c r="S280">
        <v>214.994879388942</v>
      </c>
      <c r="T280">
        <v>570.33476474614599</v>
      </c>
      <c r="U280">
        <v>166.82937221281199</v>
      </c>
      <c r="V280">
        <v>475.21515733645299</v>
      </c>
      <c r="W280">
        <v>124.876032097456</v>
      </c>
      <c r="X280">
        <v>203.82352649336099</v>
      </c>
      <c r="Y280">
        <v>590.33331027640202</v>
      </c>
      <c r="Z280">
        <v>154.47869079262199</v>
      </c>
      <c r="AA280">
        <v>586.72961351169397</v>
      </c>
      <c r="AB280">
        <v>601.34055200687897</v>
      </c>
      <c r="AC280">
        <v>522.12629018984001</v>
      </c>
      <c r="AD280">
        <v>551.99330889184898</v>
      </c>
      <c r="AE280">
        <v>168.249874362893</v>
      </c>
      <c r="AF280">
        <v>689.27576765444098</v>
      </c>
      <c r="AG280">
        <v>594.40623274105405</v>
      </c>
    </row>
    <row r="281" spans="1:33" x14ac:dyDescent="0.25">
      <c r="A281" s="1">
        <v>44332</v>
      </c>
      <c r="B281">
        <v>10754.184761119801</v>
      </c>
      <c r="C281">
        <v>11884.061016764301</v>
      </c>
      <c r="D281">
        <v>10596.415013092599</v>
      </c>
      <c r="E281">
        <v>11840.121841738101</v>
      </c>
      <c r="F281">
        <v>16097.8487399112</v>
      </c>
      <c r="G281">
        <v>15365.4796351407</v>
      </c>
      <c r="H281">
        <v>28157.3562099429</v>
      </c>
      <c r="I281">
        <v>18471.5631956447</v>
      </c>
      <c r="J281">
        <v>1280.97902683089</v>
      </c>
      <c r="K281">
        <v>1862.1462586575899</v>
      </c>
      <c r="L281">
        <v>652.02228470306295</v>
      </c>
      <c r="M281">
        <v>13843.371369783799</v>
      </c>
      <c r="N281">
        <v>5407.4013535251497</v>
      </c>
      <c r="O281">
        <v>677.708832627584</v>
      </c>
      <c r="P281">
        <v>2231.4998350204801</v>
      </c>
      <c r="Q281">
        <v>11949.083026701201</v>
      </c>
      <c r="R281">
        <v>857.171784219551</v>
      </c>
      <c r="S281">
        <v>217.99713761382</v>
      </c>
      <c r="T281">
        <v>558.06723577837602</v>
      </c>
      <c r="U281">
        <v>166.06165644410601</v>
      </c>
      <c r="V281">
        <v>428.16302842886199</v>
      </c>
      <c r="W281">
        <v>124.23930167766299</v>
      </c>
      <c r="X281">
        <v>184.243786816729</v>
      </c>
      <c r="Y281">
        <v>588.260699625538</v>
      </c>
      <c r="Z281">
        <v>155.01165971576501</v>
      </c>
      <c r="AA281">
        <v>588.42281735386598</v>
      </c>
      <c r="AB281">
        <v>599.59174300748202</v>
      </c>
      <c r="AC281">
        <v>473.26413766581999</v>
      </c>
      <c r="AD281">
        <v>559.49765480035899</v>
      </c>
      <c r="AE281">
        <v>183.24562222035101</v>
      </c>
      <c r="AF281">
        <v>679.145669763147</v>
      </c>
      <c r="AG281">
        <v>595.95425585386101</v>
      </c>
    </row>
    <row r="282" spans="1:33" x14ac:dyDescent="0.25">
      <c r="A282" s="1">
        <v>44333</v>
      </c>
      <c r="B282">
        <v>10900.010821595901</v>
      </c>
      <c r="C282">
        <v>11924.9730005413</v>
      </c>
      <c r="D282">
        <v>10982.6008235352</v>
      </c>
      <c r="E282">
        <v>11916.555323696601</v>
      </c>
      <c r="F282">
        <v>15761.1275427213</v>
      </c>
      <c r="G282">
        <v>14604.428699767999</v>
      </c>
      <c r="H282">
        <v>27445.264052541799</v>
      </c>
      <c r="I282">
        <v>18653.6438356572</v>
      </c>
      <c r="J282">
        <v>1290.5938696713899</v>
      </c>
      <c r="K282">
        <v>1789.03085737267</v>
      </c>
      <c r="L282">
        <v>651.54338862352199</v>
      </c>
      <c r="M282">
        <v>13255.8850881456</v>
      </c>
      <c r="N282">
        <v>5102.8643183038203</v>
      </c>
      <c r="O282">
        <v>686.42321042213302</v>
      </c>
      <c r="P282">
        <v>2097.5476991211099</v>
      </c>
      <c r="Q282">
        <v>11391.6832936052</v>
      </c>
      <c r="R282">
        <v>851.50683292291899</v>
      </c>
      <c r="S282">
        <v>224.04623928259301</v>
      </c>
      <c r="T282">
        <v>498.570633248626</v>
      </c>
      <c r="U282">
        <v>165.464245731087</v>
      </c>
      <c r="V282">
        <v>354.68246947542599</v>
      </c>
      <c r="W282">
        <v>122.967190126888</v>
      </c>
      <c r="X282">
        <v>153.07826278889701</v>
      </c>
      <c r="Y282">
        <v>581.84578608252502</v>
      </c>
      <c r="Z282">
        <v>154.77621149820499</v>
      </c>
      <c r="AA282">
        <v>590.100196645952</v>
      </c>
      <c r="AB282">
        <v>596.74108271755199</v>
      </c>
      <c r="AC282">
        <v>447.383291972557</v>
      </c>
      <c r="AD282">
        <v>556.05673045315098</v>
      </c>
      <c r="AE282">
        <v>169.757863620759</v>
      </c>
      <c r="AF282">
        <v>664.926718273642</v>
      </c>
      <c r="AG282">
        <v>597.72908106381703</v>
      </c>
    </row>
    <row r="283" spans="1:33" x14ac:dyDescent="0.25">
      <c r="A283" s="1">
        <v>44334</v>
      </c>
      <c r="B283">
        <v>11043.9723423123</v>
      </c>
      <c r="C283">
        <v>11676.492657002</v>
      </c>
      <c r="D283">
        <v>11272.3990073842</v>
      </c>
      <c r="E283">
        <v>11769.362195711299</v>
      </c>
      <c r="F283">
        <v>14825.421898983701</v>
      </c>
      <c r="G283">
        <v>13653.972218467199</v>
      </c>
      <c r="H283">
        <v>26561.265086708201</v>
      </c>
      <c r="I283">
        <v>18818.849502588298</v>
      </c>
      <c r="J283">
        <v>1299.2248419033101</v>
      </c>
      <c r="K283">
        <v>1691.3671917462</v>
      </c>
      <c r="L283">
        <v>653.79634743769998</v>
      </c>
      <c r="M283">
        <v>12477.2409590435</v>
      </c>
      <c r="N283">
        <v>4288.79287274116</v>
      </c>
      <c r="O283">
        <v>625.64347718899103</v>
      </c>
      <c r="P283">
        <v>1935.33948576138</v>
      </c>
      <c r="Q283">
        <v>10495.3253511946</v>
      </c>
      <c r="R283">
        <v>794.35430282766504</v>
      </c>
      <c r="S283">
        <v>225.66106213088099</v>
      </c>
      <c r="T283">
        <v>386.10759966139199</v>
      </c>
      <c r="U283">
        <v>165.527300961576</v>
      </c>
      <c r="V283">
        <v>229.17007136586699</v>
      </c>
      <c r="W283">
        <v>122.30545682873201</v>
      </c>
      <c r="X283">
        <v>133.25632642795901</v>
      </c>
      <c r="Y283">
        <v>574.01843894231195</v>
      </c>
      <c r="Z283">
        <v>154.799407541953</v>
      </c>
      <c r="AA283">
        <v>588.13306434142396</v>
      </c>
      <c r="AB283">
        <v>593.25556087859502</v>
      </c>
      <c r="AC283">
        <v>437.152183028433</v>
      </c>
      <c r="AD283">
        <v>549.01536854464803</v>
      </c>
      <c r="AE283">
        <v>197.161603550851</v>
      </c>
      <c r="AF283">
        <v>648.19854691438604</v>
      </c>
      <c r="AG283">
        <v>600.54101648095605</v>
      </c>
    </row>
    <row r="284" spans="1:33" x14ac:dyDescent="0.25">
      <c r="A284" s="1">
        <v>44335</v>
      </c>
      <c r="B284">
        <v>11158.370623713599</v>
      </c>
      <c r="C284">
        <v>10836.5285945371</v>
      </c>
      <c r="D284">
        <v>11465.9248279977</v>
      </c>
      <c r="E284">
        <v>11836.575440316999</v>
      </c>
      <c r="F284">
        <v>14196.391430686999</v>
      </c>
      <c r="G284">
        <v>13258.5816579533</v>
      </c>
      <c r="H284">
        <v>26765.587297474001</v>
      </c>
      <c r="I284">
        <v>18863.360256973399</v>
      </c>
      <c r="J284">
        <v>1377.5015491757799</v>
      </c>
      <c r="K284">
        <v>1627.46038736575</v>
      </c>
      <c r="L284">
        <v>675.60377314928405</v>
      </c>
      <c r="M284">
        <v>12100.3490098821</v>
      </c>
      <c r="N284">
        <v>3968.8515589215399</v>
      </c>
      <c r="O284">
        <v>632.99443200050905</v>
      </c>
      <c r="P284">
        <v>1862.97202910952</v>
      </c>
      <c r="Q284">
        <v>10140.993632886</v>
      </c>
      <c r="R284">
        <v>768.33767846282399</v>
      </c>
      <c r="S284">
        <v>233.361026343064</v>
      </c>
      <c r="T284">
        <v>348.14537408513598</v>
      </c>
      <c r="U284">
        <v>165.21497776429001</v>
      </c>
      <c r="V284">
        <v>227.737212440083</v>
      </c>
      <c r="W284">
        <v>120.45367266113099</v>
      </c>
      <c r="X284">
        <v>140.36650465765999</v>
      </c>
      <c r="Y284">
        <v>569.77884325410605</v>
      </c>
      <c r="Z284">
        <v>155.131511456353</v>
      </c>
      <c r="AA284">
        <v>586.761701733716</v>
      </c>
      <c r="AB284">
        <v>593.71744850773598</v>
      </c>
      <c r="AC284">
        <v>430.006675312271</v>
      </c>
      <c r="AD284">
        <v>552.809115488781</v>
      </c>
      <c r="AE284">
        <v>179.86667669218701</v>
      </c>
      <c r="AF284">
        <v>632.47959936327902</v>
      </c>
      <c r="AG284">
        <v>603.77307108020102</v>
      </c>
    </row>
    <row r="285" spans="1:33" x14ac:dyDescent="0.25">
      <c r="A285" s="1">
        <v>44336</v>
      </c>
      <c r="B285">
        <v>11276.373447620799</v>
      </c>
      <c r="C285">
        <v>10252.125056732801</v>
      </c>
      <c r="D285">
        <v>11523.7590220233</v>
      </c>
      <c r="E285">
        <v>11664.771640746199</v>
      </c>
      <c r="F285">
        <v>13450.8396644637</v>
      </c>
      <c r="G285">
        <v>11958.949455345301</v>
      </c>
      <c r="H285">
        <v>25017.543871609301</v>
      </c>
      <c r="I285">
        <v>18621.9620436082</v>
      </c>
      <c r="J285">
        <v>1407.9134673128301</v>
      </c>
      <c r="K285">
        <v>1417.9594934792501</v>
      </c>
      <c r="L285">
        <v>712.35228845830704</v>
      </c>
      <c r="M285">
        <v>10504.472081413</v>
      </c>
      <c r="N285">
        <v>2599.2399727208499</v>
      </c>
      <c r="O285">
        <v>593.13887235565198</v>
      </c>
      <c r="P285">
        <v>1582.46574829465</v>
      </c>
      <c r="Q285">
        <v>8670.6979139745108</v>
      </c>
      <c r="R285">
        <v>676.41992012501305</v>
      </c>
      <c r="S285">
        <v>233.77185360835</v>
      </c>
      <c r="T285">
        <v>269.80510469467902</v>
      </c>
      <c r="U285">
        <v>165.22626558468801</v>
      </c>
      <c r="V285">
        <v>173.18307760422201</v>
      </c>
      <c r="W285">
        <v>117.54060771294699</v>
      </c>
      <c r="X285">
        <v>132.078140557723</v>
      </c>
      <c r="Y285">
        <v>544.43418041654502</v>
      </c>
      <c r="Z285">
        <v>154.228589555312</v>
      </c>
      <c r="AA285">
        <v>585.12599785370105</v>
      </c>
      <c r="AB285">
        <v>582.06971259200895</v>
      </c>
      <c r="AC285">
        <v>433.208728309636</v>
      </c>
      <c r="AD285">
        <v>544.057549686367</v>
      </c>
      <c r="AE285">
        <v>183.26433013663799</v>
      </c>
      <c r="AF285">
        <v>616.62621005339497</v>
      </c>
      <c r="AG285">
        <v>607.28947257219295</v>
      </c>
    </row>
    <row r="286" spans="1:33" x14ac:dyDescent="0.25">
      <c r="A286" s="1">
        <v>44337</v>
      </c>
      <c r="B286">
        <v>11471.5763054485</v>
      </c>
      <c r="C286">
        <v>9031.4061589651392</v>
      </c>
      <c r="D286">
        <v>11402.6760888307</v>
      </c>
      <c r="E286">
        <v>11873.4079251606</v>
      </c>
      <c r="F286">
        <v>12469.4632105562</v>
      </c>
      <c r="G286">
        <v>11745.2783644921</v>
      </c>
      <c r="H286">
        <v>24256.298214487</v>
      </c>
      <c r="I286">
        <v>17748.115197667499</v>
      </c>
      <c r="J286">
        <v>1402.4278507470101</v>
      </c>
      <c r="K286">
        <v>1308.6655776797099</v>
      </c>
      <c r="L286">
        <v>635.13464324041001</v>
      </c>
      <c r="M286">
        <v>10042.480437463701</v>
      </c>
      <c r="N286">
        <v>1899.1328459696599</v>
      </c>
      <c r="O286">
        <v>570.14796593444203</v>
      </c>
      <c r="P286">
        <v>1454.9311772446599</v>
      </c>
      <c r="Q286">
        <v>8065.7993866835004</v>
      </c>
      <c r="R286">
        <v>634.59996730225203</v>
      </c>
      <c r="S286">
        <v>235.324741153058</v>
      </c>
      <c r="T286">
        <v>229.182098173041</v>
      </c>
      <c r="U286">
        <v>165.17229611772399</v>
      </c>
      <c r="V286">
        <v>162.32597307758999</v>
      </c>
      <c r="W286">
        <v>111.74140122307701</v>
      </c>
      <c r="X286">
        <v>128.38832174472401</v>
      </c>
      <c r="Y286">
        <v>541.73209300813198</v>
      </c>
      <c r="Z286">
        <v>153.645943571544</v>
      </c>
      <c r="AA286">
        <v>583.75187702240498</v>
      </c>
      <c r="AB286">
        <v>583.48866085242105</v>
      </c>
      <c r="AC286">
        <v>443.75032946833102</v>
      </c>
      <c r="AD286">
        <v>543.79045364205604</v>
      </c>
      <c r="AE286">
        <v>191.30169644089099</v>
      </c>
      <c r="AF286">
        <v>605.14236495164903</v>
      </c>
      <c r="AG286">
        <v>610.48597929585799</v>
      </c>
    </row>
    <row r="287" spans="1:33" x14ac:dyDescent="0.25">
      <c r="A287" s="1">
        <v>44338</v>
      </c>
      <c r="B287">
        <v>11788.6425499202</v>
      </c>
      <c r="C287">
        <v>8142.5676940785597</v>
      </c>
      <c r="D287">
        <v>11176.657090184101</v>
      </c>
      <c r="E287">
        <v>12220.086082317601</v>
      </c>
      <c r="F287">
        <v>12704.927496444199</v>
      </c>
      <c r="G287">
        <v>12353.9251506865</v>
      </c>
      <c r="H287">
        <v>25285.247752711999</v>
      </c>
      <c r="I287">
        <v>16950.555431840701</v>
      </c>
      <c r="J287">
        <v>1383.90723505188</v>
      </c>
      <c r="K287">
        <v>1309.64528220491</v>
      </c>
      <c r="L287">
        <v>618.13022083808801</v>
      </c>
      <c r="M287">
        <v>10703.3295693241</v>
      </c>
      <c r="N287">
        <v>2398.3079454590402</v>
      </c>
      <c r="O287">
        <v>590.41049083383905</v>
      </c>
      <c r="P287">
        <v>1514.3591939473699</v>
      </c>
      <c r="Q287">
        <v>8700.4449990714602</v>
      </c>
      <c r="R287">
        <v>657.13310415454998</v>
      </c>
      <c r="S287">
        <v>237.780938002472</v>
      </c>
      <c r="T287">
        <v>229.55529750547501</v>
      </c>
      <c r="U287">
        <v>164.895942248582</v>
      </c>
      <c r="V287">
        <v>194.060327371271</v>
      </c>
      <c r="W287">
        <v>114.170366183634</v>
      </c>
      <c r="X287">
        <v>132.985637610488</v>
      </c>
      <c r="Y287">
        <v>558.36507684760204</v>
      </c>
      <c r="Z287">
        <v>153.29062698283599</v>
      </c>
      <c r="AA287">
        <v>582.50188058690196</v>
      </c>
      <c r="AB287">
        <v>603.57265809628802</v>
      </c>
      <c r="AC287">
        <v>447.53950945406899</v>
      </c>
      <c r="AD287">
        <v>538.97350379641898</v>
      </c>
      <c r="AE287">
        <v>214.260963773621</v>
      </c>
      <c r="AF287">
        <v>596.34674077812895</v>
      </c>
      <c r="AG287">
        <v>611.62206219530299</v>
      </c>
    </row>
    <row r="288" spans="1:33" x14ac:dyDescent="0.25">
      <c r="A288" s="1">
        <v>44339</v>
      </c>
      <c r="B288">
        <v>12093.357238914799</v>
      </c>
      <c r="C288">
        <v>8429.2691561502397</v>
      </c>
      <c r="D288">
        <v>10786.9476411303</v>
      </c>
      <c r="E288">
        <v>12429.5626437268</v>
      </c>
      <c r="F288">
        <v>13310.942545039899</v>
      </c>
      <c r="G288">
        <v>13092.008284301701</v>
      </c>
      <c r="H288">
        <v>26249.211429770101</v>
      </c>
      <c r="I288">
        <v>16726.057607008399</v>
      </c>
      <c r="J288">
        <v>1365.6267081499</v>
      </c>
      <c r="K288">
        <v>1358.67653851921</v>
      </c>
      <c r="L288">
        <v>644.15860398103996</v>
      </c>
      <c r="M288">
        <v>11409.071788425899</v>
      </c>
      <c r="N288">
        <v>2895.7427473262301</v>
      </c>
      <c r="O288">
        <v>617.10915390446496</v>
      </c>
      <c r="P288">
        <v>1595.1228691725601</v>
      </c>
      <c r="Q288">
        <v>9343.4831007125504</v>
      </c>
      <c r="R288">
        <v>694.41280238301999</v>
      </c>
      <c r="S288">
        <v>239.471257348872</v>
      </c>
      <c r="T288">
        <v>249.60796715650599</v>
      </c>
      <c r="U288">
        <v>164.739398117501</v>
      </c>
      <c r="V288">
        <v>220.36966528843001</v>
      </c>
      <c r="W288">
        <v>128.05558618421901</v>
      </c>
      <c r="X288">
        <v>139.18936542824201</v>
      </c>
      <c r="Y288">
        <v>575.63673751887904</v>
      </c>
      <c r="Z288">
        <v>152.43752445619199</v>
      </c>
      <c r="AA288">
        <v>580.33471580101195</v>
      </c>
      <c r="AB288">
        <v>619.40453726588498</v>
      </c>
      <c r="AC288">
        <v>437.81899067302299</v>
      </c>
      <c r="AD288">
        <v>546.84120171490702</v>
      </c>
      <c r="AE288">
        <v>203.37742806304499</v>
      </c>
      <c r="AF288">
        <v>593.74234790566902</v>
      </c>
      <c r="AG288">
        <v>611.57899905265594</v>
      </c>
    </row>
    <row r="289" spans="1:33" x14ac:dyDescent="0.25">
      <c r="A289" s="1">
        <v>44340</v>
      </c>
      <c r="B289">
        <v>12210.4095621337</v>
      </c>
      <c r="C289">
        <v>8932.4715945590106</v>
      </c>
      <c r="D289">
        <v>10221.415575475001</v>
      </c>
      <c r="E289">
        <v>12450.4750493479</v>
      </c>
      <c r="F289">
        <v>13784.2855317098</v>
      </c>
      <c r="G289">
        <v>13479.9883018615</v>
      </c>
      <c r="H289">
        <v>26182.120133164601</v>
      </c>
      <c r="I289">
        <v>16805.3262769141</v>
      </c>
      <c r="J289">
        <v>1353.1137700014101</v>
      </c>
      <c r="K289">
        <v>1394.266992608</v>
      </c>
      <c r="L289">
        <v>666.27318257830495</v>
      </c>
      <c r="M289">
        <v>11614.5473121144</v>
      </c>
      <c r="N289">
        <v>3111.7945607915699</v>
      </c>
      <c r="O289">
        <v>628.63601946327105</v>
      </c>
      <c r="P289">
        <v>1611.91544198729</v>
      </c>
      <c r="Q289">
        <v>9662.9270107445209</v>
      </c>
      <c r="R289">
        <v>710.76539473797504</v>
      </c>
      <c r="S289">
        <v>238.81242973013701</v>
      </c>
      <c r="T289">
        <v>269.55459769209199</v>
      </c>
      <c r="U289">
        <v>164.85640618709101</v>
      </c>
      <c r="V289">
        <v>243.684482864557</v>
      </c>
      <c r="W289">
        <v>128.84647782439799</v>
      </c>
      <c r="X289">
        <v>143.485173108449</v>
      </c>
      <c r="Y289">
        <v>578.60896873422098</v>
      </c>
      <c r="Z289">
        <v>150.71861145187199</v>
      </c>
      <c r="AA289">
        <v>579.45251178186004</v>
      </c>
      <c r="AB289">
        <v>623.46075046122996</v>
      </c>
      <c r="AC289">
        <v>407.73023196827597</v>
      </c>
      <c r="AD289">
        <v>557.47514631185595</v>
      </c>
      <c r="AE289">
        <v>210.336862375615</v>
      </c>
      <c r="AF289">
        <v>590.85598942913396</v>
      </c>
      <c r="AG289">
        <v>610.19667421395104</v>
      </c>
    </row>
    <row r="290" spans="1:33" x14ac:dyDescent="0.25">
      <c r="A290" s="1">
        <v>44341</v>
      </c>
      <c r="B290">
        <v>12227.8603129081</v>
      </c>
      <c r="C290">
        <v>9225.6032399080705</v>
      </c>
      <c r="D290">
        <v>9902.0352054105606</v>
      </c>
      <c r="E290">
        <v>12479.548446856101</v>
      </c>
      <c r="F290">
        <v>14245.172308458599</v>
      </c>
      <c r="G290">
        <v>13947.201272239899</v>
      </c>
      <c r="H290">
        <v>26616.1066951664</v>
      </c>
      <c r="I290">
        <v>17002.007355475998</v>
      </c>
      <c r="J290">
        <v>1363.75823745201</v>
      </c>
      <c r="K290">
        <v>1456.8940755512599</v>
      </c>
      <c r="L290">
        <v>691.29935695919698</v>
      </c>
      <c r="M290">
        <v>12292.572073429201</v>
      </c>
      <c r="N290">
        <v>3552.4588518032601</v>
      </c>
      <c r="O290">
        <v>661.45744797370605</v>
      </c>
      <c r="P290">
        <v>1687.2335254104401</v>
      </c>
      <c r="Q290">
        <v>10321.8894345892</v>
      </c>
      <c r="R290">
        <v>746.28290860220795</v>
      </c>
      <c r="S290">
        <v>236.77625496948599</v>
      </c>
      <c r="T290">
        <v>333.58355401917299</v>
      </c>
      <c r="U290">
        <v>164.318678369823</v>
      </c>
      <c r="V290">
        <v>305.15956810864799</v>
      </c>
      <c r="W290">
        <v>124.113616234567</v>
      </c>
      <c r="X290">
        <v>175.412826404577</v>
      </c>
      <c r="Y290">
        <v>593.79854173689205</v>
      </c>
      <c r="Z290">
        <v>148.38304892472701</v>
      </c>
      <c r="AA290">
        <v>581.74767913775702</v>
      </c>
      <c r="AB290">
        <v>632.83912701946804</v>
      </c>
      <c r="AC290">
        <v>389.36971655974901</v>
      </c>
      <c r="AD290">
        <v>575.83148305017301</v>
      </c>
      <c r="AE290">
        <v>228.97946827095001</v>
      </c>
      <c r="AF290">
        <v>588.71246587307803</v>
      </c>
      <c r="AG290">
        <v>607.49798813824304</v>
      </c>
    </row>
    <row r="291" spans="1:33" x14ac:dyDescent="0.25">
      <c r="A291" s="1">
        <v>44342</v>
      </c>
      <c r="B291">
        <v>12139.668111679401</v>
      </c>
      <c r="C291">
        <v>9583.4290159373795</v>
      </c>
      <c r="D291">
        <v>9886.9254416232598</v>
      </c>
      <c r="E291">
        <v>12440.147740488899</v>
      </c>
      <c r="F291">
        <v>14641.9581966489</v>
      </c>
      <c r="G291">
        <v>14264.272694215701</v>
      </c>
      <c r="H291">
        <v>26463.8193444475</v>
      </c>
      <c r="I291">
        <v>17302.293575000698</v>
      </c>
      <c r="J291">
        <v>1362.7532017635699</v>
      </c>
      <c r="K291">
        <v>1524.7486527526701</v>
      </c>
      <c r="L291">
        <v>701.43091872394302</v>
      </c>
      <c r="M291">
        <v>12424.807167200001</v>
      </c>
      <c r="N291">
        <v>3983.4318505889701</v>
      </c>
      <c r="O291">
        <v>659.69444780028505</v>
      </c>
      <c r="P291">
        <v>1818.79157466726</v>
      </c>
      <c r="Q291">
        <v>10571.328826273801</v>
      </c>
      <c r="R291">
        <v>756.46284862447601</v>
      </c>
      <c r="S291">
        <v>234.02331494605099</v>
      </c>
      <c r="T291">
        <v>384.576029062656</v>
      </c>
      <c r="U291">
        <v>164.22377883774601</v>
      </c>
      <c r="V291">
        <v>357.14949058209902</v>
      </c>
      <c r="W291">
        <v>123.981568475776</v>
      </c>
      <c r="X291">
        <v>197.75380095205901</v>
      </c>
      <c r="Y291">
        <v>598.57906928668399</v>
      </c>
      <c r="Z291">
        <v>146.10086063202499</v>
      </c>
      <c r="AA291">
        <v>584.42143923980404</v>
      </c>
      <c r="AB291">
        <v>639.89167981690196</v>
      </c>
      <c r="AC291">
        <v>377.016284055749</v>
      </c>
      <c r="AD291">
        <v>588.230011280555</v>
      </c>
      <c r="AE291">
        <v>229.033623061339</v>
      </c>
      <c r="AF291">
        <v>588.00598023579005</v>
      </c>
      <c r="AG291">
        <v>605.46906925749897</v>
      </c>
    </row>
    <row r="292" spans="1:33" x14ac:dyDescent="0.25">
      <c r="A292" s="1">
        <v>44343</v>
      </c>
      <c r="B292">
        <v>11945.6780804031</v>
      </c>
      <c r="C292">
        <v>10041.313517054899</v>
      </c>
      <c r="D292">
        <v>9978.9517572288005</v>
      </c>
      <c r="E292">
        <v>12508.5740902501</v>
      </c>
      <c r="F292">
        <v>14997.1163369809</v>
      </c>
      <c r="G292">
        <v>14950.890653251799</v>
      </c>
      <c r="H292">
        <v>27360.243265394001</v>
      </c>
      <c r="I292">
        <v>17536.348308987599</v>
      </c>
      <c r="J292">
        <v>1378.4436764244599</v>
      </c>
      <c r="K292">
        <v>1646.8426343711701</v>
      </c>
      <c r="L292">
        <v>718.41271877107704</v>
      </c>
      <c r="M292">
        <v>13148.842471046501</v>
      </c>
      <c r="N292">
        <v>4584.2619930929995</v>
      </c>
      <c r="O292">
        <v>696.70469082464103</v>
      </c>
      <c r="P292">
        <v>1983.70592627514</v>
      </c>
      <c r="Q292">
        <v>11272.8924418717</v>
      </c>
      <c r="R292">
        <v>807.84122670361103</v>
      </c>
      <c r="S292">
        <v>230.622127014282</v>
      </c>
      <c r="T292">
        <v>494.29758584761498</v>
      </c>
      <c r="U292">
        <v>163.666204948738</v>
      </c>
      <c r="V292">
        <v>452.77208879398</v>
      </c>
      <c r="W292">
        <v>124.02551061583701</v>
      </c>
      <c r="X292">
        <v>244.13488143742899</v>
      </c>
      <c r="Y292">
        <v>628.52392157273698</v>
      </c>
      <c r="Z292">
        <v>144.79959449742501</v>
      </c>
      <c r="AA292">
        <v>588.11353099017697</v>
      </c>
      <c r="AB292">
        <v>657.11305578150302</v>
      </c>
      <c r="AC292">
        <v>376.73440061653503</v>
      </c>
      <c r="AD292">
        <v>609.201572299281</v>
      </c>
      <c r="AE292">
        <v>220.982615144872</v>
      </c>
      <c r="AF292">
        <v>588.34031405739699</v>
      </c>
      <c r="AG292">
        <v>605.64473407441005</v>
      </c>
    </row>
    <row r="293" spans="1:33" x14ac:dyDescent="0.25">
      <c r="A293" s="1">
        <v>44344</v>
      </c>
      <c r="B293">
        <v>11897.805851728101</v>
      </c>
      <c r="C293">
        <v>10775.872496756099</v>
      </c>
      <c r="D293">
        <v>10098.6615653934</v>
      </c>
      <c r="E293">
        <v>12686.452563585201</v>
      </c>
      <c r="F293">
        <v>15544.563975057999</v>
      </c>
      <c r="G293">
        <v>15546.931884678301</v>
      </c>
      <c r="H293">
        <v>27590.174828066902</v>
      </c>
      <c r="I293">
        <v>17869.5784616946</v>
      </c>
      <c r="J293">
        <v>1410.4774404607001</v>
      </c>
      <c r="K293">
        <v>1788.4735113744</v>
      </c>
      <c r="L293">
        <v>747.09364823175201</v>
      </c>
      <c r="M293">
        <v>13780.620232769301</v>
      </c>
      <c r="N293">
        <v>5101.4240991727902</v>
      </c>
      <c r="O293">
        <v>740.39102929166904</v>
      </c>
      <c r="P293">
        <v>2179.8695146754599</v>
      </c>
      <c r="Q293">
        <v>11808.565913014099</v>
      </c>
      <c r="R293">
        <v>868.33142138715505</v>
      </c>
      <c r="S293">
        <v>227.35493762186999</v>
      </c>
      <c r="T293">
        <v>617.30144268958304</v>
      </c>
      <c r="U293">
        <v>162.98348568093101</v>
      </c>
      <c r="V293">
        <v>539.20857368852705</v>
      </c>
      <c r="W293">
        <v>119.55794410623599</v>
      </c>
      <c r="X293">
        <v>272.55411236834601</v>
      </c>
      <c r="Y293">
        <v>652.54482934268299</v>
      </c>
      <c r="Z293">
        <v>143.83331083658501</v>
      </c>
      <c r="AA293">
        <v>592.27560586568995</v>
      </c>
      <c r="AB293">
        <v>673.33587635575202</v>
      </c>
      <c r="AC293">
        <v>373.29871648344903</v>
      </c>
      <c r="AD293">
        <v>631.65482334725402</v>
      </c>
      <c r="AE293">
        <v>227.65904204640401</v>
      </c>
      <c r="AF293">
        <v>586.57625559103201</v>
      </c>
      <c r="AG293">
        <v>607.89871196507795</v>
      </c>
    </row>
    <row r="294" spans="1:33" x14ac:dyDescent="0.25">
      <c r="A294" s="1">
        <v>44345</v>
      </c>
      <c r="B294">
        <v>11930.2610552142</v>
      </c>
      <c r="C294">
        <v>11227.831784342001</v>
      </c>
      <c r="D294">
        <v>10154.3995782285</v>
      </c>
      <c r="E294">
        <v>12747.646950185401</v>
      </c>
      <c r="F294">
        <v>15844.3095259246</v>
      </c>
      <c r="G294">
        <v>15645.517653048601</v>
      </c>
      <c r="H294">
        <v>27762.116126285</v>
      </c>
      <c r="I294">
        <v>18130.064517751998</v>
      </c>
      <c r="J294">
        <v>1441.9026224179299</v>
      </c>
      <c r="K294">
        <v>1886.3301240726901</v>
      </c>
      <c r="L294">
        <v>764.43516553532902</v>
      </c>
      <c r="M294">
        <v>14042.4464175507</v>
      </c>
      <c r="N294">
        <v>5344.2218007169904</v>
      </c>
      <c r="O294">
        <v>761.56356647461405</v>
      </c>
      <c r="P294">
        <v>2308.55323746873</v>
      </c>
      <c r="Q294">
        <v>12049.374446104401</v>
      </c>
      <c r="R294">
        <v>900.69200035153199</v>
      </c>
      <c r="S294">
        <v>224.88883188839699</v>
      </c>
      <c r="T294">
        <v>652.80198591121405</v>
      </c>
      <c r="U294">
        <v>161.97590201900201</v>
      </c>
      <c r="V294">
        <v>581.93056250695599</v>
      </c>
      <c r="W294">
        <v>108.69654677614299</v>
      </c>
      <c r="X294">
        <v>294.82095119271298</v>
      </c>
      <c r="Y294">
        <v>659.00226368205597</v>
      </c>
      <c r="Z294">
        <v>143.62514419890499</v>
      </c>
      <c r="AA294">
        <v>595.61397195524899</v>
      </c>
      <c r="AB294">
        <v>680.72484847328599</v>
      </c>
      <c r="AC294">
        <v>366.947349819213</v>
      </c>
      <c r="AD294">
        <v>646.81314065902905</v>
      </c>
      <c r="AE294">
        <v>208.24729327987299</v>
      </c>
      <c r="AF294">
        <v>579.21635889308698</v>
      </c>
      <c r="AG294">
        <v>610.88922479537996</v>
      </c>
    </row>
    <row r="295" spans="1:33" x14ac:dyDescent="0.25">
      <c r="A295" s="1">
        <v>44346</v>
      </c>
      <c r="B295">
        <v>11928.118572200199</v>
      </c>
      <c r="C295">
        <v>11614.3105409897</v>
      </c>
      <c r="D295">
        <v>10234.951879984201</v>
      </c>
      <c r="E295">
        <v>12627.5200188201</v>
      </c>
      <c r="F295">
        <v>15925.409066853599</v>
      </c>
      <c r="G295">
        <v>15103.4544857449</v>
      </c>
      <c r="H295">
        <v>27073.872921363301</v>
      </c>
      <c r="I295">
        <v>18279.3765814486</v>
      </c>
      <c r="J295">
        <v>1454.08432595093</v>
      </c>
      <c r="K295">
        <v>1874.03399677585</v>
      </c>
      <c r="L295">
        <v>775.14683981259395</v>
      </c>
      <c r="M295">
        <v>13603.558394771</v>
      </c>
      <c r="N295">
        <v>5175.4399071486896</v>
      </c>
      <c r="O295">
        <v>753.97982930483704</v>
      </c>
      <c r="P295">
        <v>2272.3255971639501</v>
      </c>
      <c r="Q295">
        <v>11530.919186528799</v>
      </c>
      <c r="R295">
        <v>900.04649382205105</v>
      </c>
      <c r="S295">
        <v>223.50784981268799</v>
      </c>
      <c r="T295">
        <v>581.91551589692301</v>
      </c>
      <c r="U295">
        <v>161.381435031292</v>
      </c>
      <c r="V295">
        <v>509.51730960818998</v>
      </c>
      <c r="W295">
        <v>123.136401422286</v>
      </c>
      <c r="X295">
        <v>240.84727241228501</v>
      </c>
      <c r="Y295">
        <v>657.73243437358997</v>
      </c>
      <c r="Z295">
        <v>143.92228203369399</v>
      </c>
      <c r="AA295">
        <v>598.60344791616501</v>
      </c>
      <c r="AB295">
        <v>686.25032688455099</v>
      </c>
      <c r="AC295">
        <v>368.25804642990801</v>
      </c>
      <c r="AD295">
        <v>652.78123185890001</v>
      </c>
      <c r="AE295">
        <v>205.80895353337101</v>
      </c>
      <c r="AF295">
        <v>570.45575722619401</v>
      </c>
      <c r="AG295">
        <v>613.96512644214704</v>
      </c>
    </row>
    <row r="296" spans="1:33" x14ac:dyDescent="0.25">
      <c r="A296" s="1">
        <v>44347</v>
      </c>
      <c r="B296">
        <v>11873.905529731201</v>
      </c>
      <c r="C296">
        <v>11211.1693255267</v>
      </c>
      <c r="D296">
        <v>10418.1817786472</v>
      </c>
      <c r="E296">
        <v>12577.503779512201</v>
      </c>
      <c r="F296">
        <v>15765.6835753409</v>
      </c>
      <c r="G296">
        <v>15089.236542372801</v>
      </c>
      <c r="H296">
        <v>26981.452845123898</v>
      </c>
      <c r="I296">
        <v>18392.6386765311</v>
      </c>
      <c r="J296">
        <v>1466.4042724809201</v>
      </c>
      <c r="K296">
        <v>1890.36581241301</v>
      </c>
      <c r="L296">
        <v>775.308123709249</v>
      </c>
      <c r="M296">
        <v>13447.796484070401</v>
      </c>
      <c r="N296">
        <v>4842.9388090993798</v>
      </c>
      <c r="O296">
        <v>760.25005466432697</v>
      </c>
      <c r="P296">
        <v>2276.47870152734</v>
      </c>
      <c r="Q296">
        <v>11393.9909734382</v>
      </c>
      <c r="R296">
        <v>907.34767941908501</v>
      </c>
      <c r="S296">
        <v>223.094901061294</v>
      </c>
      <c r="T296">
        <v>533.02463228433101</v>
      </c>
      <c r="U296">
        <v>161.920756576955</v>
      </c>
      <c r="V296">
        <v>476.021525754283</v>
      </c>
      <c r="W296">
        <v>133.979716327766</v>
      </c>
      <c r="X296">
        <v>215.81897856753801</v>
      </c>
      <c r="Y296">
        <v>663.29510691483699</v>
      </c>
      <c r="Z296">
        <v>145.825111301748</v>
      </c>
      <c r="AA296">
        <v>601.73752237083795</v>
      </c>
      <c r="AB296">
        <v>692.00374134417098</v>
      </c>
      <c r="AC296">
        <v>379.35014762965199</v>
      </c>
      <c r="AD296">
        <v>658.32066427168195</v>
      </c>
      <c r="AE296">
        <v>203.37736625244301</v>
      </c>
      <c r="AF296">
        <v>562.390515381608</v>
      </c>
      <c r="AG296">
        <v>617.38374066465303</v>
      </c>
    </row>
    <row r="297" spans="1:33" x14ac:dyDescent="0.25">
      <c r="A297" s="1">
        <v>44348</v>
      </c>
      <c r="B297">
        <v>11873.132630362699</v>
      </c>
      <c r="C297">
        <v>10918.1141157692</v>
      </c>
      <c r="D297">
        <v>10651.799242946199</v>
      </c>
      <c r="E297">
        <v>12716.4684242157</v>
      </c>
      <c r="F297">
        <v>16137.1297572575</v>
      </c>
      <c r="G297">
        <v>16041.014110256699</v>
      </c>
      <c r="H297">
        <v>28576.5083166308</v>
      </c>
      <c r="I297">
        <v>18508.0194013621</v>
      </c>
      <c r="J297">
        <v>1501.8024186955299</v>
      </c>
      <c r="K297">
        <v>1986.79084703023</v>
      </c>
      <c r="L297">
        <v>795.12206180614396</v>
      </c>
      <c r="M297">
        <v>14181.5857190325</v>
      </c>
      <c r="N297">
        <v>5361.8392277595203</v>
      </c>
      <c r="O297">
        <v>835.82550853044097</v>
      </c>
      <c r="P297">
        <v>2384.9660868235901</v>
      </c>
      <c r="Q297">
        <v>12342.225857376099</v>
      </c>
      <c r="R297">
        <v>979.97233174332905</v>
      </c>
      <c r="S297">
        <v>223.178124787679</v>
      </c>
      <c r="T297">
        <v>597.46286039669803</v>
      </c>
      <c r="U297">
        <v>161.16526382169499</v>
      </c>
      <c r="V297">
        <v>564.18061697056805</v>
      </c>
      <c r="W297">
        <v>132.25402735362499</v>
      </c>
      <c r="X297">
        <v>266.45137082721698</v>
      </c>
      <c r="Y297">
        <v>679.88480399376397</v>
      </c>
      <c r="Z297">
        <v>148.36248571418</v>
      </c>
      <c r="AA297">
        <v>604.93231302561901</v>
      </c>
      <c r="AB297">
        <v>703.89041231230306</v>
      </c>
      <c r="AC297">
        <v>393.35427686392802</v>
      </c>
      <c r="AD297">
        <v>680.81328218646604</v>
      </c>
      <c r="AE297">
        <v>202.346400800672</v>
      </c>
      <c r="AF297">
        <v>559.49977571401496</v>
      </c>
      <c r="AG297">
        <v>621.20145929512</v>
      </c>
    </row>
    <row r="298" spans="1:33" x14ac:dyDescent="0.25">
      <c r="A298" s="1">
        <v>44349</v>
      </c>
      <c r="B298">
        <v>12013.8598386707</v>
      </c>
      <c r="C298">
        <v>10432.9188939871</v>
      </c>
      <c r="D298">
        <v>10904.029516496599</v>
      </c>
      <c r="E298">
        <v>12753.0891338611</v>
      </c>
      <c r="F298">
        <v>16450.063238009199</v>
      </c>
      <c r="G298">
        <v>15599.4966077312</v>
      </c>
      <c r="H298">
        <v>28075.184859620698</v>
      </c>
      <c r="I298">
        <v>18680.262714618999</v>
      </c>
      <c r="J298">
        <v>1525.3208367857201</v>
      </c>
      <c r="K298">
        <v>1984.8817107498201</v>
      </c>
      <c r="L298">
        <v>811.21511568689402</v>
      </c>
      <c r="M298">
        <v>13823.462602874501</v>
      </c>
      <c r="N298">
        <v>5216.62860946408</v>
      </c>
      <c r="O298">
        <v>860.60229136773899</v>
      </c>
      <c r="P298">
        <v>2334.7748015183101</v>
      </c>
      <c r="Q298">
        <v>12170.9830220071</v>
      </c>
      <c r="R298">
        <v>978.34580602177402</v>
      </c>
      <c r="S298">
        <v>225.55671268267201</v>
      </c>
      <c r="T298">
        <v>536.61562479426595</v>
      </c>
      <c r="U298">
        <v>160.039245832642</v>
      </c>
      <c r="V298">
        <v>439.68100835245201</v>
      </c>
      <c r="W298">
        <v>125.59104103573399</v>
      </c>
      <c r="X298">
        <v>204.772627084573</v>
      </c>
      <c r="Y298">
        <v>676.88021605570304</v>
      </c>
      <c r="Z298">
        <v>149.209744873728</v>
      </c>
      <c r="AA298">
        <v>605.98234176141602</v>
      </c>
      <c r="AB298">
        <v>709.62137969751404</v>
      </c>
      <c r="AC298">
        <v>411.01693437357602</v>
      </c>
      <c r="AD298">
        <v>683.04775230461905</v>
      </c>
      <c r="AE298">
        <v>192.841939231579</v>
      </c>
      <c r="AF298">
        <v>550.29412523361998</v>
      </c>
      <c r="AG298">
        <v>623.34817988491795</v>
      </c>
    </row>
    <row r="299" spans="1:33" x14ac:dyDescent="0.25">
      <c r="A299" s="1">
        <v>44350</v>
      </c>
      <c r="B299">
        <v>12302.2082634583</v>
      </c>
      <c r="C299">
        <v>10766.230251709099</v>
      </c>
      <c r="D299">
        <v>11195.3924507213</v>
      </c>
      <c r="E299">
        <v>12987.784927528501</v>
      </c>
      <c r="F299">
        <v>15985.812774915699</v>
      </c>
      <c r="G299">
        <v>15245.4187710559</v>
      </c>
      <c r="H299">
        <v>27230.8366082211</v>
      </c>
      <c r="I299">
        <v>18863.3392650969</v>
      </c>
      <c r="J299">
        <v>1538.8285942018599</v>
      </c>
      <c r="K299">
        <v>1969.6449069691</v>
      </c>
      <c r="L299">
        <v>813.55610972555303</v>
      </c>
      <c r="M299">
        <v>13569.8027777795</v>
      </c>
      <c r="N299">
        <v>4808.7162280976499</v>
      </c>
      <c r="O299">
        <v>855.17764549913295</v>
      </c>
      <c r="P299">
        <v>2310.00325644436</v>
      </c>
      <c r="Q299">
        <v>11727.4093594642</v>
      </c>
      <c r="R299">
        <v>964.20638187769396</v>
      </c>
      <c r="S299">
        <v>228.87886946043301</v>
      </c>
      <c r="T299">
        <v>465.10932667362698</v>
      </c>
      <c r="U299">
        <v>160.12746314673299</v>
      </c>
      <c r="V299">
        <v>368.39375560065702</v>
      </c>
      <c r="W299">
        <v>127.64060524647</v>
      </c>
      <c r="X299">
        <v>206.33825237981401</v>
      </c>
      <c r="Y299">
        <v>673.15005089865303</v>
      </c>
      <c r="Z299">
        <v>150.25692981503499</v>
      </c>
      <c r="AA299">
        <v>606.55376220375297</v>
      </c>
      <c r="AB299">
        <v>712.53593763927199</v>
      </c>
      <c r="AC299">
        <v>420.760978368964</v>
      </c>
      <c r="AD299">
        <v>683.834271327186</v>
      </c>
      <c r="AE299">
        <v>176.053975033304</v>
      </c>
      <c r="AF299">
        <v>533.98452457274504</v>
      </c>
      <c r="AG299">
        <v>622.52872820931998</v>
      </c>
    </row>
    <row r="300" spans="1:33" x14ac:dyDescent="0.25">
      <c r="A300" s="1">
        <v>44351</v>
      </c>
      <c r="B300">
        <v>12743.706334726399</v>
      </c>
      <c r="C300">
        <v>10975.752751264399</v>
      </c>
      <c r="D300">
        <v>11533.430834594699</v>
      </c>
      <c r="E300">
        <v>13331.6833669349</v>
      </c>
      <c r="F300">
        <v>15831.285615303201</v>
      </c>
      <c r="G300">
        <v>15496.761492052599</v>
      </c>
      <c r="H300">
        <v>27501.387495091301</v>
      </c>
      <c r="I300">
        <v>18984.264245267001</v>
      </c>
      <c r="J300">
        <v>1572.7467990212001</v>
      </c>
      <c r="K300">
        <v>1997.3231108856201</v>
      </c>
      <c r="L300">
        <v>826.51410777963997</v>
      </c>
      <c r="M300">
        <v>13822.933349614301</v>
      </c>
      <c r="N300">
        <v>4830.0886819856796</v>
      </c>
      <c r="O300">
        <v>891.25912702160497</v>
      </c>
      <c r="P300">
        <v>2319.7964780357001</v>
      </c>
      <c r="Q300">
        <v>11814.6379480575</v>
      </c>
      <c r="R300">
        <v>997.77465252394995</v>
      </c>
      <c r="S300">
        <v>232.06260941709701</v>
      </c>
      <c r="T300">
        <v>466.35332880870197</v>
      </c>
      <c r="U300">
        <v>143.46895775191501</v>
      </c>
      <c r="V300">
        <v>442.59202108605098</v>
      </c>
      <c r="W300">
        <v>128.632393342341</v>
      </c>
      <c r="X300">
        <v>235.80011476864701</v>
      </c>
      <c r="Y300">
        <v>682.94179751577497</v>
      </c>
      <c r="Z300">
        <v>151.60824533112699</v>
      </c>
      <c r="AA300">
        <v>607.86607793226699</v>
      </c>
      <c r="AB300">
        <v>723.05962883520999</v>
      </c>
      <c r="AC300">
        <v>412.675788308714</v>
      </c>
      <c r="AD300">
        <v>699.47910464382301</v>
      </c>
      <c r="AE300">
        <v>155.88767503508299</v>
      </c>
      <c r="AF300">
        <v>520.33062067261505</v>
      </c>
      <c r="AG300">
        <v>620.65282574388596</v>
      </c>
    </row>
    <row r="301" spans="1:33" x14ac:dyDescent="0.25">
      <c r="A301" s="1">
        <v>44352</v>
      </c>
      <c r="B301">
        <v>13241.8996476174</v>
      </c>
      <c r="C301">
        <v>11203.077161551701</v>
      </c>
      <c r="D301">
        <v>11879.2312807997</v>
      </c>
      <c r="E301">
        <v>13716.941388319799</v>
      </c>
      <c r="F301">
        <v>15984.696283278199</v>
      </c>
      <c r="G301">
        <v>15623.204027473201</v>
      </c>
      <c r="H301">
        <v>27417.648484170299</v>
      </c>
      <c r="I301">
        <v>19087.933808321199</v>
      </c>
      <c r="J301">
        <v>1602.50064401585</v>
      </c>
      <c r="K301">
        <v>2005.68510603871</v>
      </c>
      <c r="L301">
        <v>838.74386390793495</v>
      </c>
      <c r="M301">
        <v>13804.4015973553</v>
      </c>
      <c r="N301">
        <v>5037.9343946765302</v>
      </c>
      <c r="O301">
        <v>889.94533122251505</v>
      </c>
      <c r="P301">
        <v>2362.5195510547801</v>
      </c>
      <c r="Q301">
        <v>11866.402882808799</v>
      </c>
      <c r="R301">
        <v>1014.90832374082</v>
      </c>
      <c r="S301">
        <v>236.01744780968701</v>
      </c>
      <c r="T301">
        <v>504.871399647077</v>
      </c>
      <c r="U301">
        <v>129.32349690053499</v>
      </c>
      <c r="V301">
        <v>499.54490890440701</v>
      </c>
      <c r="W301">
        <v>129.35816341278399</v>
      </c>
      <c r="X301">
        <v>264.19619172439599</v>
      </c>
      <c r="Y301">
        <v>691.52935115759306</v>
      </c>
      <c r="Z301">
        <v>151.807764025669</v>
      </c>
      <c r="AA301">
        <v>609.290130145837</v>
      </c>
      <c r="AB301">
        <v>737.42130673288102</v>
      </c>
      <c r="AC301">
        <v>394.88079274202698</v>
      </c>
      <c r="AD301">
        <v>705.91581235465299</v>
      </c>
      <c r="AE301">
        <v>163.635375183782</v>
      </c>
      <c r="AF301">
        <v>504.40765127722398</v>
      </c>
      <c r="AG301">
        <v>619.65626623919297</v>
      </c>
    </row>
    <row r="302" spans="1:33" x14ac:dyDescent="0.25">
      <c r="A302" s="1">
        <v>44353</v>
      </c>
      <c r="B302">
        <v>13576.0216132204</v>
      </c>
      <c r="C302">
        <v>11439.845439369699</v>
      </c>
      <c r="D302">
        <v>12271.407123249801</v>
      </c>
      <c r="E302">
        <v>14121.482629489199</v>
      </c>
      <c r="F302">
        <v>16120.800886806899</v>
      </c>
      <c r="G302">
        <v>15730.9765071646</v>
      </c>
      <c r="H302">
        <v>28092.464598795199</v>
      </c>
      <c r="I302">
        <v>19225.7697221622</v>
      </c>
      <c r="J302">
        <v>1644.1014693023601</v>
      </c>
      <c r="K302">
        <v>2042.0147107914399</v>
      </c>
      <c r="L302">
        <v>837.49301575589004</v>
      </c>
      <c r="M302">
        <v>14081.773098371101</v>
      </c>
      <c r="N302">
        <v>5372.3969051143104</v>
      </c>
      <c r="O302">
        <v>898.66802601899496</v>
      </c>
      <c r="P302">
        <v>2383.1686285533801</v>
      </c>
      <c r="Q302">
        <v>12222.09516189</v>
      </c>
      <c r="R302">
        <v>1045.95735518538</v>
      </c>
      <c r="S302">
        <v>238.90782792488099</v>
      </c>
      <c r="T302">
        <v>555.659702572941</v>
      </c>
      <c r="U302">
        <v>128.997622935566</v>
      </c>
      <c r="V302">
        <v>596.62982725456004</v>
      </c>
      <c r="W302">
        <v>133.089153366678</v>
      </c>
      <c r="X302">
        <v>315.51181406690699</v>
      </c>
      <c r="Y302">
        <v>701.14059037820505</v>
      </c>
      <c r="Z302">
        <v>152.48403363651599</v>
      </c>
      <c r="AA302">
        <v>610.89240939291096</v>
      </c>
      <c r="AB302">
        <v>734.89285528846494</v>
      </c>
      <c r="AC302">
        <v>366.89094200158002</v>
      </c>
      <c r="AD302">
        <v>710.53095840891297</v>
      </c>
      <c r="AE302">
        <v>176.80141391223501</v>
      </c>
      <c r="AF302">
        <v>489.84411268582301</v>
      </c>
      <c r="AG302">
        <v>619.75406927615904</v>
      </c>
    </row>
    <row r="303" spans="1:33" x14ac:dyDescent="0.25">
      <c r="A303" s="1">
        <v>44354</v>
      </c>
      <c r="B303">
        <v>13751.621170693499</v>
      </c>
      <c r="C303">
        <v>11830.829673554401</v>
      </c>
      <c r="D303">
        <v>12586.4574962148</v>
      </c>
      <c r="E303">
        <v>14560.121622188</v>
      </c>
      <c r="F303">
        <v>16680.7009513064</v>
      </c>
      <c r="G303">
        <v>15934.9433331584</v>
      </c>
      <c r="H303">
        <v>29092.375432361801</v>
      </c>
      <c r="I303">
        <v>19369.041986829099</v>
      </c>
      <c r="J303">
        <v>1733.3252128474601</v>
      </c>
      <c r="K303">
        <v>2150.7105113033099</v>
      </c>
      <c r="L303">
        <v>884.019030090402</v>
      </c>
      <c r="M303">
        <v>14654.1123103912</v>
      </c>
      <c r="N303">
        <v>6136.6511518470797</v>
      </c>
      <c r="O303">
        <v>966.88141022833997</v>
      </c>
      <c r="P303">
        <v>2538.9254758662601</v>
      </c>
      <c r="Q303">
        <v>12770.115494080301</v>
      </c>
      <c r="R303">
        <v>1146.4092682087901</v>
      </c>
      <c r="S303">
        <v>244.635410814918</v>
      </c>
      <c r="T303">
        <v>723.10733236299097</v>
      </c>
      <c r="U303">
        <v>132.694764204557</v>
      </c>
      <c r="V303">
        <v>678.95207633251005</v>
      </c>
      <c r="W303">
        <v>132.723784772941</v>
      </c>
      <c r="X303">
        <v>336.24106513886397</v>
      </c>
      <c r="Y303">
        <v>707.13024842713799</v>
      </c>
      <c r="Z303">
        <v>153.77775281344199</v>
      </c>
      <c r="AA303">
        <v>613.62983280231504</v>
      </c>
      <c r="AB303">
        <v>740.79734534724196</v>
      </c>
      <c r="AC303">
        <v>331.72391217856602</v>
      </c>
      <c r="AD303">
        <v>732.79574127481897</v>
      </c>
      <c r="AE303">
        <v>164.68237638749099</v>
      </c>
      <c r="AF303">
        <v>481.27435181466097</v>
      </c>
      <c r="AG303">
        <v>621.89627251168599</v>
      </c>
    </row>
    <row r="304" spans="1:33" x14ac:dyDescent="0.25">
      <c r="A304" s="1">
        <v>44355</v>
      </c>
      <c r="B304">
        <v>13974.3290048854</v>
      </c>
      <c r="C304">
        <v>12479.171465810799</v>
      </c>
      <c r="D304">
        <v>12646.1913510379</v>
      </c>
      <c r="E304">
        <v>14919.537403680701</v>
      </c>
      <c r="F304">
        <v>17176.410296173599</v>
      </c>
      <c r="G304">
        <v>15983.6376052781</v>
      </c>
      <c r="H304">
        <v>28899.102987110498</v>
      </c>
      <c r="I304">
        <v>19606.127895131202</v>
      </c>
      <c r="J304">
        <v>1849.5790312776701</v>
      </c>
      <c r="K304">
        <v>2221.13018622657</v>
      </c>
      <c r="L304">
        <v>935.52162891302396</v>
      </c>
      <c r="M304">
        <v>14681.2085115188</v>
      </c>
      <c r="N304">
        <v>6160.9541030930304</v>
      </c>
      <c r="O304">
        <v>1008.99373491943</v>
      </c>
      <c r="P304">
        <v>2645.0063249576401</v>
      </c>
      <c r="Q304">
        <v>12801.7010057357</v>
      </c>
      <c r="R304">
        <v>1168.34405453504</v>
      </c>
      <c r="S304">
        <v>249.90178879002801</v>
      </c>
      <c r="T304">
        <v>801.77173612921194</v>
      </c>
      <c r="U304">
        <v>134.19211605664299</v>
      </c>
      <c r="V304">
        <v>613.51906745803205</v>
      </c>
      <c r="W304">
        <v>134.36939661929901</v>
      </c>
      <c r="X304">
        <v>284.37147888257698</v>
      </c>
      <c r="Y304">
        <v>701.446418425209</v>
      </c>
      <c r="Z304">
        <v>153.687254359348</v>
      </c>
      <c r="AA304">
        <v>617.30376304307595</v>
      </c>
      <c r="AB304">
        <v>744.51049099145098</v>
      </c>
      <c r="AC304">
        <v>297.44391113575898</v>
      </c>
      <c r="AD304">
        <v>751.82658137798103</v>
      </c>
      <c r="AE304">
        <v>158.267929727482</v>
      </c>
      <c r="AF304">
        <v>474.33539620450898</v>
      </c>
      <c r="AG304">
        <v>625.63607953828296</v>
      </c>
    </row>
    <row r="305" spans="1:33" x14ac:dyDescent="0.25">
      <c r="A305" s="1">
        <v>44356</v>
      </c>
      <c r="B305">
        <v>14174.1851998692</v>
      </c>
      <c r="C305">
        <v>12991.4743482708</v>
      </c>
      <c r="D305">
        <v>12720.894247849001</v>
      </c>
      <c r="E305">
        <v>15086.503860524301</v>
      </c>
      <c r="F305">
        <v>16946.935509995299</v>
      </c>
      <c r="G305">
        <v>15186.390931478199</v>
      </c>
      <c r="H305">
        <v>28333.0547136077</v>
      </c>
      <c r="I305">
        <v>19715.1988683688</v>
      </c>
      <c r="J305">
        <v>1886.97747889942</v>
      </c>
      <c r="K305">
        <v>2178.8721281338699</v>
      </c>
      <c r="L305">
        <v>938.60805635862596</v>
      </c>
      <c r="M305">
        <v>13893.764269715</v>
      </c>
      <c r="N305">
        <v>5681.6422338396997</v>
      </c>
      <c r="O305">
        <v>969.75427255738998</v>
      </c>
      <c r="P305">
        <v>2587.2074550202601</v>
      </c>
      <c r="Q305">
        <v>12194.1754222035</v>
      </c>
      <c r="R305">
        <v>1131.90754865132</v>
      </c>
      <c r="S305">
        <v>254.612536853373</v>
      </c>
      <c r="T305">
        <v>646.88171019373704</v>
      </c>
      <c r="U305">
        <v>134.88602242053901</v>
      </c>
      <c r="V305">
        <v>518.78792121153299</v>
      </c>
      <c r="W305">
        <v>128.287640956964</v>
      </c>
      <c r="X305">
        <v>222.55050813394499</v>
      </c>
      <c r="Y305">
        <v>688.90107238326004</v>
      </c>
      <c r="Z305">
        <v>152.84232553902899</v>
      </c>
      <c r="AA305">
        <v>620.63379862683405</v>
      </c>
      <c r="AB305">
        <v>736.23496754197095</v>
      </c>
      <c r="AC305">
        <v>284.83871879059097</v>
      </c>
      <c r="AD305">
        <v>758.737569125964</v>
      </c>
      <c r="AE305">
        <v>103.695562846608</v>
      </c>
      <c r="AF305">
        <v>465.03032452559597</v>
      </c>
      <c r="AG305">
        <v>631.04768173551099</v>
      </c>
    </row>
    <row r="306" spans="1:33" x14ac:dyDescent="0.25">
      <c r="A306" s="1">
        <v>44357</v>
      </c>
      <c r="B306">
        <v>14324.645335385399</v>
      </c>
      <c r="C306">
        <v>13368.6774407541</v>
      </c>
      <c r="D306">
        <v>12866.6830995615</v>
      </c>
      <c r="E306">
        <v>15352.401054997001</v>
      </c>
      <c r="F306">
        <v>16457.098878564499</v>
      </c>
      <c r="G306">
        <v>14917.1209609911</v>
      </c>
      <c r="H306">
        <v>27808.475178243301</v>
      </c>
      <c r="I306">
        <v>19753.988487206399</v>
      </c>
      <c r="J306">
        <v>1915.44245297829</v>
      </c>
      <c r="K306">
        <v>2183.9986084247598</v>
      </c>
      <c r="L306">
        <v>952.91867574403295</v>
      </c>
      <c r="M306">
        <v>13574.5147016462</v>
      </c>
      <c r="N306">
        <v>5474.8721675799798</v>
      </c>
      <c r="O306">
        <v>969.34935233143995</v>
      </c>
      <c r="P306">
        <v>2588.3719042467801</v>
      </c>
      <c r="Q306">
        <v>11792.909317469601</v>
      </c>
      <c r="R306">
        <v>1141.84998277201</v>
      </c>
      <c r="S306">
        <v>259.93806146415301</v>
      </c>
      <c r="T306">
        <v>642.72053271528102</v>
      </c>
      <c r="U306">
        <v>135.56665647584299</v>
      </c>
      <c r="V306">
        <v>522.78186095242097</v>
      </c>
      <c r="W306">
        <v>127.029011814471</v>
      </c>
      <c r="X306">
        <v>230.367053359609</v>
      </c>
      <c r="Y306">
        <v>653.55215322330105</v>
      </c>
      <c r="Z306">
        <v>152.30467719750001</v>
      </c>
      <c r="AA306">
        <v>624.16070863659399</v>
      </c>
      <c r="AB306">
        <v>720.91792163322896</v>
      </c>
      <c r="AC306">
        <v>296.46513723506001</v>
      </c>
      <c r="AD306">
        <v>775.05879584608294</v>
      </c>
      <c r="AE306">
        <v>102.35108830622001</v>
      </c>
      <c r="AF306">
        <v>459.75901693413999</v>
      </c>
      <c r="AG306">
        <v>640.35846311669104</v>
      </c>
    </row>
    <row r="307" spans="1:33" x14ac:dyDescent="0.25">
      <c r="A307" s="1">
        <v>44358</v>
      </c>
      <c r="B307">
        <v>14505.5469710829</v>
      </c>
      <c r="C307">
        <v>13502.676074909999</v>
      </c>
      <c r="D307">
        <v>13136.253690792801</v>
      </c>
      <c r="E307">
        <v>15516.421120478801</v>
      </c>
      <c r="F307">
        <v>16223.482522582201</v>
      </c>
      <c r="G307">
        <v>15159.091836912099</v>
      </c>
      <c r="H307">
        <v>27784.584847640199</v>
      </c>
      <c r="I307">
        <v>19658.7139594484</v>
      </c>
      <c r="J307">
        <v>1928.31313599024</v>
      </c>
      <c r="K307">
        <v>2205.2233667986902</v>
      </c>
      <c r="L307">
        <v>965.50938401489304</v>
      </c>
      <c r="M307">
        <v>13705.0825098764</v>
      </c>
      <c r="N307">
        <v>5403.6250800824</v>
      </c>
      <c r="O307">
        <v>993.71332643853498</v>
      </c>
      <c r="P307">
        <v>2605.74405856062</v>
      </c>
      <c r="Q307">
        <v>11822.686414823</v>
      </c>
      <c r="R307">
        <v>1184.6386508588801</v>
      </c>
      <c r="S307">
        <v>265.96123350535697</v>
      </c>
      <c r="T307">
        <v>640.92660631832496</v>
      </c>
      <c r="U307">
        <v>136.05050153823399</v>
      </c>
      <c r="V307">
        <v>556.55336880731795</v>
      </c>
      <c r="W307">
        <v>125.46961216330099</v>
      </c>
      <c r="X307">
        <v>251.835051104813</v>
      </c>
      <c r="Y307">
        <v>632.85397794619098</v>
      </c>
      <c r="Z307">
        <v>153.039009237268</v>
      </c>
      <c r="AA307">
        <v>627.46797186895105</v>
      </c>
      <c r="AB307">
        <v>711.83139250671104</v>
      </c>
      <c r="AC307">
        <v>300.79810885839299</v>
      </c>
      <c r="AD307">
        <v>798.02402773635094</v>
      </c>
      <c r="AE307">
        <v>102.35078961480301</v>
      </c>
      <c r="AF307">
        <v>451.391840472571</v>
      </c>
      <c r="AG307">
        <v>650.14919172651503</v>
      </c>
    </row>
    <row r="308" spans="1:33" x14ac:dyDescent="0.25">
      <c r="A308" s="1">
        <v>44359</v>
      </c>
      <c r="B308">
        <v>14693.846278565499</v>
      </c>
      <c r="C308">
        <v>13402.1344010834</v>
      </c>
      <c r="D308">
        <v>13415.481381760001</v>
      </c>
      <c r="E308">
        <v>15775.7169763323</v>
      </c>
      <c r="F308">
        <v>16221.4968447014</v>
      </c>
      <c r="G308">
        <v>15274.770314334501</v>
      </c>
      <c r="H308">
        <v>27795.3989944963</v>
      </c>
      <c r="I308">
        <v>19554.177465438399</v>
      </c>
      <c r="J308">
        <v>1932.4644731334299</v>
      </c>
      <c r="K308">
        <v>2223.2256533992499</v>
      </c>
      <c r="L308">
        <v>982.34061802289</v>
      </c>
      <c r="M308">
        <v>13768.289925405999</v>
      </c>
      <c r="N308">
        <v>5539.2439015543196</v>
      </c>
      <c r="O308">
        <v>1027.3343375137199</v>
      </c>
      <c r="P308">
        <v>2634.5929569404102</v>
      </c>
      <c r="Q308">
        <v>11876.804133927701</v>
      </c>
      <c r="R308">
        <v>1228.22242659222</v>
      </c>
      <c r="S308">
        <v>271.52964026454299</v>
      </c>
      <c r="T308">
        <v>670.360591547578</v>
      </c>
      <c r="U308">
        <v>136.444263673389</v>
      </c>
      <c r="V308">
        <v>590.98282529815901</v>
      </c>
      <c r="W308">
        <v>124.248445155829</v>
      </c>
      <c r="X308">
        <v>268.73754488200802</v>
      </c>
      <c r="Y308">
        <v>614.65537276151997</v>
      </c>
      <c r="Z308">
        <v>154.508310738228</v>
      </c>
      <c r="AA308">
        <v>630.89764820338303</v>
      </c>
      <c r="AB308">
        <v>693.43387802125096</v>
      </c>
      <c r="AC308">
        <v>303.99666766604298</v>
      </c>
      <c r="AD308">
        <v>816.61427101620302</v>
      </c>
      <c r="AE308">
        <v>102.349713695148</v>
      </c>
      <c r="AF308">
        <v>435.969797512838</v>
      </c>
      <c r="AG308">
        <v>657.73084339485104</v>
      </c>
    </row>
    <row r="309" spans="1:33" x14ac:dyDescent="0.25">
      <c r="A309" s="1">
        <v>44360</v>
      </c>
      <c r="B309">
        <v>14960.1643687984</v>
      </c>
      <c r="C309">
        <v>13306.001033447599</v>
      </c>
      <c r="D309">
        <v>13739.8408317137</v>
      </c>
      <c r="E309">
        <v>16019.507046340999</v>
      </c>
      <c r="F309">
        <v>16373.6405021998</v>
      </c>
      <c r="G309">
        <v>15767.253688512799</v>
      </c>
      <c r="H309">
        <v>28280.755002518399</v>
      </c>
      <c r="I309">
        <v>19495.550009031002</v>
      </c>
      <c r="J309">
        <v>1941.4134184666</v>
      </c>
      <c r="K309">
        <v>2270.3532737293699</v>
      </c>
      <c r="L309">
        <v>1022.70151822396</v>
      </c>
      <c r="M309">
        <v>14245.093771334599</v>
      </c>
      <c r="N309">
        <v>5948.7370830394602</v>
      </c>
      <c r="O309">
        <v>1101.9702651058601</v>
      </c>
      <c r="P309">
        <v>2746.1801402001502</v>
      </c>
      <c r="Q309">
        <v>12364.166845968201</v>
      </c>
      <c r="R309">
        <v>1314.50343414085</v>
      </c>
      <c r="S309">
        <v>277.13355902367698</v>
      </c>
      <c r="T309">
        <v>764.06859845263295</v>
      </c>
      <c r="U309">
        <v>137.048020963277</v>
      </c>
      <c r="V309">
        <v>667.96409857354797</v>
      </c>
      <c r="W309">
        <v>124.421663918058</v>
      </c>
      <c r="X309">
        <v>318.16375462224698</v>
      </c>
      <c r="Y309">
        <v>611.34849688627605</v>
      </c>
      <c r="Z309">
        <v>157.39743603029501</v>
      </c>
      <c r="AA309">
        <v>633.97419340060696</v>
      </c>
      <c r="AB309">
        <v>690.82937498886895</v>
      </c>
      <c r="AC309">
        <v>313.23469929165202</v>
      </c>
      <c r="AD309">
        <v>853.235638938242</v>
      </c>
      <c r="AE309">
        <v>102.350099787316</v>
      </c>
      <c r="AF309">
        <v>419.25544191768898</v>
      </c>
      <c r="AG309">
        <v>663.50827328582</v>
      </c>
    </row>
    <row r="310" spans="1:33" x14ac:dyDescent="0.25">
      <c r="A310" s="1">
        <v>44361</v>
      </c>
      <c r="B310">
        <v>15100.190618295699</v>
      </c>
      <c r="C310">
        <v>13242.442702783799</v>
      </c>
      <c r="D310">
        <v>13742.6602188252</v>
      </c>
      <c r="E310">
        <v>15984.3588196991</v>
      </c>
      <c r="F310">
        <v>16181.7586115678</v>
      </c>
      <c r="G310">
        <v>15219.477060063</v>
      </c>
      <c r="H310">
        <v>27844.347980960902</v>
      </c>
      <c r="I310">
        <v>19481.8077488335</v>
      </c>
      <c r="J310">
        <v>1947.6669431648199</v>
      </c>
      <c r="K310">
        <v>2207.8220577455199</v>
      </c>
      <c r="L310">
        <v>1030.1721499119101</v>
      </c>
      <c r="M310">
        <v>13717.207785733601</v>
      </c>
      <c r="N310">
        <v>5447.2014085401397</v>
      </c>
      <c r="O310">
        <v>1065.5542973966001</v>
      </c>
      <c r="P310">
        <v>2617.0206312976702</v>
      </c>
      <c r="Q310">
        <v>11842.102050412999</v>
      </c>
      <c r="R310">
        <v>1268.93268213089</v>
      </c>
      <c r="S310">
        <v>280.69622813692598</v>
      </c>
      <c r="T310">
        <v>668.042545866301</v>
      </c>
      <c r="U310">
        <v>137.44578829965499</v>
      </c>
      <c r="V310">
        <v>546.15768199615297</v>
      </c>
      <c r="W310">
        <v>123.814656035071</v>
      </c>
      <c r="X310">
        <v>217.61295130689999</v>
      </c>
      <c r="Y310">
        <v>583.08080400996198</v>
      </c>
      <c r="Z310">
        <v>158.32212612337901</v>
      </c>
      <c r="AA310">
        <v>638.00250096366597</v>
      </c>
      <c r="AB310">
        <v>669.06864978557996</v>
      </c>
      <c r="AC310">
        <v>329.54128305129097</v>
      </c>
      <c r="AD310">
        <v>849.24108025112002</v>
      </c>
      <c r="AE310">
        <v>102.350799860078</v>
      </c>
      <c r="AF310">
        <v>398.015331583435</v>
      </c>
      <c r="AG310">
        <v>667.97310388388098</v>
      </c>
    </row>
    <row r="311" spans="1:33" x14ac:dyDescent="0.25">
      <c r="A311" s="1">
        <v>44362</v>
      </c>
      <c r="B311">
        <v>15166.3086601262</v>
      </c>
      <c r="C311">
        <v>13178.623897354901</v>
      </c>
      <c r="D311">
        <v>13603.5396596025</v>
      </c>
      <c r="E311">
        <v>15949.815615829901</v>
      </c>
      <c r="F311">
        <v>15610.349870202899</v>
      </c>
      <c r="G311">
        <v>14556.610047853599</v>
      </c>
      <c r="H311">
        <v>27186.738792573102</v>
      </c>
      <c r="I311">
        <v>19497.659355721</v>
      </c>
      <c r="J311">
        <v>1960.0745704659701</v>
      </c>
      <c r="K311">
        <v>2095.5465309717601</v>
      </c>
      <c r="L311">
        <v>1028.43531880664</v>
      </c>
      <c r="M311">
        <v>13133.8844102966</v>
      </c>
      <c r="N311">
        <v>5031.9532307754198</v>
      </c>
      <c r="O311">
        <v>1027.6392107535501</v>
      </c>
      <c r="P311">
        <v>2460.6953866364101</v>
      </c>
      <c r="Q311">
        <v>11226.938513892101</v>
      </c>
      <c r="R311">
        <v>1229.00891410433</v>
      </c>
      <c r="S311">
        <v>285.63694977561499</v>
      </c>
      <c r="T311">
        <v>589.40620743971795</v>
      </c>
      <c r="U311">
        <v>137.88303373629199</v>
      </c>
      <c r="V311">
        <v>449.99734088130401</v>
      </c>
      <c r="W311">
        <v>123.18322789984001</v>
      </c>
      <c r="X311">
        <v>181.21271233688199</v>
      </c>
      <c r="Y311">
        <v>548.08578464165703</v>
      </c>
      <c r="Z311">
        <v>161.41708590653201</v>
      </c>
      <c r="AA311">
        <v>642.12630786914497</v>
      </c>
      <c r="AB311">
        <v>639.20153658961499</v>
      </c>
      <c r="AC311">
        <v>338.60400124780199</v>
      </c>
      <c r="AD311">
        <v>843.43043242060799</v>
      </c>
      <c r="AE311">
        <v>89.923434466865501</v>
      </c>
      <c r="AF311">
        <v>383.49034772682501</v>
      </c>
      <c r="AG311">
        <v>672.37701885240006</v>
      </c>
    </row>
    <row r="312" spans="1:33" x14ac:dyDescent="0.25">
      <c r="A312" s="1">
        <v>44363</v>
      </c>
      <c r="B312">
        <v>15216.9366571667</v>
      </c>
      <c r="C312">
        <v>13010.893331982399</v>
      </c>
      <c r="D312">
        <v>13596.963979333599</v>
      </c>
      <c r="E312">
        <v>15762.7396038518</v>
      </c>
      <c r="F312">
        <v>14940.8287589828</v>
      </c>
      <c r="G312">
        <v>13852.3937316878</v>
      </c>
      <c r="H312">
        <v>26242.302223528299</v>
      </c>
      <c r="I312">
        <v>19217.313121265499</v>
      </c>
      <c r="J312">
        <v>1925.2484907057001</v>
      </c>
      <c r="K312">
        <v>1939.5386646157799</v>
      </c>
      <c r="L312">
        <v>997.84612309072895</v>
      </c>
      <c r="M312">
        <v>12344.261917121799</v>
      </c>
      <c r="N312">
        <v>4180.5315655098502</v>
      </c>
      <c r="O312">
        <v>973.76375906742101</v>
      </c>
      <c r="P312">
        <v>2304.2639038562502</v>
      </c>
      <c r="Q312">
        <v>10359.373484239701</v>
      </c>
      <c r="R312">
        <v>1148.02276183751</v>
      </c>
      <c r="S312">
        <v>288.89356794299999</v>
      </c>
      <c r="T312">
        <v>455.835662509484</v>
      </c>
      <c r="U312">
        <v>132.089249077353</v>
      </c>
      <c r="V312">
        <v>344.36640258695502</v>
      </c>
      <c r="W312">
        <v>119.18558102382799</v>
      </c>
      <c r="X312">
        <v>168.852180766825</v>
      </c>
      <c r="Y312">
        <v>507.90507664545299</v>
      </c>
      <c r="Z312">
        <v>163.60950551626399</v>
      </c>
      <c r="AA312">
        <v>645.09289434373204</v>
      </c>
      <c r="AB312">
        <v>639.71558251632496</v>
      </c>
      <c r="AC312">
        <v>334.47363850120701</v>
      </c>
      <c r="AD312">
        <v>821.34255840216997</v>
      </c>
      <c r="AE312">
        <v>84.349928509438598</v>
      </c>
      <c r="AF312">
        <v>372.537768251785</v>
      </c>
      <c r="AG312">
        <v>676.64767968554304</v>
      </c>
    </row>
    <row r="313" spans="1:33" x14ac:dyDescent="0.25">
      <c r="A313" s="1">
        <v>44364</v>
      </c>
      <c r="B313">
        <v>15347.813778856</v>
      </c>
      <c r="C313">
        <v>12738.597947153799</v>
      </c>
      <c r="D313">
        <v>13950.139234829099</v>
      </c>
      <c r="E313">
        <v>15876.376231811801</v>
      </c>
      <c r="F313">
        <v>14769.808813576599</v>
      </c>
      <c r="G313">
        <v>14481.7465684254</v>
      </c>
      <c r="H313">
        <v>27262.541723566501</v>
      </c>
      <c r="I313">
        <v>18896.3270645911</v>
      </c>
      <c r="J313">
        <v>1913.9862488306201</v>
      </c>
      <c r="K313">
        <v>1900.32918655104</v>
      </c>
      <c r="L313">
        <v>1001.2367788924701</v>
      </c>
      <c r="M313">
        <v>12658.1354549305</v>
      </c>
      <c r="N313">
        <v>4284.4421873900301</v>
      </c>
      <c r="O313">
        <v>955.52977210356903</v>
      </c>
      <c r="P313">
        <v>2293.0677070735101</v>
      </c>
      <c r="Q313">
        <v>10745.7360548002</v>
      </c>
      <c r="R313">
        <v>1144.9819234331201</v>
      </c>
      <c r="S313">
        <v>293.54083755156699</v>
      </c>
      <c r="T313">
        <v>466.882193756574</v>
      </c>
      <c r="U313">
        <v>120.115478389214</v>
      </c>
      <c r="V313">
        <v>489.80730318866</v>
      </c>
      <c r="W313">
        <v>119.144456035611</v>
      </c>
      <c r="X313">
        <v>282.76285232545598</v>
      </c>
      <c r="Y313">
        <v>562.64710519582695</v>
      </c>
      <c r="Z313">
        <v>164.073632881028</v>
      </c>
      <c r="AA313">
        <v>646.33219431695795</v>
      </c>
      <c r="AB313">
        <v>697.74407544422604</v>
      </c>
      <c r="AC313">
        <v>326.96973131910801</v>
      </c>
      <c r="AD313">
        <v>827.46464634417396</v>
      </c>
      <c r="AE313">
        <v>82.015363611569597</v>
      </c>
      <c r="AF313">
        <v>366.438431989734</v>
      </c>
      <c r="AG313">
        <v>681.24131315749605</v>
      </c>
    </row>
    <row r="314" spans="1:33" x14ac:dyDescent="0.25">
      <c r="A314" s="1">
        <v>44365</v>
      </c>
      <c r="B314">
        <v>15617.558423636799</v>
      </c>
      <c r="C314">
        <v>12482.771841497401</v>
      </c>
      <c r="D314">
        <v>14361.9127298615</v>
      </c>
      <c r="E314">
        <v>16070.8936115543</v>
      </c>
      <c r="F314">
        <v>15451.567840574</v>
      </c>
      <c r="G314">
        <v>15702.1683091379</v>
      </c>
      <c r="H314">
        <v>28945.866990628201</v>
      </c>
      <c r="I314">
        <v>18814.512634377199</v>
      </c>
      <c r="J314">
        <v>1923.64536803281</v>
      </c>
      <c r="K314">
        <v>1931.1452792041</v>
      </c>
      <c r="L314">
        <v>1020.79693083752</v>
      </c>
      <c r="M314">
        <v>13647.030837021301</v>
      </c>
      <c r="N314">
        <v>4838.5292975338398</v>
      </c>
      <c r="O314">
        <v>1022.51140607518</v>
      </c>
      <c r="P314">
        <v>2391.4719536065099</v>
      </c>
      <c r="Q314">
        <v>11743.859866811999</v>
      </c>
      <c r="R314">
        <v>1195.94982300228</v>
      </c>
      <c r="S314">
        <v>298.66695585460002</v>
      </c>
      <c r="T314">
        <v>540.64726628049698</v>
      </c>
      <c r="U314">
        <v>119.51484985192999</v>
      </c>
      <c r="V314">
        <v>616.80549743937001</v>
      </c>
      <c r="W314">
        <v>118.755768337772</v>
      </c>
      <c r="X314">
        <v>358.77682613881501</v>
      </c>
      <c r="Y314">
        <v>587.81698739414003</v>
      </c>
      <c r="Z314">
        <v>167.272756044837</v>
      </c>
      <c r="AA314">
        <v>648.962160440091</v>
      </c>
      <c r="AB314">
        <v>725.74012634008295</v>
      </c>
      <c r="AC314">
        <v>325.96647825169202</v>
      </c>
      <c r="AD314">
        <v>847.03915343228005</v>
      </c>
      <c r="AE314">
        <v>100.56911781950799</v>
      </c>
      <c r="AF314">
        <v>363.89116218343901</v>
      </c>
      <c r="AG314">
        <v>684.57733649221404</v>
      </c>
    </row>
    <row r="315" spans="1:33" x14ac:dyDescent="0.25">
      <c r="A315" s="1">
        <v>44366</v>
      </c>
      <c r="B315">
        <v>16064.4617826473</v>
      </c>
      <c r="C315">
        <v>12197.9149496766</v>
      </c>
      <c r="D315">
        <v>14665.0650661034</v>
      </c>
      <c r="E315">
        <v>16334.3005002927</v>
      </c>
      <c r="F315">
        <v>16692.856512902901</v>
      </c>
      <c r="G315">
        <v>16948.761299315101</v>
      </c>
      <c r="H315">
        <v>31055.7954687198</v>
      </c>
      <c r="I315">
        <v>18978.165173691301</v>
      </c>
      <c r="J315">
        <v>1963.74802000458</v>
      </c>
      <c r="K315">
        <v>2016.18825636373</v>
      </c>
      <c r="L315">
        <v>1071.5797454953399</v>
      </c>
      <c r="M315">
        <v>14868.246633369399</v>
      </c>
      <c r="N315">
        <v>5713.5169103241997</v>
      </c>
      <c r="O315">
        <v>1144.84864160043</v>
      </c>
      <c r="P315">
        <v>2635.3387496600299</v>
      </c>
      <c r="Q315">
        <v>13105.5962946866</v>
      </c>
      <c r="R315">
        <v>1305.9627190953299</v>
      </c>
      <c r="S315">
        <v>302.89019252153997</v>
      </c>
      <c r="T315">
        <v>714.05904476742796</v>
      </c>
      <c r="U315">
        <v>119.557425347039</v>
      </c>
      <c r="V315">
        <v>803.32921861434795</v>
      </c>
      <c r="W315">
        <v>116.00022376539</v>
      </c>
      <c r="X315">
        <v>448.251760844101</v>
      </c>
      <c r="Y315">
        <v>625.62828120511404</v>
      </c>
      <c r="Z315">
        <v>169.45156864620199</v>
      </c>
      <c r="AA315">
        <v>652.49552939657406</v>
      </c>
      <c r="AB315">
        <v>759.37438955705602</v>
      </c>
      <c r="AC315">
        <v>325.42104443721502</v>
      </c>
      <c r="AD315">
        <v>890.46434721406001</v>
      </c>
      <c r="AE315">
        <v>101.520910580822</v>
      </c>
      <c r="AF315">
        <v>364.74945740163901</v>
      </c>
      <c r="AG315">
        <v>683.22803357084604</v>
      </c>
    </row>
    <row r="316" spans="1:33" x14ac:dyDescent="0.25">
      <c r="A316" s="1">
        <v>44367</v>
      </c>
      <c r="B316">
        <v>16363.3268331909</v>
      </c>
      <c r="C316">
        <v>12123.881409964701</v>
      </c>
      <c r="D316">
        <v>14751.70895792</v>
      </c>
      <c r="E316">
        <v>16464.297055646599</v>
      </c>
      <c r="F316">
        <v>17660.8163606866</v>
      </c>
      <c r="G316">
        <v>17167.290908561899</v>
      </c>
      <c r="H316">
        <v>31092.159018132301</v>
      </c>
      <c r="I316">
        <v>19297.0839300845</v>
      </c>
      <c r="J316">
        <v>2043.4812872339201</v>
      </c>
      <c r="K316">
        <v>2066.4315861201499</v>
      </c>
      <c r="L316">
        <v>1102.20395065459</v>
      </c>
      <c r="M316">
        <v>15277.588737395699</v>
      </c>
      <c r="N316">
        <v>6227.4670827943501</v>
      </c>
      <c r="O316">
        <v>1202.74808989078</v>
      </c>
      <c r="P316">
        <v>2765.3764392507601</v>
      </c>
      <c r="Q316">
        <v>13467.682857289499</v>
      </c>
      <c r="R316">
        <v>1362.8359948672701</v>
      </c>
      <c r="S316">
        <v>305.07006634353002</v>
      </c>
      <c r="T316">
        <v>887.972714988392</v>
      </c>
      <c r="U316">
        <v>117.06463848750801</v>
      </c>
      <c r="V316">
        <v>882.74595825028496</v>
      </c>
      <c r="W316">
        <v>117.03339143529401</v>
      </c>
      <c r="X316">
        <v>464.75056299725901</v>
      </c>
      <c r="Y316">
        <v>588.33085768497597</v>
      </c>
      <c r="Z316">
        <v>168.15343941340399</v>
      </c>
      <c r="AA316">
        <v>655.62040554633904</v>
      </c>
      <c r="AB316">
        <v>748.74328785339503</v>
      </c>
      <c r="AC316">
        <v>295.64517330191399</v>
      </c>
      <c r="AD316">
        <v>919.01923024440703</v>
      </c>
      <c r="AE316">
        <v>112.02793045157701</v>
      </c>
      <c r="AF316">
        <v>366.61156538855897</v>
      </c>
      <c r="AG316">
        <v>678.41851634858995</v>
      </c>
    </row>
    <row r="317" spans="1:33" x14ac:dyDescent="0.25">
      <c r="A317" s="1">
        <v>44368</v>
      </c>
      <c r="B317">
        <v>16283.5684227851</v>
      </c>
      <c r="C317">
        <v>12293.7925705613</v>
      </c>
      <c r="D317">
        <v>14941.2440126452</v>
      </c>
      <c r="E317">
        <v>16588.0485065213</v>
      </c>
      <c r="F317">
        <v>17870.402715082</v>
      </c>
      <c r="G317">
        <v>16832.655316857501</v>
      </c>
      <c r="H317">
        <v>30409.3188410285</v>
      </c>
      <c r="I317">
        <v>19813.813486580901</v>
      </c>
      <c r="J317">
        <v>2117.8307523124099</v>
      </c>
      <c r="K317">
        <v>2062.8006724767201</v>
      </c>
      <c r="L317">
        <v>1117.5070100709299</v>
      </c>
      <c r="M317">
        <v>15151.7973218231</v>
      </c>
      <c r="N317">
        <v>6608.2043082378696</v>
      </c>
      <c r="O317">
        <v>1195.5461618792599</v>
      </c>
      <c r="P317">
        <v>2794.5442777715798</v>
      </c>
      <c r="Q317">
        <v>13377.8355049409</v>
      </c>
      <c r="R317">
        <v>1384.3239951166599</v>
      </c>
      <c r="S317">
        <v>304.93876052645697</v>
      </c>
      <c r="T317">
        <v>1030.96156048795</v>
      </c>
      <c r="U317">
        <v>117.269870086986</v>
      </c>
      <c r="V317">
        <v>953.82262578176301</v>
      </c>
      <c r="W317">
        <v>121.228847374545</v>
      </c>
      <c r="X317">
        <v>505.73564030083003</v>
      </c>
      <c r="Y317">
        <v>541.06267861442302</v>
      </c>
      <c r="Z317">
        <v>161.50872531902499</v>
      </c>
      <c r="AA317">
        <v>656.05292453914603</v>
      </c>
      <c r="AB317">
        <v>696.178624340797</v>
      </c>
      <c r="AC317">
        <v>259.530973954008</v>
      </c>
      <c r="AD317">
        <v>925.91230307471005</v>
      </c>
      <c r="AE317">
        <v>106.820596290004</v>
      </c>
      <c r="AF317">
        <v>367.84597906471299</v>
      </c>
      <c r="AG317">
        <v>675.35885268167203</v>
      </c>
    </row>
    <row r="318" spans="1:33" x14ac:dyDescent="0.25">
      <c r="A318" s="1">
        <v>44369</v>
      </c>
      <c r="B318">
        <v>16186.240224475499</v>
      </c>
      <c r="C318">
        <v>12584.2466035424</v>
      </c>
      <c r="D318">
        <v>15240.223099540999</v>
      </c>
      <c r="E318">
        <v>16972.966173229201</v>
      </c>
      <c r="F318">
        <v>17883.678136345301</v>
      </c>
      <c r="G318">
        <v>16699.9804529215</v>
      </c>
      <c r="H318">
        <v>30025.051474219399</v>
      </c>
      <c r="I318">
        <v>20718.1309572707</v>
      </c>
      <c r="J318">
        <v>2192.9000761923699</v>
      </c>
      <c r="K318">
        <v>2370.1058735319998</v>
      </c>
      <c r="L318">
        <v>1170.7423896799401</v>
      </c>
      <c r="M318">
        <v>15065.1567497911</v>
      </c>
      <c r="N318">
        <v>6897.3525845506101</v>
      </c>
      <c r="O318">
        <v>1135.17242662375</v>
      </c>
      <c r="P318">
        <v>2841.2851992860301</v>
      </c>
      <c r="Q318">
        <v>13332.832884031701</v>
      </c>
      <c r="R318">
        <v>1366.1381868461699</v>
      </c>
      <c r="S318">
        <v>306.00328991638997</v>
      </c>
      <c r="T318">
        <v>1145.06618184698</v>
      </c>
      <c r="U318">
        <v>121.18169563204501</v>
      </c>
      <c r="V318">
        <v>1102.3343511560299</v>
      </c>
      <c r="W318">
        <v>124.169924245223</v>
      </c>
      <c r="X318">
        <v>599.08817102766602</v>
      </c>
      <c r="Y318">
        <v>541.07255709925403</v>
      </c>
      <c r="Z318">
        <v>153.70054356671599</v>
      </c>
      <c r="AA318">
        <v>656.09240083934901</v>
      </c>
      <c r="AB318">
        <v>678.84438300966804</v>
      </c>
      <c r="AC318">
        <v>239.79047280481001</v>
      </c>
      <c r="AD318">
        <v>939.73429501092198</v>
      </c>
      <c r="AE318">
        <v>88.237707323324997</v>
      </c>
      <c r="AF318">
        <v>366.79012003397298</v>
      </c>
      <c r="AG318">
        <v>674.43285866601298</v>
      </c>
    </row>
    <row r="319" spans="1:33" x14ac:dyDescent="0.25">
      <c r="A319" s="1">
        <v>44370</v>
      </c>
      <c r="B319">
        <v>16282.7351894695</v>
      </c>
      <c r="C319">
        <v>12971.9388004183</v>
      </c>
      <c r="D319">
        <v>15566.270326322699</v>
      </c>
      <c r="E319">
        <v>17408.2384260814</v>
      </c>
      <c r="F319">
        <v>18095.8720669586</v>
      </c>
      <c r="G319">
        <v>17167.3877303724</v>
      </c>
      <c r="H319">
        <v>30045.894518135399</v>
      </c>
      <c r="I319">
        <v>21132.410634547501</v>
      </c>
      <c r="J319">
        <v>2276.0890373621601</v>
      </c>
      <c r="K319">
        <v>2316.62662910565</v>
      </c>
      <c r="L319">
        <v>1217.2803725225899</v>
      </c>
      <c r="M319">
        <v>15455.514161667899</v>
      </c>
      <c r="N319">
        <v>7261.9628682655703</v>
      </c>
      <c r="O319">
        <v>1161.2890520773201</v>
      </c>
      <c r="P319">
        <v>2969.5388377026502</v>
      </c>
      <c r="Q319">
        <v>13711.593702197501</v>
      </c>
      <c r="R319">
        <v>1424.3996438137699</v>
      </c>
      <c r="S319">
        <v>311.48573891198401</v>
      </c>
      <c r="T319">
        <v>1379.4627376145399</v>
      </c>
      <c r="U319">
        <v>124.047769503662</v>
      </c>
      <c r="V319">
        <v>1339.1282860142001</v>
      </c>
      <c r="W319">
        <v>122.55138136227799</v>
      </c>
      <c r="X319">
        <v>755.31404955591495</v>
      </c>
      <c r="Y319">
        <v>566.64309853007205</v>
      </c>
      <c r="Z319">
        <v>151.62304619961699</v>
      </c>
      <c r="AA319">
        <v>656.92840883556096</v>
      </c>
      <c r="AB319">
        <v>689.82619180603206</v>
      </c>
      <c r="AC319">
        <v>227.58981416352401</v>
      </c>
      <c r="AD319">
        <v>978.53804256779495</v>
      </c>
      <c r="AE319">
        <v>82.015585779207001</v>
      </c>
      <c r="AF319">
        <v>364.17460209581998</v>
      </c>
      <c r="AG319">
        <v>680.08822685217797</v>
      </c>
    </row>
    <row r="320" spans="1:33" x14ac:dyDescent="0.25">
      <c r="A320" s="1">
        <v>44371</v>
      </c>
      <c r="B320">
        <v>16535.918220880401</v>
      </c>
      <c r="C320">
        <v>13373.399090805</v>
      </c>
      <c r="D320">
        <v>15855.2592614517</v>
      </c>
      <c r="E320">
        <v>17724.474600416401</v>
      </c>
      <c r="F320">
        <v>18059.763305843699</v>
      </c>
      <c r="G320">
        <v>17409.7589271086</v>
      </c>
      <c r="H320">
        <v>30073.3462385981</v>
      </c>
      <c r="I320">
        <v>21232.176581458702</v>
      </c>
      <c r="J320">
        <v>2311.2209723726701</v>
      </c>
      <c r="K320">
        <v>2220.54839319132</v>
      </c>
      <c r="L320">
        <v>1247.5421774910301</v>
      </c>
      <c r="M320">
        <v>15649.0807893605</v>
      </c>
      <c r="N320">
        <v>7432.0363293887403</v>
      </c>
      <c r="O320">
        <v>1199.2322702090901</v>
      </c>
      <c r="P320">
        <v>3028.6973376504402</v>
      </c>
      <c r="Q320">
        <v>13933.2557586078</v>
      </c>
      <c r="R320">
        <v>1477.15694115888</v>
      </c>
      <c r="S320">
        <v>321.28121114428302</v>
      </c>
      <c r="T320">
        <v>1533.6356750611601</v>
      </c>
      <c r="U320">
        <v>122.906817174963</v>
      </c>
      <c r="V320">
        <v>1458.1073268877001</v>
      </c>
      <c r="W320">
        <v>117.792237274334</v>
      </c>
      <c r="X320">
        <v>848.28719084001102</v>
      </c>
      <c r="Y320">
        <v>571.76663822946796</v>
      </c>
      <c r="Z320">
        <v>150.09934823929299</v>
      </c>
      <c r="AA320">
        <v>659.14146054695095</v>
      </c>
      <c r="AB320">
        <v>692.47890208008096</v>
      </c>
      <c r="AC320">
        <v>217.28831085958501</v>
      </c>
      <c r="AD320">
        <v>1009.53814679199</v>
      </c>
      <c r="AE320">
        <v>82.015452810458697</v>
      </c>
      <c r="AF320">
        <v>357.63133889057002</v>
      </c>
      <c r="AG320">
        <v>690.54508689528302</v>
      </c>
    </row>
    <row r="321" spans="1:33" x14ac:dyDescent="0.25">
      <c r="A321" s="1">
        <v>44372</v>
      </c>
      <c r="B321">
        <v>16857.342286919</v>
      </c>
      <c r="C321">
        <v>13718.221319383099</v>
      </c>
      <c r="D321">
        <v>16226.8832515823</v>
      </c>
      <c r="E321">
        <v>18089.5389881587</v>
      </c>
      <c r="F321">
        <v>18150.919197684201</v>
      </c>
      <c r="G321">
        <v>17643.512436522298</v>
      </c>
      <c r="H321">
        <v>30277.923560831099</v>
      </c>
      <c r="I321">
        <v>21279.881253623</v>
      </c>
      <c r="J321">
        <v>2350.4179200236899</v>
      </c>
      <c r="K321">
        <v>2152.9023297557601</v>
      </c>
      <c r="L321">
        <v>1267.1872331219099</v>
      </c>
      <c r="M321">
        <v>15843.945279564699</v>
      </c>
      <c r="N321">
        <v>7694.1921143748596</v>
      </c>
      <c r="O321">
        <v>1228.85480020721</v>
      </c>
      <c r="P321">
        <v>3120.43919199838</v>
      </c>
      <c r="Q321">
        <v>14152.5604813354</v>
      </c>
      <c r="R321">
        <v>1513.5541733702801</v>
      </c>
      <c r="S321">
        <v>337.01061845726201</v>
      </c>
      <c r="T321">
        <v>1679.166555257</v>
      </c>
      <c r="U321">
        <v>118.24526721986599</v>
      </c>
      <c r="V321">
        <v>1620.2358659168401</v>
      </c>
      <c r="W321">
        <v>114.33756065227099</v>
      </c>
      <c r="X321">
        <v>962.59589162020904</v>
      </c>
      <c r="Y321">
        <v>574.44172585755803</v>
      </c>
      <c r="Z321">
        <v>146.23597853185001</v>
      </c>
      <c r="AA321">
        <v>659.10926245316796</v>
      </c>
      <c r="AB321">
        <v>701.35647682052297</v>
      </c>
      <c r="AC321">
        <v>201.085438312609</v>
      </c>
      <c r="AD321">
        <v>1038.9811805960701</v>
      </c>
      <c r="AE321">
        <v>82.015461738249101</v>
      </c>
      <c r="AF321">
        <v>347.07786605280597</v>
      </c>
      <c r="AG321">
        <v>702.61129415650601</v>
      </c>
    </row>
    <row r="322" spans="1:33" x14ac:dyDescent="0.25">
      <c r="A322" s="1">
        <v>44373</v>
      </c>
      <c r="B322">
        <v>17148.495859419501</v>
      </c>
      <c r="C322">
        <v>14069.056827582801</v>
      </c>
      <c r="D322">
        <v>16467.0409724362</v>
      </c>
      <c r="E322">
        <v>18303.9748145089</v>
      </c>
      <c r="F322">
        <v>18210.4972811226</v>
      </c>
      <c r="G322">
        <v>17594.787765745899</v>
      </c>
      <c r="H322">
        <v>30176.9637811092</v>
      </c>
      <c r="I322">
        <v>21332.336978609299</v>
      </c>
      <c r="J322">
        <v>2361.1262243572801</v>
      </c>
      <c r="K322">
        <v>2107.0380414045599</v>
      </c>
      <c r="L322">
        <v>1275.1060834990701</v>
      </c>
      <c r="M322">
        <v>15849.309134462899</v>
      </c>
      <c r="N322">
        <v>7732.2152676671003</v>
      </c>
      <c r="O322">
        <v>1223.09732086442</v>
      </c>
      <c r="P322">
        <v>3162.0236482623</v>
      </c>
      <c r="Q322">
        <v>14086.025713208801</v>
      </c>
      <c r="R322">
        <v>1523.0089904951601</v>
      </c>
      <c r="S322">
        <v>355.69842629346698</v>
      </c>
      <c r="T322">
        <v>1707.5948922221601</v>
      </c>
      <c r="U322">
        <v>114.805957351948</v>
      </c>
      <c r="V322">
        <v>1634.1377957438399</v>
      </c>
      <c r="W322">
        <v>112.6716735845</v>
      </c>
      <c r="X322">
        <v>982.04349627063596</v>
      </c>
      <c r="Y322">
        <v>569.07609375170705</v>
      </c>
      <c r="Z322">
        <v>139.869420385545</v>
      </c>
      <c r="AA322">
        <v>658.73967411322701</v>
      </c>
      <c r="AB322">
        <v>704.28492028447999</v>
      </c>
      <c r="AC322">
        <v>193.280142236751</v>
      </c>
      <c r="AD322">
        <v>1049.13958249756</v>
      </c>
      <c r="AE322">
        <v>93.168001238731705</v>
      </c>
      <c r="AF322">
        <v>332.88276734207801</v>
      </c>
      <c r="AG322">
        <v>713.29734758500194</v>
      </c>
    </row>
    <row r="323" spans="1:33" x14ac:dyDescent="0.25">
      <c r="A323" s="1">
        <v>44374</v>
      </c>
      <c r="B323">
        <v>17336.523852941202</v>
      </c>
      <c r="C323">
        <v>14381.167950737799</v>
      </c>
      <c r="D323">
        <v>16648.283601269199</v>
      </c>
      <c r="E323">
        <v>18473.598606438602</v>
      </c>
      <c r="F323">
        <v>18064.973948587602</v>
      </c>
      <c r="G323">
        <v>17430.140682481499</v>
      </c>
      <c r="H323">
        <v>30209.582635884999</v>
      </c>
      <c r="I323">
        <v>21361.007403074302</v>
      </c>
      <c r="J323">
        <v>2358.6074844560699</v>
      </c>
      <c r="K323">
        <v>2086.7668400827201</v>
      </c>
      <c r="L323">
        <v>1263.90252384311</v>
      </c>
      <c r="M323">
        <v>15715.078995436401</v>
      </c>
      <c r="N323">
        <v>7654.3823750129304</v>
      </c>
      <c r="O323">
        <v>1207.2176009187499</v>
      </c>
      <c r="P323">
        <v>3144.85470051845</v>
      </c>
      <c r="Q323">
        <v>13963.0354697108</v>
      </c>
      <c r="R323">
        <v>1513.08789949331</v>
      </c>
      <c r="S323">
        <v>377.41126993684497</v>
      </c>
      <c r="T323">
        <v>1663.4100357929201</v>
      </c>
      <c r="U323">
        <v>113.806594294316</v>
      </c>
      <c r="V323">
        <v>1583.9841012796501</v>
      </c>
      <c r="W323">
        <v>110.26210486428199</v>
      </c>
      <c r="X323">
        <v>959.30032178777697</v>
      </c>
      <c r="Y323">
        <v>550.02132001817495</v>
      </c>
      <c r="Z323">
        <v>136.95278985208</v>
      </c>
      <c r="AA323">
        <v>659.44065889251306</v>
      </c>
      <c r="AB323">
        <v>693.62010884655899</v>
      </c>
      <c r="AC323">
        <v>196.72664841608301</v>
      </c>
      <c r="AD323">
        <v>1045.4576232844499</v>
      </c>
      <c r="AE323">
        <v>97.693622850539498</v>
      </c>
      <c r="AF323">
        <v>316.85258383547398</v>
      </c>
      <c r="AG323">
        <v>721.14166272759996</v>
      </c>
    </row>
    <row r="324" spans="1:33" x14ac:dyDescent="0.25">
      <c r="A324" s="1">
        <v>44375</v>
      </c>
      <c r="B324">
        <v>17572.503801897001</v>
      </c>
      <c r="C324">
        <v>14550.7283160894</v>
      </c>
      <c r="D324">
        <v>16778.526434793901</v>
      </c>
      <c r="E324">
        <v>18581.2095783152</v>
      </c>
      <c r="F324">
        <v>17926.3717116751</v>
      </c>
      <c r="G324">
        <v>16991.1175595323</v>
      </c>
      <c r="H324">
        <v>30112.411232036698</v>
      </c>
      <c r="I324">
        <v>21339.993334104998</v>
      </c>
      <c r="J324">
        <v>2355.05772038842</v>
      </c>
      <c r="K324">
        <v>2028.2097499018701</v>
      </c>
      <c r="L324">
        <v>1258.08445944307</v>
      </c>
      <c r="M324">
        <v>15406.484214694199</v>
      </c>
      <c r="N324">
        <v>7437.5772056916603</v>
      </c>
      <c r="O324">
        <v>1222.2485206997301</v>
      </c>
      <c r="P324">
        <v>3071.2759524407702</v>
      </c>
      <c r="Q324">
        <v>13658.071827653401</v>
      </c>
      <c r="R324">
        <v>1519.27817505699</v>
      </c>
      <c r="S324">
        <v>403.52083108528097</v>
      </c>
      <c r="T324">
        <v>1551.53085984733</v>
      </c>
      <c r="U324">
        <v>111.04785381666299</v>
      </c>
      <c r="V324">
        <v>1471.5110388703599</v>
      </c>
      <c r="W324">
        <v>112.739158829701</v>
      </c>
      <c r="X324">
        <v>881.74185556927398</v>
      </c>
      <c r="Y324">
        <v>530.22937694697896</v>
      </c>
      <c r="Z324">
        <v>135.01190250162799</v>
      </c>
      <c r="AA324">
        <v>659.91670869171901</v>
      </c>
      <c r="AB324">
        <v>685.87100277943296</v>
      </c>
      <c r="AC324">
        <v>210.99096871852001</v>
      </c>
      <c r="AD324">
        <v>1031.4446842464799</v>
      </c>
      <c r="AE324">
        <v>99.8094498380771</v>
      </c>
      <c r="AF324">
        <v>300.18532625484102</v>
      </c>
      <c r="AG324">
        <v>727.12975356066499</v>
      </c>
    </row>
    <row r="325" spans="1:33" x14ac:dyDescent="0.25">
      <c r="A325" s="1">
        <v>44376</v>
      </c>
      <c r="B325">
        <v>17820.149266883</v>
      </c>
      <c r="C325">
        <v>14705.708395056001</v>
      </c>
      <c r="D325">
        <v>16847.522819427999</v>
      </c>
      <c r="E325">
        <v>18633.585288898499</v>
      </c>
      <c r="F325">
        <v>17533.224198585998</v>
      </c>
      <c r="G325">
        <v>16395.070051395</v>
      </c>
      <c r="H325">
        <v>29282.020345855399</v>
      </c>
      <c r="I325">
        <v>21267.538387946901</v>
      </c>
      <c r="J325">
        <v>2320.8890397354298</v>
      </c>
      <c r="K325">
        <v>2006.62419554701</v>
      </c>
      <c r="L325">
        <v>1217.0556993043399</v>
      </c>
      <c r="M325">
        <v>14820.251650365501</v>
      </c>
      <c r="N325">
        <v>6940.4424146527899</v>
      </c>
      <c r="O325">
        <v>1122.60282364257</v>
      </c>
      <c r="P325">
        <v>2993.0829095372901</v>
      </c>
      <c r="Q325">
        <v>13030.488393175499</v>
      </c>
      <c r="R325">
        <v>1412.87502754309</v>
      </c>
      <c r="S325">
        <v>428.17514536996202</v>
      </c>
      <c r="T325">
        <v>1312.5755467604199</v>
      </c>
      <c r="U325">
        <v>114.36205066809499</v>
      </c>
      <c r="V325">
        <v>1190.5288705836599</v>
      </c>
      <c r="W325">
        <v>113.990567703023</v>
      </c>
      <c r="X325">
        <v>645.18570210765597</v>
      </c>
      <c r="Y325">
        <v>489.41035727338402</v>
      </c>
      <c r="Z325">
        <v>135.945038634204</v>
      </c>
      <c r="AA325">
        <v>662.95429654683198</v>
      </c>
      <c r="AB325">
        <v>665.79577835164696</v>
      </c>
      <c r="AC325">
        <v>197.207875898304</v>
      </c>
      <c r="AD325">
        <v>1000.97454161685</v>
      </c>
      <c r="AE325">
        <v>83.780466605108998</v>
      </c>
      <c r="AF325">
        <v>280.03121434327198</v>
      </c>
      <c r="AG325">
        <v>730.83223537447896</v>
      </c>
    </row>
    <row r="326" spans="1:33" x14ac:dyDescent="0.25">
      <c r="A326" s="1">
        <v>44377</v>
      </c>
      <c r="B326">
        <v>17926.885758701799</v>
      </c>
      <c r="C326">
        <v>14770.448725283501</v>
      </c>
      <c r="D326">
        <v>16892.940731721301</v>
      </c>
      <c r="E326">
        <v>18611.359788378701</v>
      </c>
      <c r="F326">
        <v>16957.209788823999</v>
      </c>
      <c r="G326">
        <v>16350.188285255001</v>
      </c>
      <c r="H326">
        <v>29192.420329984001</v>
      </c>
      <c r="I326">
        <v>21221.4178384769</v>
      </c>
      <c r="J326">
        <v>2306.8255235926599</v>
      </c>
      <c r="K326">
        <v>2002.98544345194</v>
      </c>
      <c r="L326">
        <v>1181.91114475837</v>
      </c>
      <c r="M326">
        <v>14558.8587927753</v>
      </c>
      <c r="N326">
        <v>6246.4087747808599</v>
      </c>
      <c r="O326">
        <v>1176.86202859947</v>
      </c>
      <c r="P326">
        <v>2952.9787490448698</v>
      </c>
      <c r="Q326">
        <v>12626.879008501999</v>
      </c>
      <c r="R326">
        <v>1398.6689876391099</v>
      </c>
      <c r="S326">
        <v>453.96096662445302</v>
      </c>
      <c r="T326">
        <v>1068.13063628847</v>
      </c>
      <c r="U326">
        <v>115.022910054253</v>
      </c>
      <c r="V326">
        <v>752.12838051148503</v>
      </c>
      <c r="W326">
        <v>112.24136538808401</v>
      </c>
      <c r="X326">
        <v>281.15380691332501</v>
      </c>
      <c r="Y326">
        <v>479.19531267045699</v>
      </c>
      <c r="Z326">
        <v>144.95420002357</v>
      </c>
      <c r="AA326">
        <v>663.45823556626897</v>
      </c>
      <c r="AB326">
        <v>673.91917552002701</v>
      </c>
      <c r="AC326">
        <v>190.97352540342399</v>
      </c>
      <c r="AD326">
        <v>990.25873059961202</v>
      </c>
      <c r="AE326">
        <v>82.015297482718196</v>
      </c>
      <c r="AF326">
        <v>264.78148148447599</v>
      </c>
      <c r="AG326">
        <v>734.81275242679999</v>
      </c>
    </row>
    <row r="327" spans="1:33" x14ac:dyDescent="0.25">
      <c r="A327" s="1">
        <v>44378</v>
      </c>
      <c r="B327">
        <v>18129.9453439672</v>
      </c>
      <c r="C327">
        <v>14713.3853470824</v>
      </c>
      <c r="D327">
        <v>16985.463068218902</v>
      </c>
      <c r="E327">
        <v>18612.038004633199</v>
      </c>
      <c r="F327">
        <v>16714.0750387074</v>
      </c>
      <c r="G327">
        <v>16094.293992274601</v>
      </c>
      <c r="H327">
        <v>29147.8509085652</v>
      </c>
      <c r="I327">
        <v>21244.319019970098</v>
      </c>
      <c r="J327">
        <v>2314.4227867715399</v>
      </c>
      <c r="K327">
        <v>1994.0288395928801</v>
      </c>
      <c r="L327">
        <v>1172.1009340225601</v>
      </c>
      <c r="M327">
        <v>14359.6030917597</v>
      </c>
      <c r="N327">
        <v>5724.2214963030501</v>
      </c>
      <c r="O327">
        <v>1224.1744383201401</v>
      </c>
      <c r="P327">
        <v>2907.1869698432101</v>
      </c>
      <c r="Q327">
        <v>12387.807808227701</v>
      </c>
      <c r="R327">
        <v>1416.2922312671001</v>
      </c>
      <c r="S327">
        <v>489.83351979498298</v>
      </c>
      <c r="T327">
        <v>922.98730125639599</v>
      </c>
      <c r="U327">
        <v>115.309747417278</v>
      </c>
      <c r="V327">
        <v>545.16968664223202</v>
      </c>
      <c r="W327">
        <v>110.974728875674</v>
      </c>
      <c r="X327">
        <v>262.19646857260398</v>
      </c>
      <c r="Y327">
        <v>490.73494121191698</v>
      </c>
      <c r="Z327">
        <v>144.482322977812</v>
      </c>
      <c r="AA327">
        <v>661.77872645230002</v>
      </c>
      <c r="AB327">
        <v>715.58545412275896</v>
      </c>
      <c r="AC327">
        <v>187.23166037042299</v>
      </c>
      <c r="AD327">
        <v>983.73372225959804</v>
      </c>
      <c r="AE327">
        <v>82.015299615907594</v>
      </c>
      <c r="AF327">
        <v>254.32984784886199</v>
      </c>
      <c r="AG327">
        <v>738.42330452990495</v>
      </c>
    </row>
    <row r="328" spans="1:33" x14ac:dyDescent="0.25">
      <c r="A328" s="1">
        <v>44379</v>
      </c>
      <c r="B328">
        <v>18482.047758947901</v>
      </c>
      <c r="C328">
        <v>14593.959798957199</v>
      </c>
      <c r="D328">
        <v>17035.127465764999</v>
      </c>
      <c r="E328">
        <v>18642.837452949501</v>
      </c>
      <c r="F328">
        <v>16627.458304920801</v>
      </c>
      <c r="G328">
        <v>15947.175908084901</v>
      </c>
      <c r="H328">
        <v>28968.0288895171</v>
      </c>
      <c r="I328">
        <v>21230.702235216999</v>
      </c>
      <c r="J328">
        <v>2332.2384316975799</v>
      </c>
      <c r="K328">
        <v>1988.3185244880001</v>
      </c>
      <c r="L328">
        <v>1167.15083063314</v>
      </c>
      <c r="M328">
        <v>14116.098086157001</v>
      </c>
      <c r="N328">
        <v>5287.1183810266302</v>
      </c>
      <c r="O328">
        <v>1246.2542892916799</v>
      </c>
      <c r="P328">
        <v>2838.6365977493401</v>
      </c>
      <c r="Q328">
        <v>12121.8682890909</v>
      </c>
      <c r="R328">
        <v>1433.69768077957</v>
      </c>
      <c r="S328">
        <v>519.28098860766704</v>
      </c>
      <c r="T328">
        <v>799.41059822282898</v>
      </c>
      <c r="U328">
        <v>113.235016126847</v>
      </c>
      <c r="V328">
        <v>495.33895136213602</v>
      </c>
      <c r="W328">
        <v>111.13913093548599</v>
      </c>
      <c r="X328">
        <v>275.671184476603</v>
      </c>
      <c r="Y328">
        <v>491.796711763659</v>
      </c>
      <c r="Z328">
        <v>144.10915513902299</v>
      </c>
      <c r="AA328">
        <v>660.51086495059303</v>
      </c>
      <c r="AB328">
        <v>740.95067047847101</v>
      </c>
      <c r="AC328">
        <v>189.428229815051</v>
      </c>
      <c r="AD328">
        <v>983.98473449360699</v>
      </c>
      <c r="AE328">
        <v>80.330397265056703</v>
      </c>
      <c r="AF328">
        <v>248.87634786322701</v>
      </c>
      <c r="AG328">
        <v>738.91278428624503</v>
      </c>
    </row>
    <row r="329" spans="1:33" x14ac:dyDescent="0.25">
      <c r="A329" s="1">
        <v>44380</v>
      </c>
      <c r="B329">
        <v>18779.433667830101</v>
      </c>
      <c r="C329">
        <v>14501.296009904599</v>
      </c>
      <c r="D329">
        <v>17205.218367691101</v>
      </c>
      <c r="E329">
        <v>18814.2776980993</v>
      </c>
      <c r="F329">
        <v>16884.165483020799</v>
      </c>
      <c r="G329">
        <v>16005.7691680757</v>
      </c>
      <c r="H329">
        <v>29420.975864764299</v>
      </c>
      <c r="I329">
        <v>21273.6156352297</v>
      </c>
      <c r="J329">
        <v>2369.9653143335399</v>
      </c>
      <c r="K329">
        <v>1971.1249519350999</v>
      </c>
      <c r="L329">
        <v>1173.6269929227799</v>
      </c>
      <c r="M329">
        <v>14234.0545698326</v>
      </c>
      <c r="N329">
        <v>5418.8144458761299</v>
      </c>
      <c r="O329">
        <v>1267.9295713080701</v>
      </c>
      <c r="P329">
        <v>2787.44265090923</v>
      </c>
      <c r="Q329">
        <v>12257.455129693</v>
      </c>
      <c r="R329">
        <v>1458.1796916042999</v>
      </c>
      <c r="S329">
        <v>544.72181684950101</v>
      </c>
      <c r="T329">
        <v>796.52521846584102</v>
      </c>
      <c r="U329">
        <v>110.780433093507</v>
      </c>
      <c r="V329">
        <v>674.75860250904395</v>
      </c>
      <c r="W329">
        <v>103.412051643448</v>
      </c>
      <c r="X329">
        <v>343.56265334271302</v>
      </c>
      <c r="Y329">
        <v>490.82442641753602</v>
      </c>
      <c r="Z329">
        <v>137.230661526538</v>
      </c>
      <c r="AA329">
        <v>653.50526433453194</v>
      </c>
      <c r="AB329">
        <v>752.787503817794</v>
      </c>
      <c r="AC329">
        <v>186.20018594326001</v>
      </c>
      <c r="AD329">
        <v>986.95678921034403</v>
      </c>
      <c r="AE329">
        <v>89.810159550462899</v>
      </c>
      <c r="AF329">
        <v>246.79057953382801</v>
      </c>
      <c r="AG329">
        <v>734.07693773139999</v>
      </c>
    </row>
    <row r="330" spans="1:33" x14ac:dyDescent="0.25">
      <c r="A330" s="1">
        <v>44381</v>
      </c>
      <c r="B330">
        <v>18915.116822314401</v>
      </c>
      <c r="C330">
        <v>14410.8792724425</v>
      </c>
      <c r="D330">
        <v>17437.3095695185</v>
      </c>
      <c r="E330">
        <v>19065.137952814799</v>
      </c>
      <c r="F330">
        <v>17177.350836185698</v>
      </c>
      <c r="G330">
        <v>16086.1790091937</v>
      </c>
      <c r="H330">
        <v>29859.284945363201</v>
      </c>
      <c r="I330">
        <v>21309.4917386653</v>
      </c>
      <c r="J330">
        <v>2393.88880457396</v>
      </c>
      <c r="K330">
        <v>1948.67074112449</v>
      </c>
      <c r="L330">
        <v>1190.50500860949</v>
      </c>
      <c r="M330">
        <v>14512.2464524468</v>
      </c>
      <c r="N330">
        <v>5910.1194868904904</v>
      </c>
      <c r="O330">
        <v>1287.0343698264001</v>
      </c>
      <c r="P330">
        <v>2785.2777882195001</v>
      </c>
      <c r="Q330">
        <v>12535.384739528899</v>
      </c>
      <c r="R330">
        <v>1503.09264161186</v>
      </c>
      <c r="S330">
        <v>562.51377906234995</v>
      </c>
      <c r="T330">
        <v>885.67845476632499</v>
      </c>
      <c r="U330">
        <v>104.021452170035</v>
      </c>
      <c r="V330">
        <v>783.06171867783303</v>
      </c>
      <c r="W330">
        <v>106.577577120249</v>
      </c>
      <c r="X330">
        <v>383.57652868682197</v>
      </c>
      <c r="Y330">
        <v>512.13021486510502</v>
      </c>
      <c r="Z330">
        <v>134.915690020021</v>
      </c>
      <c r="AA330">
        <v>649.91482753915</v>
      </c>
      <c r="AB330">
        <v>752.72037028739601</v>
      </c>
      <c r="AC330">
        <v>179.772895482443</v>
      </c>
      <c r="AD330">
        <v>997.21182432014598</v>
      </c>
      <c r="AE330">
        <v>96.179066384227895</v>
      </c>
      <c r="AF330">
        <v>245.40057234157101</v>
      </c>
      <c r="AG330">
        <v>725.07448082789597</v>
      </c>
    </row>
    <row r="331" spans="1:33" x14ac:dyDescent="0.25">
      <c r="A331" s="1">
        <v>44382</v>
      </c>
      <c r="B331">
        <v>18999.7029542091</v>
      </c>
      <c r="C331">
        <v>14304.364545283801</v>
      </c>
      <c r="D331">
        <v>17581.517212307099</v>
      </c>
      <c r="E331">
        <v>19261.717959415098</v>
      </c>
      <c r="F331">
        <v>17272.957156361601</v>
      </c>
      <c r="G331">
        <v>16040.417864654</v>
      </c>
      <c r="H331">
        <v>29929.0041626118</v>
      </c>
      <c r="I331">
        <v>21371.685346448299</v>
      </c>
      <c r="J331">
        <v>2402.7072901849501</v>
      </c>
      <c r="K331">
        <v>1927.92802704515</v>
      </c>
      <c r="L331">
        <v>1211.5133095616</v>
      </c>
      <c r="M331">
        <v>14614.300690727499</v>
      </c>
      <c r="N331">
        <v>6357.6968460654598</v>
      </c>
      <c r="O331">
        <v>1266.3600824393</v>
      </c>
      <c r="P331">
        <v>2810.3137520994801</v>
      </c>
      <c r="Q331">
        <v>12723.0396195187</v>
      </c>
      <c r="R331">
        <v>1526.44070739066</v>
      </c>
      <c r="S331">
        <v>570.70913418846703</v>
      </c>
      <c r="T331">
        <v>980.73565856240805</v>
      </c>
      <c r="U331">
        <v>106.780513462679</v>
      </c>
      <c r="V331">
        <v>864.66230027684298</v>
      </c>
      <c r="W331">
        <v>112.295110701262</v>
      </c>
      <c r="X331">
        <v>432.967186454375</v>
      </c>
      <c r="Y331">
        <v>519.05476480936397</v>
      </c>
      <c r="Z331">
        <v>134.571545446752</v>
      </c>
      <c r="AA331">
        <v>646.83784561110303</v>
      </c>
      <c r="AB331">
        <v>734.81444455222595</v>
      </c>
      <c r="AC331">
        <v>175.42384806883999</v>
      </c>
      <c r="AD331">
        <v>1004.48632157913</v>
      </c>
      <c r="AE331">
        <v>105.305186114729</v>
      </c>
      <c r="AF331">
        <v>242.24364932290101</v>
      </c>
      <c r="AG331">
        <v>716.24898355249798</v>
      </c>
    </row>
    <row r="332" spans="1:33" x14ac:dyDescent="0.25">
      <c r="A332" s="1">
        <v>44383</v>
      </c>
      <c r="B332">
        <v>19058.606378907101</v>
      </c>
      <c r="C332">
        <v>14288.495803977199</v>
      </c>
      <c r="D332">
        <v>17671.733479091399</v>
      </c>
      <c r="E332">
        <v>19400.637445852401</v>
      </c>
      <c r="F332">
        <v>17141.3863815486</v>
      </c>
      <c r="G332">
        <v>15778.8243190629</v>
      </c>
      <c r="H332">
        <v>29625.944542498299</v>
      </c>
      <c r="I332">
        <v>21412.4096110315</v>
      </c>
      <c r="J332">
        <v>2382.6129891358701</v>
      </c>
      <c r="K332">
        <v>1917.8728530380899</v>
      </c>
      <c r="L332">
        <v>1215.95962250039</v>
      </c>
      <c r="M332">
        <v>14413.594770089299</v>
      </c>
      <c r="N332">
        <v>6480.6294435682703</v>
      </c>
      <c r="O332">
        <v>1220.5157562363599</v>
      </c>
      <c r="P332">
        <v>2798.5939757431402</v>
      </c>
      <c r="Q332">
        <v>12661.049326370699</v>
      </c>
      <c r="R332">
        <v>1507.51677904132</v>
      </c>
      <c r="S332">
        <v>576.55625793097101</v>
      </c>
      <c r="T332">
        <v>1018.98666228651</v>
      </c>
      <c r="U332">
        <v>113.025218525176</v>
      </c>
      <c r="V332">
        <v>884.17218766311805</v>
      </c>
      <c r="W332">
        <v>114.741004469529</v>
      </c>
      <c r="X332">
        <v>462.542531077859</v>
      </c>
      <c r="Y332">
        <v>518.83646663465902</v>
      </c>
      <c r="Z332">
        <v>132.54917269433801</v>
      </c>
      <c r="AA332">
        <v>642.91943387958202</v>
      </c>
      <c r="AB332">
        <v>704.27380478481302</v>
      </c>
      <c r="AC332">
        <v>172.975779375592</v>
      </c>
      <c r="AD332">
        <v>1003.54014081726</v>
      </c>
      <c r="AE332">
        <v>90.985356764524099</v>
      </c>
      <c r="AF332">
        <v>237.691538680115</v>
      </c>
      <c r="AG332">
        <v>710.46722370331202</v>
      </c>
    </row>
    <row r="333" spans="1:33" x14ac:dyDescent="0.25">
      <c r="A333" s="1">
        <v>44384</v>
      </c>
      <c r="B333">
        <v>19133.3617747725</v>
      </c>
      <c r="C333">
        <v>14315.9024013333</v>
      </c>
      <c r="D333">
        <v>17769.059032769801</v>
      </c>
      <c r="E333">
        <v>19525.642507656601</v>
      </c>
      <c r="F333">
        <v>16688.060305449599</v>
      </c>
      <c r="G333">
        <v>15567.406162650699</v>
      </c>
      <c r="H333">
        <v>29032.2878231666</v>
      </c>
      <c r="I333">
        <v>21286.532384934799</v>
      </c>
      <c r="J333">
        <v>2342.7981620136502</v>
      </c>
      <c r="K333">
        <v>1913.38529763408</v>
      </c>
      <c r="L333">
        <v>1204.6447549007401</v>
      </c>
      <c r="M333">
        <v>14164.782332489</v>
      </c>
      <c r="N333">
        <v>6443.9853578693001</v>
      </c>
      <c r="O333">
        <v>1152.39766357536</v>
      </c>
      <c r="P333">
        <v>2760.5894102523498</v>
      </c>
      <c r="Q333">
        <v>12439.0282058508</v>
      </c>
      <c r="R333">
        <v>1444.9855560333201</v>
      </c>
      <c r="S333">
        <v>578.39839173156804</v>
      </c>
      <c r="T333">
        <v>1013.7118319897</v>
      </c>
      <c r="U333">
        <v>114.61770017939099</v>
      </c>
      <c r="V333">
        <v>907.03786156956596</v>
      </c>
      <c r="W333">
        <v>111.211769114063</v>
      </c>
      <c r="X333">
        <v>493.06684900813701</v>
      </c>
      <c r="Y333">
        <v>526.911675267183</v>
      </c>
      <c r="Z333">
        <v>129.36439572993601</v>
      </c>
      <c r="AA333">
        <v>643.41980512544501</v>
      </c>
      <c r="AB333">
        <v>692.98032248005302</v>
      </c>
      <c r="AC333">
        <v>171.417584615961</v>
      </c>
      <c r="AD333">
        <v>996.36295935108706</v>
      </c>
      <c r="AE333">
        <v>78.014901892490101</v>
      </c>
      <c r="AF333">
        <v>233.58775517201499</v>
      </c>
      <c r="AG333">
        <v>708.78699129689903</v>
      </c>
    </row>
    <row r="334" spans="1:33" x14ac:dyDescent="0.25">
      <c r="A334" s="1">
        <v>44385</v>
      </c>
      <c r="B334">
        <v>19226.4565421318</v>
      </c>
      <c r="C334">
        <v>14274.700415962199</v>
      </c>
      <c r="D334">
        <v>17884.403481908299</v>
      </c>
      <c r="E334">
        <v>19569.839730569001</v>
      </c>
      <c r="F334">
        <v>16642.402688550399</v>
      </c>
      <c r="G334">
        <v>15844.210842071099</v>
      </c>
      <c r="H334">
        <v>28780.6323818333</v>
      </c>
      <c r="I334">
        <v>21058.0602503384</v>
      </c>
      <c r="J334">
        <v>2314.3688422681298</v>
      </c>
      <c r="K334">
        <v>1921.0142422481599</v>
      </c>
      <c r="L334">
        <v>1191.65943569769</v>
      </c>
      <c r="M334">
        <v>14259.0708313743</v>
      </c>
      <c r="N334">
        <v>6370.9612989861298</v>
      </c>
      <c r="O334">
        <v>1120.59383757261</v>
      </c>
      <c r="P334">
        <v>2822.2114902561202</v>
      </c>
      <c r="Q334">
        <v>12459.7531264647</v>
      </c>
      <c r="R334">
        <v>1418.39476937931</v>
      </c>
      <c r="S334">
        <v>579.33088731168198</v>
      </c>
      <c r="T334">
        <v>1044.8198296067101</v>
      </c>
      <c r="U334">
        <v>111.45159834889201</v>
      </c>
      <c r="V334">
        <v>958.25676755336804</v>
      </c>
      <c r="W334">
        <v>110.676538807939</v>
      </c>
      <c r="X334">
        <v>542.25858464511305</v>
      </c>
      <c r="Y334">
        <v>554.09660221696197</v>
      </c>
      <c r="Z334">
        <v>128.05567707359</v>
      </c>
      <c r="AA334">
        <v>639.63513990439299</v>
      </c>
      <c r="AB334">
        <v>721.77057342027297</v>
      </c>
      <c r="AC334">
        <v>173.989516410042</v>
      </c>
      <c r="AD334">
        <v>997.69766588772495</v>
      </c>
      <c r="AE334">
        <v>81.992794405718897</v>
      </c>
      <c r="AF334">
        <v>230.814400141178</v>
      </c>
      <c r="AG334">
        <v>707.72235226359805</v>
      </c>
    </row>
    <row r="335" spans="1:33" x14ac:dyDescent="0.25">
      <c r="A335" s="1">
        <v>44386</v>
      </c>
      <c r="B335">
        <v>19218.371863083299</v>
      </c>
      <c r="C335">
        <v>14066.838091457401</v>
      </c>
      <c r="D335">
        <v>17924.611595223902</v>
      </c>
      <c r="E335">
        <v>19517.2905781605</v>
      </c>
      <c r="F335">
        <v>16720.479568154198</v>
      </c>
      <c r="G335">
        <v>16050.233908822</v>
      </c>
      <c r="H335">
        <v>28686.086612895</v>
      </c>
      <c r="I335">
        <v>20822.327585691499</v>
      </c>
      <c r="J335">
        <v>2300.27686721589</v>
      </c>
      <c r="K335">
        <v>1949.80359022741</v>
      </c>
      <c r="L335">
        <v>1183.0718643251</v>
      </c>
      <c r="M335">
        <v>14270.447217852899</v>
      </c>
      <c r="N335">
        <v>6254.4336648294702</v>
      </c>
      <c r="O335">
        <v>1099.9287142309399</v>
      </c>
      <c r="P335">
        <v>2835.7513494504901</v>
      </c>
      <c r="Q335">
        <v>12496.466541736399</v>
      </c>
      <c r="R335">
        <v>1401.71237282844</v>
      </c>
      <c r="S335">
        <v>578.43294684828402</v>
      </c>
      <c r="T335">
        <v>1049.94178285058</v>
      </c>
      <c r="U335">
        <v>111.21671926019501</v>
      </c>
      <c r="V335">
        <v>1044.9029272411799</v>
      </c>
      <c r="W335">
        <v>114.541823855423</v>
      </c>
      <c r="X335">
        <v>605.89052134849499</v>
      </c>
      <c r="Y335">
        <v>568.17486633605597</v>
      </c>
      <c r="Z335">
        <v>128.372249364064</v>
      </c>
      <c r="AA335">
        <v>638.28471248907897</v>
      </c>
      <c r="AB335">
        <v>731.82986272878804</v>
      </c>
      <c r="AC335">
        <v>177.712621472108</v>
      </c>
      <c r="AD335">
        <v>998.00348781664502</v>
      </c>
      <c r="AE335">
        <v>78.004765474516802</v>
      </c>
      <c r="AF335">
        <v>229.371620136232</v>
      </c>
      <c r="AG335">
        <v>710.03287718022102</v>
      </c>
    </row>
    <row r="336" spans="1:33" x14ac:dyDescent="0.25">
      <c r="A336" s="1">
        <v>44387</v>
      </c>
      <c r="B336">
        <v>19224.010619105298</v>
      </c>
      <c r="C336">
        <v>13829.1359339315</v>
      </c>
      <c r="D336">
        <v>17978.065345062299</v>
      </c>
      <c r="E336">
        <v>19504.981338084999</v>
      </c>
      <c r="F336">
        <v>16916.405080151399</v>
      </c>
      <c r="G336">
        <v>16477.315731571602</v>
      </c>
      <c r="H336">
        <v>28816.596835672801</v>
      </c>
      <c r="I336">
        <v>20682.035335564298</v>
      </c>
      <c r="J336">
        <v>2282.9224199730002</v>
      </c>
      <c r="K336">
        <v>1937.55871529416</v>
      </c>
      <c r="L336">
        <v>1189.7431914973499</v>
      </c>
      <c r="M336">
        <v>14639.657598010601</v>
      </c>
      <c r="N336">
        <v>6371.7025551097204</v>
      </c>
      <c r="O336">
        <v>1134.98283315654</v>
      </c>
      <c r="P336">
        <v>2882.6780527292299</v>
      </c>
      <c r="Q336">
        <v>12834.633917306899</v>
      </c>
      <c r="R336">
        <v>1435.08690475411</v>
      </c>
      <c r="S336">
        <v>576.84345303289194</v>
      </c>
      <c r="T336">
        <v>1128.29846370633</v>
      </c>
      <c r="U336">
        <v>114.09698049319</v>
      </c>
      <c r="V336">
        <v>1137.2249768587601</v>
      </c>
      <c r="W336">
        <v>117.262017425547</v>
      </c>
      <c r="X336">
        <v>678.27652491450203</v>
      </c>
      <c r="Y336">
        <v>586.258392313797</v>
      </c>
      <c r="Z336">
        <v>130.020062118167</v>
      </c>
      <c r="AA336">
        <v>637.41183651500296</v>
      </c>
      <c r="AB336">
        <v>739.22117532699099</v>
      </c>
      <c r="AC336">
        <v>194.251445148328</v>
      </c>
      <c r="AD336">
        <v>1008.97442423657</v>
      </c>
      <c r="AE336">
        <v>84.044355226926697</v>
      </c>
      <c r="AF336">
        <v>231.001113617454</v>
      </c>
      <c r="AG336">
        <v>714.45278509051298</v>
      </c>
    </row>
    <row r="337" spans="1:33" x14ac:dyDescent="0.25">
      <c r="A337" s="1">
        <v>44388</v>
      </c>
      <c r="B337">
        <v>19237.090507732199</v>
      </c>
      <c r="C337">
        <v>13684.904506745001</v>
      </c>
      <c r="D337">
        <v>18071.649361066698</v>
      </c>
      <c r="E337">
        <v>19531.747766370601</v>
      </c>
      <c r="F337">
        <v>17174.668560693201</v>
      </c>
      <c r="G337">
        <v>16691.4217761664</v>
      </c>
      <c r="H337">
        <v>28970.714887269001</v>
      </c>
      <c r="I337">
        <v>20681.065828745501</v>
      </c>
      <c r="J337">
        <v>2276.6367321647799</v>
      </c>
      <c r="K337">
        <v>1936.74419617632</v>
      </c>
      <c r="L337">
        <v>1194.32239955504</v>
      </c>
      <c r="M337">
        <v>14930.0972557565</v>
      </c>
      <c r="N337">
        <v>6500.9049968528798</v>
      </c>
      <c r="O337">
        <v>1156.3615446061699</v>
      </c>
      <c r="P337">
        <v>2918.5620847198302</v>
      </c>
      <c r="Q337">
        <v>13085.611461849499</v>
      </c>
      <c r="R337">
        <v>1458.2997869419801</v>
      </c>
      <c r="S337">
        <v>574.458057784728</v>
      </c>
      <c r="T337">
        <v>1169.06185610228</v>
      </c>
      <c r="U337">
        <v>115.73888720829</v>
      </c>
      <c r="V337">
        <v>1151.04221597067</v>
      </c>
      <c r="W337">
        <v>113.65387361297699</v>
      </c>
      <c r="X337">
        <v>689.807133542972</v>
      </c>
      <c r="Y337">
        <v>578.32670369727202</v>
      </c>
      <c r="Z337">
        <v>130.16205385646501</v>
      </c>
      <c r="AA337">
        <v>638.65174952809105</v>
      </c>
      <c r="AB337">
        <v>731.14749600333005</v>
      </c>
      <c r="AC337">
        <v>205.57215534590199</v>
      </c>
      <c r="AD337">
        <v>1008.41620293664</v>
      </c>
      <c r="AE337">
        <v>100.609044067741</v>
      </c>
      <c r="AF337">
        <v>235.029572665366</v>
      </c>
      <c r="AG337">
        <v>718.40014624283003</v>
      </c>
    </row>
    <row r="338" spans="1:33" x14ac:dyDescent="0.25">
      <c r="A338" s="1">
        <v>44389</v>
      </c>
      <c r="B338">
        <v>19285.486678780799</v>
      </c>
      <c r="C338">
        <v>13653.0573147631</v>
      </c>
      <c r="D338">
        <v>18144.931777089801</v>
      </c>
      <c r="E338">
        <v>19601.659333036499</v>
      </c>
      <c r="F338">
        <v>17310.962979677301</v>
      </c>
      <c r="G338">
        <v>16628.794904719001</v>
      </c>
      <c r="H338">
        <v>29213.287636187</v>
      </c>
      <c r="I338">
        <v>20701.419873938201</v>
      </c>
      <c r="J338">
        <v>2272.9560447345002</v>
      </c>
      <c r="K338">
        <v>1923.5776027378199</v>
      </c>
      <c r="L338">
        <v>1201.58484357375</v>
      </c>
      <c r="M338">
        <v>15069.0048128052</v>
      </c>
      <c r="N338">
        <v>6693.7804686537102</v>
      </c>
      <c r="O338">
        <v>1164.9742365045599</v>
      </c>
      <c r="P338">
        <v>2918.1231060340001</v>
      </c>
      <c r="Q338">
        <v>13215.197260098201</v>
      </c>
      <c r="R338">
        <v>1472.1381140004701</v>
      </c>
      <c r="S338">
        <v>570.87169700491802</v>
      </c>
      <c r="T338">
        <v>1230.3426808101301</v>
      </c>
      <c r="U338">
        <v>112.383991034746</v>
      </c>
      <c r="V338">
        <v>1195.26826496885</v>
      </c>
      <c r="W338">
        <v>113.555386315166</v>
      </c>
      <c r="X338">
        <v>704.72994225037701</v>
      </c>
      <c r="Y338">
        <v>566.92266566996102</v>
      </c>
      <c r="Z338">
        <v>126.898614935194</v>
      </c>
      <c r="AA338">
        <v>637.326069120086</v>
      </c>
      <c r="AB338">
        <v>720.20326767062704</v>
      </c>
      <c r="AC338">
        <v>193.34832327312</v>
      </c>
      <c r="AD338">
        <v>1009.14278637779</v>
      </c>
      <c r="AE338">
        <v>96.0511197011961</v>
      </c>
      <c r="AF338">
        <v>240.66866743765999</v>
      </c>
      <c r="AG338">
        <v>721.44612937279601</v>
      </c>
    </row>
    <row r="339" spans="1:33" x14ac:dyDescent="0.25">
      <c r="A339" s="1">
        <v>44390</v>
      </c>
      <c r="B339">
        <v>19336.026421146002</v>
      </c>
      <c r="C339">
        <v>13708.967331174401</v>
      </c>
      <c r="D339">
        <v>18186.0631351831</v>
      </c>
      <c r="E339">
        <v>19614.617486351999</v>
      </c>
      <c r="F339">
        <v>17135.593912933698</v>
      </c>
      <c r="G339">
        <v>16280.1148150309</v>
      </c>
      <c r="H339">
        <v>29239.0021661028</v>
      </c>
      <c r="I339">
        <v>20739.2388688953</v>
      </c>
      <c r="J339">
        <v>2253.6329165970201</v>
      </c>
      <c r="K339">
        <v>1907.9838979009901</v>
      </c>
      <c r="L339">
        <v>1178.86162002693</v>
      </c>
      <c r="M339">
        <v>14772.8558333607</v>
      </c>
      <c r="N339">
        <v>6554.8247965251803</v>
      </c>
      <c r="O339">
        <v>1123.88713257986</v>
      </c>
      <c r="P339">
        <v>2836.7072770014802</v>
      </c>
      <c r="Q339">
        <v>12969.4348348162</v>
      </c>
      <c r="R339">
        <v>1427.75419893406</v>
      </c>
      <c r="S339">
        <v>567.83480942385597</v>
      </c>
      <c r="T339">
        <v>1153.4754558228999</v>
      </c>
      <c r="U339">
        <v>114.282140865432</v>
      </c>
      <c r="V339">
        <v>1077.56131208901</v>
      </c>
      <c r="W339">
        <v>117.239912350545</v>
      </c>
      <c r="X339">
        <v>609.70059162358802</v>
      </c>
      <c r="Y339">
        <v>530.76511175604105</v>
      </c>
      <c r="Z339">
        <v>124.289175763712</v>
      </c>
      <c r="AA339">
        <v>638.32133820317199</v>
      </c>
      <c r="AB339">
        <v>701.478525104808</v>
      </c>
      <c r="AC339">
        <v>192.466953677493</v>
      </c>
      <c r="AD339">
        <v>986.77596119380098</v>
      </c>
      <c r="AE339">
        <v>97.2511089580873</v>
      </c>
      <c r="AF339">
        <v>246.08530557352</v>
      </c>
      <c r="AG339">
        <v>723.25354258162895</v>
      </c>
    </row>
    <row r="340" spans="1:33" x14ac:dyDescent="0.25">
      <c r="A340" s="1">
        <v>44391</v>
      </c>
      <c r="B340">
        <v>19366.596329264499</v>
      </c>
      <c r="C340">
        <v>13803.795309200999</v>
      </c>
      <c r="D340">
        <v>18222.726821776301</v>
      </c>
      <c r="E340">
        <v>19622.998099924698</v>
      </c>
      <c r="F340">
        <v>16975.660813605398</v>
      </c>
      <c r="G340">
        <v>15845.7294955537</v>
      </c>
      <c r="H340">
        <v>29051.481849897398</v>
      </c>
      <c r="I340">
        <v>20786.088752644599</v>
      </c>
      <c r="J340">
        <v>2233.20783360315</v>
      </c>
      <c r="K340">
        <v>1904.1160397282099</v>
      </c>
      <c r="L340">
        <v>1142.25057706798</v>
      </c>
      <c r="M340">
        <v>14226.973494207599</v>
      </c>
      <c r="N340">
        <v>6210.8197394298004</v>
      </c>
      <c r="O340">
        <v>1073.4491808446501</v>
      </c>
      <c r="P340">
        <v>2732.4584859422998</v>
      </c>
      <c r="Q340">
        <v>12537.008207478701</v>
      </c>
      <c r="R340">
        <v>1363.61060660676</v>
      </c>
      <c r="S340">
        <v>565.66345346910896</v>
      </c>
      <c r="T340">
        <v>1021.7326343577799</v>
      </c>
      <c r="U340">
        <v>116.171650689065</v>
      </c>
      <c r="V340">
        <v>954.16566363433503</v>
      </c>
      <c r="W340">
        <v>116.518826900321</v>
      </c>
      <c r="X340">
        <v>522.951523995255</v>
      </c>
      <c r="Y340">
        <v>507.170515748995</v>
      </c>
      <c r="Z340">
        <v>123.234896054987</v>
      </c>
      <c r="AA340">
        <v>641.45296249631701</v>
      </c>
      <c r="AB340">
        <v>686.60924384142197</v>
      </c>
      <c r="AC340">
        <v>187.247019142179</v>
      </c>
      <c r="AD340">
        <v>957.67717217663096</v>
      </c>
      <c r="AE340">
        <v>95.143069155971006</v>
      </c>
      <c r="AF340">
        <v>248.776239944709</v>
      </c>
      <c r="AG340">
        <v>724.27664538689999</v>
      </c>
    </row>
    <row r="341" spans="1:33" x14ac:dyDescent="0.25">
      <c r="A341" s="1">
        <v>44392</v>
      </c>
      <c r="B341">
        <v>19371.328703499301</v>
      </c>
      <c r="C341">
        <v>13864.5369240456</v>
      </c>
      <c r="D341">
        <v>18229.481522796399</v>
      </c>
      <c r="E341">
        <v>19590.270948859401</v>
      </c>
      <c r="F341">
        <v>16488.405358915901</v>
      </c>
      <c r="G341">
        <v>15493.6560108638</v>
      </c>
      <c r="H341">
        <v>28498.282350342299</v>
      </c>
      <c r="I341">
        <v>20751.721278778299</v>
      </c>
      <c r="J341">
        <v>2203.8767330051801</v>
      </c>
      <c r="K341">
        <v>1899.28636319006</v>
      </c>
      <c r="L341">
        <v>1101.2692338874899</v>
      </c>
      <c r="M341">
        <v>13826.3982128138</v>
      </c>
      <c r="N341">
        <v>5827.8675871656196</v>
      </c>
      <c r="O341">
        <v>1009.82460646169</v>
      </c>
      <c r="P341">
        <v>2614.9890135958099</v>
      </c>
      <c r="Q341">
        <v>12119.328867894201</v>
      </c>
      <c r="R341">
        <v>1281.63964578742</v>
      </c>
      <c r="S341">
        <v>564.42694435342503</v>
      </c>
      <c r="T341">
        <v>905.54790481038003</v>
      </c>
      <c r="U341">
        <v>115.359502845809</v>
      </c>
      <c r="V341">
        <v>841.46113755069098</v>
      </c>
      <c r="W341">
        <v>116.582953591649</v>
      </c>
      <c r="X341">
        <v>454.98341642248602</v>
      </c>
      <c r="Y341">
        <v>500.530249201012</v>
      </c>
      <c r="Z341">
        <v>122.960363260028</v>
      </c>
      <c r="AA341">
        <v>644.67054953543197</v>
      </c>
      <c r="AB341">
        <v>690.05400831167503</v>
      </c>
      <c r="AC341">
        <v>188.39431616151299</v>
      </c>
      <c r="AD341">
        <v>927.24661125346302</v>
      </c>
      <c r="AE341">
        <v>83.147061830302903</v>
      </c>
      <c r="AF341">
        <v>248.861194700575</v>
      </c>
      <c r="AG341">
        <v>725.12645935441401</v>
      </c>
    </row>
    <row r="342" spans="1:33" x14ac:dyDescent="0.25">
      <c r="A342" s="1">
        <v>44393</v>
      </c>
      <c r="B342">
        <v>19374.017154884299</v>
      </c>
      <c r="C342">
        <v>13830.308378149301</v>
      </c>
      <c r="D342">
        <v>18210.175859440998</v>
      </c>
      <c r="E342">
        <v>19537.210890656101</v>
      </c>
      <c r="F342">
        <v>15858.9613585561</v>
      </c>
      <c r="G342">
        <v>15073.4069262909</v>
      </c>
      <c r="H342">
        <v>27513.6944084145</v>
      </c>
      <c r="I342">
        <v>20674.233129076802</v>
      </c>
      <c r="J342">
        <v>2164.5532843585702</v>
      </c>
      <c r="K342">
        <v>1888.2723255645101</v>
      </c>
      <c r="L342">
        <v>1052.2458641441001</v>
      </c>
      <c r="M342">
        <v>13360.362440151701</v>
      </c>
      <c r="N342">
        <v>5318.1842710699802</v>
      </c>
      <c r="O342">
        <v>934.41207078290199</v>
      </c>
      <c r="P342">
        <v>2476.8260874226398</v>
      </c>
      <c r="Q342">
        <v>11500.8904902259</v>
      </c>
      <c r="R342">
        <v>1197.8601062109501</v>
      </c>
      <c r="S342">
        <v>564.44112941083802</v>
      </c>
      <c r="T342">
        <v>790.22376318520003</v>
      </c>
      <c r="U342">
        <v>115.35759682732299</v>
      </c>
      <c r="V342">
        <v>691.31329995246904</v>
      </c>
      <c r="W342">
        <v>115.795654268333</v>
      </c>
      <c r="X342">
        <v>345.003452101699</v>
      </c>
      <c r="Y342">
        <v>472.94630852157002</v>
      </c>
      <c r="Z342">
        <v>123.310068684908</v>
      </c>
      <c r="AA342">
        <v>647.15594652967502</v>
      </c>
      <c r="AB342">
        <v>686.17834236916099</v>
      </c>
      <c r="AC342">
        <v>195.30594525458801</v>
      </c>
      <c r="AD342">
        <v>893.15350799125702</v>
      </c>
      <c r="AE342">
        <v>74.748458506489897</v>
      </c>
      <c r="AF342">
        <v>247.185438111422</v>
      </c>
      <c r="AG342">
        <v>725.79630092634795</v>
      </c>
    </row>
    <row r="343" spans="1:33" x14ac:dyDescent="0.25">
      <c r="A343" s="1">
        <v>44394</v>
      </c>
      <c r="B343">
        <v>19425.825668506001</v>
      </c>
      <c r="C343">
        <v>13648.7833005051</v>
      </c>
      <c r="D343">
        <v>18196.4862121142</v>
      </c>
      <c r="E343">
        <v>19486.3935019807</v>
      </c>
      <c r="F343">
        <v>15726.871499519701</v>
      </c>
      <c r="G343">
        <v>15353.8520611109</v>
      </c>
      <c r="H343">
        <v>27605.5562205401</v>
      </c>
      <c r="I343">
        <v>20504.100435709999</v>
      </c>
      <c r="J343">
        <v>2149.16607751726</v>
      </c>
      <c r="K343">
        <v>1895.1467011028201</v>
      </c>
      <c r="L343">
        <v>1020.17259738396</v>
      </c>
      <c r="M343">
        <v>13401.736497464</v>
      </c>
      <c r="N343">
        <v>5031.9231492836097</v>
      </c>
      <c r="O343">
        <v>917.21053675055202</v>
      </c>
      <c r="P343">
        <v>2418.3350465057702</v>
      </c>
      <c r="Q343">
        <v>11453.496604120801</v>
      </c>
      <c r="R343">
        <v>1171.1038302004799</v>
      </c>
      <c r="S343">
        <v>564.84067435439999</v>
      </c>
      <c r="T343">
        <v>762.20276229280796</v>
      </c>
      <c r="U343">
        <v>113.337964615346</v>
      </c>
      <c r="V343">
        <v>673.20506971504096</v>
      </c>
      <c r="W343">
        <v>111.95483889768001</v>
      </c>
      <c r="X343">
        <v>341.11818252657901</v>
      </c>
      <c r="Y343">
        <v>485.06777549604402</v>
      </c>
      <c r="Z343">
        <v>124.85829527194601</v>
      </c>
      <c r="AA343">
        <v>643.60371129761097</v>
      </c>
      <c r="AB343">
        <v>712.04279759793303</v>
      </c>
      <c r="AC343">
        <v>208.673520159974</v>
      </c>
      <c r="AD343">
        <v>873.06477771036896</v>
      </c>
      <c r="AE343">
        <v>79.295854314440504</v>
      </c>
      <c r="AF343">
        <v>245.26735739205401</v>
      </c>
      <c r="AG343">
        <v>724.58543432009606</v>
      </c>
    </row>
    <row r="344" spans="1:33" x14ac:dyDescent="0.25">
      <c r="A344" s="1">
        <v>44395</v>
      </c>
      <c r="B344">
        <v>19497.515932424001</v>
      </c>
      <c r="C344">
        <v>13355.441184198</v>
      </c>
      <c r="D344">
        <v>18207.042676915698</v>
      </c>
      <c r="E344">
        <v>19495.030573751701</v>
      </c>
      <c r="F344">
        <v>16009.829365956401</v>
      </c>
      <c r="G344">
        <v>15604.4608889998</v>
      </c>
      <c r="H344">
        <v>27970.092938080801</v>
      </c>
      <c r="I344">
        <v>20486.087110584202</v>
      </c>
      <c r="J344">
        <v>2165.9397302427201</v>
      </c>
      <c r="K344">
        <v>1881.88952553587</v>
      </c>
      <c r="L344">
        <v>1011.45172009237</v>
      </c>
      <c r="M344">
        <v>13600.4507417024</v>
      </c>
      <c r="N344">
        <v>5068.0381829365197</v>
      </c>
      <c r="O344">
        <v>960.87752132766502</v>
      </c>
      <c r="P344">
        <v>2432.7732878671</v>
      </c>
      <c r="Q344">
        <v>11698.492452185001</v>
      </c>
      <c r="R344">
        <v>1195.47985485603</v>
      </c>
      <c r="S344">
        <v>565.48912298773303</v>
      </c>
      <c r="T344">
        <v>780.64485438251904</v>
      </c>
      <c r="U344">
        <v>113.021316775607</v>
      </c>
      <c r="V344">
        <v>717.44713303638605</v>
      </c>
      <c r="W344">
        <v>114.60873281909301</v>
      </c>
      <c r="X344">
        <v>375.35752617056198</v>
      </c>
      <c r="Y344">
        <v>524.75510799144297</v>
      </c>
      <c r="Z344">
        <v>125.76111467545201</v>
      </c>
      <c r="AA344">
        <v>639.70850603787801</v>
      </c>
      <c r="AB344">
        <v>752.10471621413399</v>
      </c>
      <c r="AC344">
        <v>212.320226511144</v>
      </c>
      <c r="AD344">
        <v>867.349238220026</v>
      </c>
      <c r="AE344">
        <v>82.015227087491894</v>
      </c>
      <c r="AF344">
        <v>243.67647951586</v>
      </c>
      <c r="AG344">
        <v>718.91248727336904</v>
      </c>
    </row>
    <row r="345" spans="1:33" x14ac:dyDescent="0.25">
      <c r="A345" s="1">
        <v>44396</v>
      </c>
      <c r="B345">
        <v>19505.5575844384</v>
      </c>
      <c r="C345">
        <v>13129.9154748076</v>
      </c>
      <c r="D345">
        <v>18258.588327631802</v>
      </c>
      <c r="E345">
        <v>19543.3586639479</v>
      </c>
      <c r="F345">
        <v>16302.553281164801</v>
      </c>
      <c r="G345">
        <v>15675.875346786301</v>
      </c>
      <c r="H345">
        <v>28160.980150391501</v>
      </c>
      <c r="I345">
        <v>20469.338450634201</v>
      </c>
      <c r="J345">
        <v>2178.4654418564</v>
      </c>
      <c r="K345">
        <v>1865.8511404160899</v>
      </c>
      <c r="L345">
        <v>1022.71048219422</v>
      </c>
      <c r="M345">
        <v>13911.7548104914</v>
      </c>
      <c r="N345">
        <v>5315.6050843373296</v>
      </c>
      <c r="O345">
        <v>988.422266147806</v>
      </c>
      <c r="P345">
        <v>2478.17166349232</v>
      </c>
      <c r="Q345">
        <v>11950.0611274563</v>
      </c>
      <c r="R345">
        <v>1224.77701484457</v>
      </c>
      <c r="S345">
        <v>565.91167123546597</v>
      </c>
      <c r="T345">
        <v>833.70302666676696</v>
      </c>
      <c r="U345">
        <v>114.076666567868</v>
      </c>
      <c r="V345">
        <v>800.51698732146497</v>
      </c>
      <c r="W345">
        <v>112.228398553414</v>
      </c>
      <c r="X345">
        <v>429.58758173691098</v>
      </c>
      <c r="Y345">
        <v>530.06970692443497</v>
      </c>
      <c r="Z345">
        <v>126.165544979844</v>
      </c>
      <c r="AA345">
        <v>637.94793924008104</v>
      </c>
      <c r="AB345">
        <v>750.98712299110605</v>
      </c>
      <c r="AC345">
        <v>213.79196380510399</v>
      </c>
      <c r="AD345">
        <v>872.47494053478295</v>
      </c>
      <c r="AE345">
        <v>82.015186556904496</v>
      </c>
      <c r="AF345">
        <v>243.16823260621601</v>
      </c>
      <c r="AG345">
        <v>709.415389516912</v>
      </c>
    </row>
    <row r="346" spans="1:33" x14ac:dyDescent="0.25">
      <c r="A346" s="1">
        <v>44397</v>
      </c>
      <c r="B346">
        <v>19530.241116915899</v>
      </c>
      <c r="C346">
        <v>13112.096836152899</v>
      </c>
      <c r="D346">
        <v>18334.499194289601</v>
      </c>
      <c r="E346">
        <v>19603.918100381801</v>
      </c>
      <c r="F346">
        <v>16423.589381895901</v>
      </c>
      <c r="G346">
        <v>15686.1347778531</v>
      </c>
      <c r="H346">
        <v>28110.6920405366</v>
      </c>
      <c r="I346">
        <v>20376.5214937729</v>
      </c>
      <c r="J346">
        <v>2183.0939945775699</v>
      </c>
      <c r="K346">
        <v>1860.4046428625199</v>
      </c>
      <c r="L346">
        <v>1043.09573888554</v>
      </c>
      <c r="M346">
        <v>14125.6741682463</v>
      </c>
      <c r="N346">
        <v>5669.2168044456803</v>
      </c>
      <c r="O346">
        <v>1002.16420903633</v>
      </c>
      <c r="P346">
        <v>2553.5380232313901</v>
      </c>
      <c r="Q346">
        <v>12197.918619948599</v>
      </c>
      <c r="R346">
        <v>1245.88606862661</v>
      </c>
      <c r="S346">
        <v>565.54833297453399</v>
      </c>
      <c r="T346">
        <v>938.13080830737897</v>
      </c>
      <c r="U346">
        <v>112.385903105487</v>
      </c>
      <c r="V346">
        <v>886.56609369098703</v>
      </c>
      <c r="W346">
        <v>113.430402590951</v>
      </c>
      <c r="X346">
        <v>490.929836636235</v>
      </c>
      <c r="Y346">
        <v>543.10817859103804</v>
      </c>
      <c r="Z346">
        <v>126.536446896223</v>
      </c>
      <c r="AA346">
        <v>635.86445293705503</v>
      </c>
      <c r="AB346">
        <v>738.80712992016402</v>
      </c>
      <c r="AC346">
        <v>212.892829092244</v>
      </c>
      <c r="AD346">
        <v>885.74066203903203</v>
      </c>
      <c r="AE346">
        <v>72.776406631724797</v>
      </c>
      <c r="AF346">
        <v>244.76318441637801</v>
      </c>
      <c r="AG346">
        <v>702.54763775707897</v>
      </c>
    </row>
    <row r="347" spans="1:33" x14ac:dyDescent="0.25">
      <c r="A347" s="1">
        <v>44398</v>
      </c>
      <c r="B347">
        <v>19557.226899638099</v>
      </c>
      <c r="C347">
        <v>13200.8761399373</v>
      </c>
      <c r="D347">
        <v>18462.6342631648</v>
      </c>
      <c r="E347">
        <v>19670.886259926399</v>
      </c>
      <c r="F347">
        <v>16579.629410029698</v>
      </c>
      <c r="G347">
        <v>16000.583206613101</v>
      </c>
      <c r="H347">
        <v>28233.851516820301</v>
      </c>
      <c r="I347">
        <v>20280.755319891701</v>
      </c>
      <c r="J347">
        <v>2200.4227802980099</v>
      </c>
      <c r="K347">
        <v>1832.5450067495599</v>
      </c>
      <c r="L347">
        <v>1072.8097144368901</v>
      </c>
      <c r="M347">
        <v>14384.7618536439</v>
      </c>
      <c r="N347">
        <v>6081.5177999417201</v>
      </c>
      <c r="O347">
        <v>1032.55861784374</v>
      </c>
      <c r="P347">
        <v>2641.2978214484101</v>
      </c>
      <c r="Q347">
        <v>12556.1235786449</v>
      </c>
      <c r="R347">
        <v>1279.8613264916301</v>
      </c>
      <c r="S347">
        <v>563.46489352614799</v>
      </c>
      <c r="T347">
        <v>1075.0665947530499</v>
      </c>
      <c r="U347">
        <v>114.427890988214</v>
      </c>
      <c r="V347">
        <v>1022.5807710545899</v>
      </c>
      <c r="W347">
        <v>117.65910707756299</v>
      </c>
      <c r="X347">
        <v>581.52446075345995</v>
      </c>
      <c r="Y347">
        <v>567.44927587692496</v>
      </c>
      <c r="Z347">
        <v>127.717660197451</v>
      </c>
      <c r="AA347">
        <v>635.65802457605002</v>
      </c>
      <c r="AB347">
        <v>744.02887917816099</v>
      </c>
      <c r="AC347">
        <v>200.532996792548</v>
      </c>
      <c r="AD347">
        <v>907.38244779686397</v>
      </c>
      <c r="AE347">
        <v>73.944496223653303</v>
      </c>
      <c r="AF347">
        <v>247.75948500149701</v>
      </c>
      <c r="AG347">
        <v>699.35027978852304</v>
      </c>
    </row>
    <row r="348" spans="1:33" x14ac:dyDescent="0.25">
      <c r="A348" s="1">
        <v>44399</v>
      </c>
      <c r="B348">
        <v>19576.6036619802</v>
      </c>
      <c r="C348">
        <v>13333.708924456099</v>
      </c>
      <c r="D348">
        <v>18561.192452253999</v>
      </c>
      <c r="E348">
        <v>19708.0411411362</v>
      </c>
      <c r="F348">
        <v>16870.963156008402</v>
      </c>
      <c r="G348">
        <v>16303.628024879899</v>
      </c>
      <c r="H348">
        <v>28239.617597297001</v>
      </c>
      <c r="I348">
        <v>20262.071109102199</v>
      </c>
      <c r="J348">
        <v>2209.4985708869599</v>
      </c>
      <c r="K348">
        <v>1838.3551245880101</v>
      </c>
      <c r="L348">
        <v>1100.29647313807</v>
      </c>
      <c r="M348">
        <v>14557.06236758</v>
      </c>
      <c r="N348">
        <v>6374.5708253521498</v>
      </c>
      <c r="O348">
        <v>1059.10848497954</v>
      </c>
      <c r="P348">
        <v>2763.1835925190499</v>
      </c>
      <c r="Q348">
        <v>12811.8884218148</v>
      </c>
      <c r="R348">
        <v>1308.5156605530799</v>
      </c>
      <c r="S348">
        <v>559.95789336750295</v>
      </c>
      <c r="T348">
        <v>1197.32897768312</v>
      </c>
      <c r="U348">
        <v>117.130970706643</v>
      </c>
      <c r="V348">
        <v>1134.3699458147901</v>
      </c>
      <c r="W348">
        <v>116.51736260222999</v>
      </c>
      <c r="X348">
        <v>665.77525553876501</v>
      </c>
      <c r="Y348">
        <v>577.01229853140399</v>
      </c>
      <c r="Z348">
        <v>129.25102575941801</v>
      </c>
      <c r="AA348">
        <v>633.83623955279495</v>
      </c>
      <c r="AB348">
        <v>736.82984486116197</v>
      </c>
      <c r="AC348">
        <v>177.288919010369</v>
      </c>
      <c r="AD348">
        <v>930.46371445332204</v>
      </c>
      <c r="AE348">
        <v>72.600711173022205</v>
      </c>
      <c r="AF348">
        <v>250.24973826290201</v>
      </c>
      <c r="AG348">
        <v>701.10530481342801</v>
      </c>
    </row>
    <row r="349" spans="1:33" x14ac:dyDescent="0.25">
      <c r="A349" s="1">
        <v>44400</v>
      </c>
      <c r="B349">
        <v>19584.487311288602</v>
      </c>
      <c r="C349">
        <v>13512.3010442304</v>
      </c>
      <c r="D349">
        <v>18629.2776369405</v>
      </c>
      <c r="E349">
        <v>19721.907452549902</v>
      </c>
      <c r="F349">
        <v>16966.839749862698</v>
      </c>
      <c r="G349">
        <v>16279.475200131499</v>
      </c>
      <c r="H349">
        <v>28172.257554829801</v>
      </c>
      <c r="I349">
        <v>20269.439992440999</v>
      </c>
      <c r="J349">
        <v>2208.0725574110402</v>
      </c>
      <c r="K349">
        <v>1846.8614962623301</v>
      </c>
      <c r="L349">
        <v>1108.3227744159501</v>
      </c>
      <c r="M349">
        <v>14496.2689470358</v>
      </c>
      <c r="N349">
        <v>6420.36074909527</v>
      </c>
      <c r="O349">
        <v>1045.48679075669</v>
      </c>
      <c r="P349">
        <v>2789.2866185385201</v>
      </c>
      <c r="Q349">
        <v>12779.5451203504</v>
      </c>
      <c r="R349">
        <v>1312.7028919049401</v>
      </c>
      <c r="S349">
        <v>556.591840593043</v>
      </c>
      <c r="T349">
        <v>1238.8262075448799</v>
      </c>
      <c r="U349">
        <v>116.457001954305</v>
      </c>
      <c r="V349">
        <v>1173.82052164426</v>
      </c>
      <c r="W349">
        <v>116.582909416671</v>
      </c>
      <c r="X349">
        <v>699.62118381249502</v>
      </c>
      <c r="Y349">
        <v>567.98982940726501</v>
      </c>
      <c r="Z349">
        <v>129.48713928598201</v>
      </c>
      <c r="AA349">
        <v>631.57718886636803</v>
      </c>
      <c r="AB349">
        <v>729.45216653574005</v>
      </c>
      <c r="AC349">
        <v>173.068619196508</v>
      </c>
      <c r="AD349">
        <v>940.586936482233</v>
      </c>
      <c r="AE349">
        <v>69.354295131909296</v>
      </c>
      <c r="AF349">
        <v>252.24125631156801</v>
      </c>
      <c r="AG349">
        <v>705.36260449705901</v>
      </c>
    </row>
    <row r="350" spans="1:33" x14ac:dyDescent="0.25">
      <c r="A350" s="1">
        <v>44401</v>
      </c>
      <c r="B350">
        <v>19602.4583025393</v>
      </c>
      <c r="C350">
        <v>13682.943800467499</v>
      </c>
      <c r="D350">
        <v>18755.827738194999</v>
      </c>
      <c r="E350">
        <v>19789.747010842901</v>
      </c>
      <c r="F350">
        <v>17289.551797123</v>
      </c>
      <c r="G350">
        <v>16739.061154263702</v>
      </c>
      <c r="H350">
        <v>28726.980188182199</v>
      </c>
      <c r="I350">
        <v>20335.824469689302</v>
      </c>
      <c r="J350">
        <v>2231.9875581050901</v>
      </c>
      <c r="K350">
        <v>1831.1872608123799</v>
      </c>
      <c r="L350">
        <v>1125.68219689288</v>
      </c>
      <c r="M350">
        <v>14780.785132316099</v>
      </c>
      <c r="N350">
        <v>6657.3691599159401</v>
      </c>
      <c r="O350">
        <v>1091.6551079261801</v>
      </c>
      <c r="P350">
        <v>2859.25217954236</v>
      </c>
      <c r="Q350">
        <v>13144.133363773301</v>
      </c>
      <c r="R350">
        <v>1356.5196775125</v>
      </c>
      <c r="S350">
        <v>553.76968165798405</v>
      </c>
      <c r="T350">
        <v>1318.76641973241</v>
      </c>
      <c r="U350">
        <v>116.58950286334399</v>
      </c>
      <c r="V350">
        <v>1290.35764076748</v>
      </c>
      <c r="W350">
        <v>118.078189718004</v>
      </c>
      <c r="X350">
        <v>758.42192321623895</v>
      </c>
      <c r="Y350">
        <v>582.56367728520797</v>
      </c>
      <c r="Z350">
        <v>129.84681504617501</v>
      </c>
      <c r="AA350">
        <v>627.08838497607803</v>
      </c>
      <c r="AB350">
        <v>745.06882154095103</v>
      </c>
      <c r="AC350">
        <v>198.077247937425</v>
      </c>
      <c r="AD350">
        <v>958.13342505069102</v>
      </c>
      <c r="AE350">
        <v>79.105891135070095</v>
      </c>
      <c r="AF350">
        <v>254.24779236219399</v>
      </c>
      <c r="AG350">
        <v>711.71933933503499</v>
      </c>
    </row>
    <row r="351" spans="1:33" x14ac:dyDescent="0.25">
      <c r="A351" s="1">
        <v>44402</v>
      </c>
      <c r="B351">
        <v>19654.1418393598</v>
      </c>
      <c r="C351">
        <v>13839.7869364823</v>
      </c>
      <c r="D351">
        <v>18889.367103440101</v>
      </c>
      <c r="E351">
        <v>19889.965281162898</v>
      </c>
      <c r="F351">
        <v>17594.776205176699</v>
      </c>
      <c r="G351">
        <v>16704.550161838</v>
      </c>
      <c r="H351">
        <v>29089.7842988173</v>
      </c>
      <c r="I351">
        <v>20459.613395631899</v>
      </c>
      <c r="J351">
        <v>2269.0711534035099</v>
      </c>
      <c r="K351">
        <v>1807.81516286122</v>
      </c>
      <c r="L351">
        <v>1150.18009389187</v>
      </c>
      <c r="M351">
        <v>14934.3597712135</v>
      </c>
      <c r="N351">
        <v>6856.36491285189</v>
      </c>
      <c r="O351">
        <v>1132.1436101644999</v>
      </c>
      <c r="P351">
        <v>2891.8147228702301</v>
      </c>
      <c r="Q351">
        <v>13303.108794719101</v>
      </c>
      <c r="R351">
        <v>1402.2848298528399</v>
      </c>
      <c r="S351">
        <v>552.55501877131496</v>
      </c>
      <c r="T351">
        <v>1387.08754818178</v>
      </c>
      <c r="U351">
        <v>118.42872429930701</v>
      </c>
      <c r="V351">
        <v>1311.6092475906701</v>
      </c>
      <c r="W351">
        <v>114.540031562827</v>
      </c>
      <c r="X351">
        <v>767.10688188751703</v>
      </c>
      <c r="Y351">
        <v>571.80470043050195</v>
      </c>
      <c r="Z351">
        <v>128.08448388513401</v>
      </c>
      <c r="AA351">
        <v>625.24783354068995</v>
      </c>
      <c r="AB351">
        <v>737.25111036839098</v>
      </c>
      <c r="AC351">
        <v>216.26014125577501</v>
      </c>
      <c r="AD351">
        <v>970.62746352952399</v>
      </c>
      <c r="AE351">
        <v>91.599347808991197</v>
      </c>
      <c r="AF351">
        <v>256.04916269006799</v>
      </c>
      <c r="AG351">
        <v>716.81396533140799</v>
      </c>
    </row>
    <row r="352" spans="1:33" x14ac:dyDescent="0.25">
      <c r="A352" s="1">
        <v>44403</v>
      </c>
      <c r="B352">
        <v>19728.3258027784</v>
      </c>
      <c r="C352">
        <v>13958.3312121577</v>
      </c>
      <c r="D352">
        <v>19024.538115651801</v>
      </c>
      <c r="E352">
        <v>20013.825693589399</v>
      </c>
      <c r="F352">
        <v>17602.383283029601</v>
      </c>
      <c r="G352">
        <v>16540.156325312601</v>
      </c>
      <c r="H352">
        <v>29261.140071194099</v>
      </c>
      <c r="I352">
        <v>20572.892829008899</v>
      </c>
      <c r="J352">
        <v>2282.78021896772</v>
      </c>
      <c r="K352">
        <v>1786.5896513359201</v>
      </c>
      <c r="L352">
        <v>1154.7741633504399</v>
      </c>
      <c r="M352">
        <v>14814.721685820999</v>
      </c>
      <c r="N352">
        <v>6922.7024537426096</v>
      </c>
      <c r="O352">
        <v>1128.3849265726101</v>
      </c>
      <c r="P352">
        <v>2887.4647439519099</v>
      </c>
      <c r="Q352">
        <v>13247.217274738499</v>
      </c>
      <c r="R352">
        <v>1398.4248437563999</v>
      </c>
      <c r="S352">
        <v>553.787567274396</v>
      </c>
      <c r="T352">
        <v>1365.9341001354901</v>
      </c>
      <c r="U352">
        <v>112.890643449628</v>
      </c>
      <c r="V352">
        <v>1273.22255572121</v>
      </c>
      <c r="W352">
        <v>110.00084804890101</v>
      </c>
      <c r="X352">
        <v>738.27413032424101</v>
      </c>
      <c r="Y352">
        <v>534.80274644212795</v>
      </c>
      <c r="Z352">
        <v>125.64496792351601</v>
      </c>
      <c r="AA352">
        <v>625.66630331251497</v>
      </c>
      <c r="AB352">
        <v>713.77781023288003</v>
      </c>
      <c r="AC352">
        <v>216.73567086490399</v>
      </c>
      <c r="AD352">
        <v>964.35932210744102</v>
      </c>
      <c r="AE352">
        <v>95.812731251632897</v>
      </c>
      <c r="AF352">
        <v>257.09262969390301</v>
      </c>
      <c r="AG352">
        <v>719.53167282118102</v>
      </c>
    </row>
    <row r="353" spans="1:33" x14ac:dyDescent="0.25">
      <c r="A353" s="1">
        <v>44404</v>
      </c>
      <c r="B353">
        <v>19793.299432893498</v>
      </c>
      <c r="C353">
        <v>14134.328854270099</v>
      </c>
      <c r="D353">
        <v>18975.630011728899</v>
      </c>
      <c r="E353">
        <v>19986.436252873202</v>
      </c>
      <c r="F353">
        <v>17016.609397007102</v>
      </c>
      <c r="G353">
        <v>15488.2535423145</v>
      </c>
      <c r="H353">
        <v>27872.3751800682</v>
      </c>
      <c r="I353">
        <v>20585.413753077501</v>
      </c>
      <c r="J353">
        <v>2242.28811860218</v>
      </c>
      <c r="K353">
        <v>1793.05321646888</v>
      </c>
      <c r="L353">
        <v>1098.71425407012</v>
      </c>
      <c r="M353">
        <v>13870.375394254001</v>
      </c>
      <c r="N353">
        <v>6158.8133051014502</v>
      </c>
      <c r="O353">
        <v>985.16058733520003</v>
      </c>
      <c r="P353">
        <v>2727.2764108015099</v>
      </c>
      <c r="Q353">
        <v>12246.545733544401</v>
      </c>
      <c r="R353">
        <v>1260.25951160613</v>
      </c>
      <c r="S353">
        <v>556.47897990539104</v>
      </c>
      <c r="T353">
        <v>1065.1118677022</v>
      </c>
      <c r="U353">
        <v>109.27063280925699</v>
      </c>
      <c r="V353">
        <v>958.18225844728602</v>
      </c>
      <c r="W353">
        <v>111.38988558158999</v>
      </c>
      <c r="X353">
        <v>519.25951949189005</v>
      </c>
      <c r="Y353">
        <v>480.16896431971202</v>
      </c>
      <c r="Z353">
        <v>124.610409085686</v>
      </c>
      <c r="AA353">
        <v>633.38676307324101</v>
      </c>
      <c r="AB353">
        <v>672.05841802926</v>
      </c>
      <c r="AC353">
        <v>215.32291698762899</v>
      </c>
      <c r="AD353">
        <v>917.64683884423005</v>
      </c>
      <c r="AE353">
        <v>73.743997215527102</v>
      </c>
      <c r="AF353">
        <v>255.09736646253199</v>
      </c>
      <c r="AG353">
        <v>720.72615196025595</v>
      </c>
    </row>
    <row r="354" spans="1:33" x14ac:dyDescent="0.25">
      <c r="A354" s="1">
        <v>44405</v>
      </c>
      <c r="B354">
        <v>19805.774493081401</v>
      </c>
      <c r="C354">
        <v>14167.075085030399</v>
      </c>
      <c r="D354">
        <v>18986.188354518301</v>
      </c>
      <c r="E354">
        <v>19948.536182960699</v>
      </c>
      <c r="F354">
        <v>16334.500006091301</v>
      </c>
      <c r="G354">
        <v>15459.181424076</v>
      </c>
      <c r="H354">
        <v>27791.498635116299</v>
      </c>
      <c r="I354">
        <v>20420.914605166501</v>
      </c>
      <c r="J354">
        <v>2224.1807322612699</v>
      </c>
      <c r="K354">
        <v>1790.98824535319</v>
      </c>
      <c r="L354">
        <v>1060.8405943169901</v>
      </c>
      <c r="M354">
        <v>13678.047800767599</v>
      </c>
      <c r="N354">
        <v>5597.0418585509597</v>
      </c>
      <c r="O354">
        <v>969.56608233065504</v>
      </c>
      <c r="P354">
        <v>2568.4015159048099</v>
      </c>
      <c r="Q354">
        <v>11985.0269275603</v>
      </c>
      <c r="R354">
        <v>1231.33728300797</v>
      </c>
      <c r="S354">
        <v>560.491443282369</v>
      </c>
      <c r="T354">
        <v>934.06960093351597</v>
      </c>
      <c r="U354">
        <v>111.6926082944</v>
      </c>
      <c r="V354">
        <v>851.71449696662103</v>
      </c>
      <c r="W354">
        <v>113.81473166436101</v>
      </c>
      <c r="X354">
        <v>465.415739494668</v>
      </c>
      <c r="Y354">
        <v>498.20835194767398</v>
      </c>
      <c r="Z354">
        <v>125.638906857639</v>
      </c>
      <c r="AA354">
        <v>627.57177648849199</v>
      </c>
      <c r="AB354">
        <v>694.21051085200895</v>
      </c>
      <c r="AC354">
        <v>200.91854008424301</v>
      </c>
      <c r="AD354">
        <v>898.01612592519302</v>
      </c>
      <c r="AE354">
        <v>72.474688250973799</v>
      </c>
      <c r="AF354">
        <v>251.19225504170001</v>
      </c>
      <c r="AG354">
        <v>720.67820404065401</v>
      </c>
    </row>
    <row r="355" spans="1:33" x14ac:dyDescent="0.25">
      <c r="A355" s="1">
        <v>44406</v>
      </c>
      <c r="B355">
        <v>19835.5914910869</v>
      </c>
      <c r="C355">
        <v>14070.2328328082</v>
      </c>
      <c r="D355">
        <v>19071.922455284101</v>
      </c>
      <c r="E355">
        <v>19963.532621554401</v>
      </c>
      <c r="F355">
        <v>16272.5642607589</v>
      </c>
      <c r="G355">
        <v>15757.7795253076</v>
      </c>
      <c r="H355">
        <v>28330.300203799299</v>
      </c>
      <c r="I355">
        <v>20432.455118409998</v>
      </c>
      <c r="J355">
        <v>2238.7312710941501</v>
      </c>
      <c r="K355">
        <v>1749.7251647134201</v>
      </c>
      <c r="L355">
        <v>1056.5829618528601</v>
      </c>
      <c r="M355">
        <v>13981.785750159899</v>
      </c>
      <c r="N355">
        <v>5712.2559913314299</v>
      </c>
      <c r="O355">
        <v>1011.79463638329</v>
      </c>
      <c r="P355">
        <v>2567.55577033895</v>
      </c>
      <c r="Q355">
        <v>12198.4196788308</v>
      </c>
      <c r="R355">
        <v>1249.9620830691999</v>
      </c>
      <c r="S355">
        <v>567.72081824378097</v>
      </c>
      <c r="T355">
        <v>915.93297923229602</v>
      </c>
      <c r="U355">
        <v>113.40462454349</v>
      </c>
      <c r="V355">
        <v>839.70201293533398</v>
      </c>
      <c r="W355">
        <v>115.569361743778</v>
      </c>
      <c r="X355">
        <v>453.40751826176501</v>
      </c>
      <c r="Y355">
        <v>522.62038162754095</v>
      </c>
      <c r="Z355">
        <v>126.94839131608001</v>
      </c>
      <c r="AA355">
        <v>623.74314654675902</v>
      </c>
      <c r="AB355">
        <v>729.53304422873305</v>
      </c>
      <c r="AC355">
        <v>184.52524779161001</v>
      </c>
      <c r="AD355">
        <v>891.86313608835496</v>
      </c>
      <c r="AE355">
        <v>80.105688681803898</v>
      </c>
      <c r="AF355">
        <v>248.54757308995201</v>
      </c>
      <c r="AG355">
        <v>719.53573160592703</v>
      </c>
    </row>
    <row r="356" spans="1:33" x14ac:dyDescent="0.25">
      <c r="A356" s="1">
        <v>44407</v>
      </c>
      <c r="B356">
        <v>19923.068834991998</v>
      </c>
      <c r="C356">
        <v>13916.7000149624</v>
      </c>
      <c r="D356">
        <v>19108.804577703198</v>
      </c>
      <c r="E356">
        <v>19962.2472710699</v>
      </c>
      <c r="F356">
        <v>16472.761492354301</v>
      </c>
      <c r="G356">
        <v>15845.826220957701</v>
      </c>
      <c r="H356">
        <v>28644.659075468498</v>
      </c>
      <c r="I356">
        <v>20487.1095085876</v>
      </c>
      <c r="J356">
        <v>2250.2090946001799</v>
      </c>
      <c r="K356">
        <v>1716.4041104957701</v>
      </c>
      <c r="L356">
        <v>1046.98068588963</v>
      </c>
      <c r="M356">
        <v>14077.8428626648</v>
      </c>
      <c r="N356">
        <v>5688.0086104542697</v>
      </c>
      <c r="O356">
        <v>1024.4621820223299</v>
      </c>
      <c r="P356">
        <v>2576.4547694254802</v>
      </c>
      <c r="Q356">
        <v>12188.8367391354</v>
      </c>
      <c r="R356">
        <v>1256.00301923857</v>
      </c>
      <c r="S356">
        <v>575.53551009756904</v>
      </c>
      <c r="T356">
        <v>890.13208376683303</v>
      </c>
      <c r="U356">
        <v>115.330883643506</v>
      </c>
      <c r="V356">
        <v>753.2007123651</v>
      </c>
      <c r="W356">
        <v>114.48490890933699</v>
      </c>
      <c r="X356">
        <v>360.32756776796703</v>
      </c>
      <c r="Y356">
        <v>516.74322043831899</v>
      </c>
      <c r="Z356">
        <v>127.890211160208</v>
      </c>
      <c r="AA356">
        <v>627.82806298233402</v>
      </c>
      <c r="AB356">
        <v>730.38768770439196</v>
      </c>
      <c r="AC356">
        <v>178.595252282263</v>
      </c>
      <c r="AD356">
        <v>879.76435268421994</v>
      </c>
      <c r="AE356">
        <v>74.255137315599001</v>
      </c>
      <c r="AF356">
        <v>247.72872492244801</v>
      </c>
      <c r="AG356">
        <v>716.26641369133699</v>
      </c>
    </row>
    <row r="357" spans="1:33" x14ac:dyDescent="0.25">
      <c r="A357" s="1">
        <v>44408</v>
      </c>
      <c r="B357">
        <v>20019.509850649501</v>
      </c>
      <c r="C357">
        <v>13850.779808744301</v>
      </c>
      <c r="D357">
        <v>19157.6581330275</v>
      </c>
      <c r="E357">
        <v>20004.031377614199</v>
      </c>
      <c r="F357">
        <v>16855.649926745002</v>
      </c>
      <c r="G357">
        <v>15675.849057699999</v>
      </c>
      <c r="H357">
        <v>29176.904496767402</v>
      </c>
      <c r="I357">
        <v>20529.238035573599</v>
      </c>
      <c r="J357">
        <v>2279.43511064634</v>
      </c>
      <c r="K357">
        <v>1696.6801768318801</v>
      </c>
      <c r="L357">
        <v>1038.21561185664</v>
      </c>
      <c r="M357">
        <v>14014.5044859379</v>
      </c>
      <c r="N357">
        <v>5747.0868833189897</v>
      </c>
      <c r="O357">
        <v>1077.84249643719</v>
      </c>
      <c r="P357">
        <v>2556.16270924741</v>
      </c>
      <c r="Q357">
        <v>12138.263996559799</v>
      </c>
      <c r="R357">
        <v>1276.6801481816899</v>
      </c>
      <c r="S357">
        <v>586.64733161968104</v>
      </c>
      <c r="T357">
        <v>879.65993158459503</v>
      </c>
      <c r="U357">
        <v>113.56541100320899</v>
      </c>
      <c r="V357">
        <v>688.34393486218903</v>
      </c>
      <c r="W357">
        <v>117.539184720164</v>
      </c>
      <c r="X357">
        <v>330.294460801242</v>
      </c>
      <c r="Y357">
        <v>507.13890546616898</v>
      </c>
      <c r="Z357">
        <v>127.794953348224</v>
      </c>
      <c r="AA357">
        <v>627.47883147176003</v>
      </c>
      <c r="AB357">
        <v>749.80594177421199</v>
      </c>
      <c r="AC357">
        <v>174.657556676458</v>
      </c>
      <c r="AD357">
        <v>865.69838559929997</v>
      </c>
      <c r="AE357">
        <v>65.246911092531903</v>
      </c>
      <c r="AF357">
        <v>248.367707786702</v>
      </c>
      <c r="AG357">
        <v>708.38612180319296</v>
      </c>
    </row>
    <row r="358" spans="1:33" x14ac:dyDescent="0.25">
      <c r="A358" s="1">
        <v>44409</v>
      </c>
      <c r="B358">
        <v>20068.702456533199</v>
      </c>
      <c r="C358">
        <v>13635.3389949751</v>
      </c>
      <c r="D358">
        <v>19101.8819603673</v>
      </c>
      <c r="E358">
        <v>20067.994038521501</v>
      </c>
      <c r="F358">
        <v>16595.071592226199</v>
      </c>
      <c r="G358">
        <v>15046.0873063584</v>
      </c>
      <c r="H358">
        <v>28405.643316658399</v>
      </c>
      <c r="I358">
        <v>20638.945106527099</v>
      </c>
      <c r="J358">
        <v>2277.6784446049701</v>
      </c>
      <c r="K358">
        <v>1685.8768263546001</v>
      </c>
      <c r="L358">
        <v>1013.82248132899</v>
      </c>
      <c r="M358">
        <v>13521.179463173899</v>
      </c>
      <c r="N358">
        <v>5450.6971532078896</v>
      </c>
      <c r="O358">
        <v>1024.01902372627</v>
      </c>
      <c r="P358">
        <v>2460.4135293852</v>
      </c>
      <c r="Q358">
        <v>11548.986024800701</v>
      </c>
      <c r="R358">
        <v>1251.0614272519001</v>
      </c>
      <c r="S358">
        <v>591.70998927397795</v>
      </c>
      <c r="T358">
        <v>817.74559510175197</v>
      </c>
      <c r="U358">
        <v>119.307842540526</v>
      </c>
      <c r="V358">
        <v>620.23813485355799</v>
      </c>
      <c r="W358">
        <v>118.81076660861601</v>
      </c>
      <c r="X358">
        <v>302.97249337979702</v>
      </c>
      <c r="Y358">
        <v>476.00725199453302</v>
      </c>
      <c r="Z358">
        <v>125.639307060679</v>
      </c>
      <c r="AA358">
        <v>628.48508455417505</v>
      </c>
      <c r="AB358">
        <v>728.608870182391</v>
      </c>
      <c r="AC358">
        <v>166.14327307052801</v>
      </c>
      <c r="AD358">
        <v>844.94685673826802</v>
      </c>
      <c r="AE358">
        <v>90.999518582841304</v>
      </c>
      <c r="AF358">
        <v>247.809376317198</v>
      </c>
      <c r="AG358">
        <v>697.75615141006801</v>
      </c>
    </row>
    <row r="359" spans="1:33" x14ac:dyDescent="0.25">
      <c r="A359" s="1">
        <v>44410</v>
      </c>
      <c r="B359">
        <v>20106.639980631699</v>
      </c>
      <c r="C359">
        <v>13542.7806490205</v>
      </c>
      <c r="D359">
        <v>19075.019463610301</v>
      </c>
      <c r="E359">
        <v>20136.721142471299</v>
      </c>
      <c r="F359">
        <v>16055.2217341301</v>
      </c>
      <c r="G359">
        <v>14671.883250454701</v>
      </c>
      <c r="H359">
        <v>28014.8577610024</v>
      </c>
      <c r="I359">
        <v>20726.177862934699</v>
      </c>
      <c r="J359">
        <v>2268.8798255998099</v>
      </c>
      <c r="K359">
        <v>1670.7493316641001</v>
      </c>
      <c r="L359">
        <v>1004.0091107946</v>
      </c>
      <c r="M359">
        <v>13151.3750390965</v>
      </c>
      <c r="N359">
        <v>5353.1179978127202</v>
      </c>
      <c r="O359">
        <v>984.51791052696501</v>
      </c>
      <c r="P359">
        <v>2390.33130634914</v>
      </c>
      <c r="Q359">
        <v>11338.308049687699</v>
      </c>
      <c r="R359">
        <v>1211.80068826263</v>
      </c>
      <c r="S359">
        <v>594.43882899692403</v>
      </c>
      <c r="T359">
        <v>770.806317802894</v>
      </c>
      <c r="U359">
        <v>118.808619717412</v>
      </c>
      <c r="V359">
        <v>631.55455241086997</v>
      </c>
      <c r="W359">
        <v>115.165568849628</v>
      </c>
      <c r="X359">
        <v>305.55536776674597</v>
      </c>
      <c r="Y359">
        <v>474.86898774392102</v>
      </c>
      <c r="Z359">
        <v>123.87560585476299</v>
      </c>
      <c r="AA359">
        <v>623.38004603578304</v>
      </c>
      <c r="AB359">
        <v>710.473650127729</v>
      </c>
      <c r="AC359">
        <v>156.99274296959899</v>
      </c>
      <c r="AD359">
        <v>835.72347855902206</v>
      </c>
      <c r="AE359">
        <v>95.565246614206401</v>
      </c>
      <c r="AF359">
        <v>242.31948138176099</v>
      </c>
      <c r="AG359">
        <v>686.35478468707197</v>
      </c>
    </row>
    <row r="360" spans="1:33" x14ac:dyDescent="0.25">
      <c r="A360" s="1">
        <v>44411</v>
      </c>
      <c r="B360">
        <v>20122.7135678222</v>
      </c>
      <c r="C360">
        <v>13524.965403297299</v>
      </c>
      <c r="D360">
        <v>19083.077827070199</v>
      </c>
      <c r="E360">
        <v>20179.874372418799</v>
      </c>
      <c r="F360">
        <v>15843.6485605864</v>
      </c>
      <c r="G360">
        <v>14622.2014651063</v>
      </c>
      <c r="H360">
        <v>28229.3954524111</v>
      </c>
      <c r="I360">
        <v>20566.676622068</v>
      </c>
      <c r="J360">
        <v>2248.3530746209399</v>
      </c>
      <c r="K360">
        <v>1670.28801245046</v>
      </c>
      <c r="L360">
        <v>1002.7052089208401</v>
      </c>
      <c r="M360">
        <v>13163.9965040228</v>
      </c>
      <c r="N360">
        <v>5418.6415427870597</v>
      </c>
      <c r="O360">
        <v>948.47963972100001</v>
      </c>
      <c r="P360">
        <v>2393.74541135052</v>
      </c>
      <c r="Q360">
        <v>11454.007991123301</v>
      </c>
      <c r="R360">
        <v>1198.0598012181299</v>
      </c>
      <c r="S360">
        <v>596.372354231136</v>
      </c>
      <c r="T360">
        <v>772.15115021296003</v>
      </c>
      <c r="U360">
        <v>116.15495737925499</v>
      </c>
      <c r="V360">
        <v>712.87257151722395</v>
      </c>
      <c r="W360">
        <v>116.71116341845401</v>
      </c>
      <c r="X360">
        <v>377.724412767996</v>
      </c>
      <c r="Y360">
        <v>528.93275380019395</v>
      </c>
      <c r="Z360">
        <v>123.91065620071799</v>
      </c>
      <c r="AA360">
        <v>614.25416985772995</v>
      </c>
      <c r="AB360">
        <v>711.19965345895298</v>
      </c>
      <c r="AC360">
        <v>156.841514843932</v>
      </c>
      <c r="AD360">
        <v>839.58934813534404</v>
      </c>
      <c r="AE360">
        <v>82.934775426437795</v>
      </c>
      <c r="AF360">
        <v>234.49652270308201</v>
      </c>
      <c r="AG360">
        <v>677.47976438216006</v>
      </c>
    </row>
    <row r="361" spans="1:33" x14ac:dyDescent="0.25">
      <c r="A361" s="1">
        <v>44412</v>
      </c>
      <c r="B361">
        <v>20145.466800372102</v>
      </c>
      <c r="C361">
        <v>13374.995900837799</v>
      </c>
      <c r="D361">
        <v>19130.391637458499</v>
      </c>
      <c r="E361">
        <v>20200.727872879099</v>
      </c>
      <c r="F361">
        <v>16003.9661181183</v>
      </c>
      <c r="G361">
        <v>14912.6266825003</v>
      </c>
      <c r="H361">
        <v>28943.728685741899</v>
      </c>
      <c r="I361">
        <v>20407.691055382202</v>
      </c>
      <c r="J361">
        <v>2217.38549558255</v>
      </c>
      <c r="K361">
        <v>1658.00975108589</v>
      </c>
      <c r="L361">
        <v>1021.42442883766</v>
      </c>
      <c r="M361">
        <v>13541.266803902199</v>
      </c>
      <c r="N361">
        <v>5789.9803533849599</v>
      </c>
      <c r="O361">
        <v>1001.5995561385701</v>
      </c>
      <c r="P361">
        <v>2452.8554434666098</v>
      </c>
      <c r="Q361">
        <v>11806.061521564799</v>
      </c>
      <c r="R361">
        <v>1256.4545369958901</v>
      </c>
      <c r="S361">
        <v>598.75198520307299</v>
      </c>
      <c r="T361">
        <v>861.55458222720904</v>
      </c>
      <c r="U361">
        <v>117.170060851328</v>
      </c>
      <c r="V361">
        <v>810.82268475587705</v>
      </c>
      <c r="W361">
        <v>113.83426542054001</v>
      </c>
      <c r="X361">
        <v>468.29970187522099</v>
      </c>
      <c r="Y361">
        <v>570.58572920830704</v>
      </c>
      <c r="Z361">
        <v>124.944049512305</v>
      </c>
      <c r="AA361">
        <v>604.54552530342903</v>
      </c>
      <c r="AB361">
        <v>712.92766866642205</v>
      </c>
      <c r="AC361">
        <v>172.5974909434</v>
      </c>
      <c r="AD361">
        <v>855.228619711894</v>
      </c>
      <c r="AE361">
        <v>76.168315364703702</v>
      </c>
      <c r="AF361">
        <v>228.216548188259</v>
      </c>
      <c r="AG361">
        <v>675.33514252233897</v>
      </c>
    </row>
    <row r="362" spans="1:33" x14ac:dyDescent="0.25">
      <c r="A362" s="1">
        <v>44413</v>
      </c>
      <c r="B362">
        <v>20179.054600253901</v>
      </c>
      <c r="C362">
        <v>13247.3454965129</v>
      </c>
      <c r="D362">
        <v>19135.276092001201</v>
      </c>
      <c r="E362">
        <v>20190.947851455701</v>
      </c>
      <c r="F362">
        <v>15979.2120845148</v>
      </c>
      <c r="G362">
        <v>14790.7661135978</v>
      </c>
      <c r="H362">
        <v>28568.157769029898</v>
      </c>
      <c r="I362">
        <v>20321.791660278101</v>
      </c>
      <c r="J362">
        <v>2179.2389280628299</v>
      </c>
      <c r="K362">
        <v>1630.2074138370201</v>
      </c>
      <c r="L362">
        <v>1045.17648182836</v>
      </c>
      <c r="M362">
        <v>13488.2517465334</v>
      </c>
      <c r="N362">
        <v>5941.7659904408201</v>
      </c>
      <c r="O362">
        <v>1023.30104700024</v>
      </c>
      <c r="P362">
        <v>2437.1428636637402</v>
      </c>
      <c r="Q362">
        <v>11799.9116154852</v>
      </c>
      <c r="R362">
        <v>1265.17480479917</v>
      </c>
      <c r="S362">
        <v>596.96611691662997</v>
      </c>
      <c r="T362">
        <v>938.58404954681396</v>
      </c>
      <c r="U362">
        <v>115.049141407891</v>
      </c>
      <c r="V362">
        <v>831.256597753101</v>
      </c>
      <c r="W362">
        <v>115.12761001620601</v>
      </c>
      <c r="X362">
        <v>453.69748947667301</v>
      </c>
      <c r="Y362">
        <v>522.16150711405101</v>
      </c>
      <c r="Z362">
        <v>125.25255955221</v>
      </c>
      <c r="AA362">
        <v>601.97103456592595</v>
      </c>
      <c r="AB362">
        <v>699.04922407878598</v>
      </c>
      <c r="AC362">
        <v>191.13584093530699</v>
      </c>
      <c r="AD362">
        <v>862.32593765413799</v>
      </c>
      <c r="AE362">
        <v>80.234337453730902</v>
      </c>
      <c r="AF362">
        <v>222.406632959322</v>
      </c>
      <c r="AG362">
        <v>677.46338228017896</v>
      </c>
    </row>
    <row r="363" spans="1:33" x14ac:dyDescent="0.25">
      <c r="A363" s="1">
        <v>44414</v>
      </c>
      <c r="B363">
        <v>20169.243776080799</v>
      </c>
      <c r="C363">
        <v>13167.0861343656</v>
      </c>
      <c r="D363">
        <v>19061.224333486101</v>
      </c>
      <c r="E363">
        <v>20123.275662597101</v>
      </c>
      <c r="F363">
        <v>15668.098607881901</v>
      </c>
      <c r="G363">
        <v>14450.383348024199</v>
      </c>
      <c r="H363">
        <v>27406.438994222899</v>
      </c>
      <c r="I363">
        <v>20048.607574800299</v>
      </c>
      <c r="J363">
        <v>2134.8980146363401</v>
      </c>
      <c r="K363">
        <v>1627.68931182559</v>
      </c>
      <c r="L363">
        <v>1018.80621650244</v>
      </c>
      <c r="M363">
        <v>12931.833906952499</v>
      </c>
      <c r="N363">
        <v>5408.2782629009998</v>
      </c>
      <c r="O363">
        <v>907.54636443376501</v>
      </c>
      <c r="P363">
        <v>2397.71211996682</v>
      </c>
      <c r="Q363">
        <v>11193.2911626643</v>
      </c>
      <c r="R363">
        <v>1167.92441960886</v>
      </c>
      <c r="S363">
        <v>594.24241368029004</v>
      </c>
      <c r="T363">
        <v>856.48457409967796</v>
      </c>
      <c r="U363">
        <v>115.866939274731</v>
      </c>
      <c r="V363">
        <v>785.23344783342702</v>
      </c>
      <c r="W363">
        <v>117.397748093112</v>
      </c>
      <c r="X363">
        <v>441.04193622104401</v>
      </c>
      <c r="Y363">
        <v>481.81005705327402</v>
      </c>
      <c r="Z363">
        <v>125.350466463413</v>
      </c>
      <c r="AA363">
        <v>606.50013923921995</v>
      </c>
      <c r="AB363">
        <v>670.94785307670304</v>
      </c>
      <c r="AC363">
        <v>208.245052884199</v>
      </c>
      <c r="AD363">
        <v>848.14847652621597</v>
      </c>
      <c r="AE363">
        <v>82.015239886623206</v>
      </c>
      <c r="AF363">
        <v>217.230130438011</v>
      </c>
      <c r="AG363">
        <v>679.57401199834601</v>
      </c>
    </row>
    <row r="364" spans="1:33" x14ac:dyDescent="0.25">
      <c r="A364" s="1">
        <v>44415</v>
      </c>
      <c r="B364">
        <v>20121.573345560701</v>
      </c>
      <c r="C364">
        <v>13091.3101511815</v>
      </c>
      <c r="D364">
        <v>19091.992026676999</v>
      </c>
      <c r="E364">
        <v>20024.5810835099</v>
      </c>
      <c r="F364">
        <v>15763.539239343099</v>
      </c>
      <c r="G364">
        <v>15210.731259364</v>
      </c>
      <c r="H364">
        <v>28005.309807587499</v>
      </c>
      <c r="I364">
        <v>19712.7164922415</v>
      </c>
      <c r="J364">
        <v>2110.3493396365802</v>
      </c>
      <c r="K364">
        <v>1662.1662161864599</v>
      </c>
      <c r="L364">
        <v>1013.93595885077</v>
      </c>
      <c r="M364">
        <v>13459.471282339</v>
      </c>
      <c r="N364">
        <v>5599.8141550065002</v>
      </c>
      <c r="O364">
        <v>940.56456741762202</v>
      </c>
      <c r="P364">
        <v>2470.9789982451698</v>
      </c>
      <c r="Q364">
        <v>11668.294379061899</v>
      </c>
      <c r="R364">
        <v>1183.1989342438001</v>
      </c>
      <c r="S364">
        <v>589.14964563750902</v>
      </c>
      <c r="T364">
        <v>908.98582123926803</v>
      </c>
      <c r="U364">
        <v>116.46295848625201</v>
      </c>
      <c r="V364">
        <v>935.23352529475596</v>
      </c>
      <c r="W364">
        <v>119.170400753217</v>
      </c>
      <c r="X364">
        <v>547.99157305696997</v>
      </c>
      <c r="Y364">
        <v>536.52401406909598</v>
      </c>
      <c r="Z364">
        <v>127.93292692907499</v>
      </c>
      <c r="AA364">
        <v>603.24611967093301</v>
      </c>
      <c r="AB364">
        <v>712.038273177924</v>
      </c>
      <c r="AC364">
        <v>216.125169785742</v>
      </c>
      <c r="AD364">
        <v>855.86930301554196</v>
      </c>
      <c r="AE364">
        <v>82.015148159507802</v>
      </c>
      <c r="AF364">
        <v>214.83318725701099</v>
      </c>
      <c r="AG364">
        <v>682.14827603645597</v>
      </c>
    </row>
    <row r="365" spans="1:33" x14ac:dyDescent="0.25">
      <c r="A365" s="1">
        <v>44416</v>
      </c>
      <c r="B365">
        <v>20065.048795162598</v>
      </c>
      <c r="C365">
        <v>13013.507097736499</v>
      </c>
      <c r="D365">
        <v>19102.762323906001</v>
      </c>
      <c r="E365">
        <v>19928.281819415901</v>
      </c>
      <c r="F365">
        <v>16454.638295193599</v>
      </c>
      <c r="G365">
        <v>15946.837958735399</v>
      </c>
      <c r="H365">
        <v>28654.8786954733</v>
      </c>
      <c r="I365">
        <v>19692.5227474643</v>
      </c>
      <c r="J365">
        <v>2114.3139100592198</v>
      </c>
      <c r="K365">
        <v>1652.8880264278</v>
      </c>
      <c r="L365">
        <v>1049.2867679948899</v>
      </c>
      <c r="M365">
        <v>14114.2506978123</v>
      </c>
      <c r="N365">
        <v>6028.6074896462997</v>
      </c>
      <c r="O365">
        <v>1029.15248529623</v>
      </c>
      <c r="P365">
        <v>2599.45069839504</v>
      </c>
      <c r="Q365">
        <v>12482.3272105415</v>
      </c>
      <c r="R365">
        <v>1269.8169267682099</v>
      </c>
      <c r="S365">
        <v>581.50623306733701</v>
      </c>
      <c r="T365">
        <v>1088.9029173420699</v>
      </c>
      <c r="U365">
        <v>118.188346711782</v>
      </c>
      <c r="V365">
        <v>1079.1451774679299</v>
      </c>
      <c r="W365">
        <v>122.233745769477</v>
      </c>
      <c r="X365">
        <v>628.58746585975405</v>
      </c>
      <c r="Y365">
        <v>546.49438468467895</v>
      </c>
      <c r="Z365">
        <v>130.137303237125</v>
      </c>
      <c r="AA365">
        <v>596.73431069403898</v>
      </c>
      <c r="AB365">
        <v>714.58984218192495</v>
      </c>
      <c r="AC365">
        <v>219.547124809731</v>
      </c>
      <c r="AD365">
        <v>887.73073483546898</v>
      </c>
      <c r="AE365">
        <v>92.989407130388003</v>
      </c>
      <c r="AF365">
        <v>215.33157115903001</v>
      </c>
      <c r="AG365">
        <v>685.854925728127</v>
      </c>
    </row>
    <row r="366" spans="1:33" x14ac:dyDescent="0.25">
      <c r="A366" s="1">
        <v>44417</v>
      </c>
      <c r="B366">
        <v>19995.599688290102</v>
      </c>
      <c r="C366">
        <v>12984.147968995199</v>
      </c>
      <c r="D366">
        <v>19067.316051335602</v>
      </c>
      <c r="E366">
        <v>19913.3094925308</v>
      </c>
      <c r="F366">
        <v>16763.225202683199</v>
      </c>
      <c r="G366">
        <v>15923.989798017899</v>
      </c>
      <c r="H366">
        <v>28475.003441680601</v>
      </c>
      <c r="I366">
        <v>19800.899162271598</v>
      </c>
      <c r="J366">
        <v>2121.1429172039002</v>
      </c>
      <c r="K366">
        <v>1660.9658618864901</v>
      </c>
      <c r="L366">
        <v>1053.1794437139399</v>
      </c>
      <c r="M366">
        <v>14151.5107965241</v>
      </c>
      <c r="N366">
        <v>6142.3632077500697</v>
      </c>
      <c r="O366">
        <v>1014.76975187879</v>
      </c>
      <c r="P366">
        <v>2632.5900866644602</v>
      </c>
      <c r="Q366">
        <v>12514.3269711058</v>
      </c>
      <c r="R366">
        <v>1256.7328832642499</v>
      </c>
      <c r="S366">
        <v>573.87886209368003</v>
      </c>
      <c r="T366">
        <v>1085.918642314</v>
      </c>
      <c r="U366">
        <v>122.241406785927</v>
      </c>
      <c r="V366">
        <v>1069.55741790917</v>
      </c>
      <c r="W366">
        <v>121.492289972002</v>
      </c>
      <c r="X366">
        <v>604.42050894024499</v>
      </c>
      <c r="Y366">
        <v>499.54949228809801</v>
      </c>
      <c r="Z366">
        <v>130.126299642459</v>
      </c>
      <c r="AA366">
        <v>604.50331832198697</v>
      </c>
      <c r="AB366">
        <v>687.03643419619004</v>
      </c>
      <c r="AC366">
        <v>216.912634376341</v>
      </c>
      <c r="AD366">
        <v>885.85023410872702</v>
      </c>
      <c r="AE366">
        <v>93.706950229722693</v>
      </c>
      <c r="AF366">
        <v>219.06733898400799</v>
      </c>
      <c r="AG366">
        <v>686.98814502537505</v>
      </c>
    </row>
    <row r="367" spans="1:33" x14ac:dyDescent="0.25">
      <c r="A367" s="1">
        <v>44418</v>
      </c>
      <c r="B367">
        <v>19935.9970753257</v>
      </c>
      <c r="C367">
        <v>13065.399231891601</v>
      </c>
      <c r="D367">
        <v>19045.982294275698</v>
      </c>
      <c r="E367">
        <v>19915.6318488857</v>
      </c>
      <c r="F367">
        <v>16677.244719756101</v>
      </c>
      <c r="G367">
        <v>15750.0558274587</v>
      </c>
      <c r="H367">
        <v>28169.819597818099</v>
      </c>
      <c r="I367">
        <v>19860.0992188573</v>
      </c>
      <c r="J367">
        <v>2131.4438547321602</v>
      </c>
      <c r="K367">
        <v>1665.2416531195499</v>
      </c>
      <c r="L367">
        <v>1039.75408844768</v>
      </c>
      <c r="M367">
        <v>13919.0997114682</v>
      </c>
      <c r="N367">
        <v>5999.79886599151</v>
      </c>
      <c r="O367">
        <v>995.47943381238201</v>
      </c>
      <c r="P367">
        <v>2587.5191063833399</v>
      </c>
      <c r="Q367">
        <v>12321.978574090401</v>
      </c>
      <c r="R367">
        <v>1234.1612039716999</v>
      </c>
      <c r="S367">
        <v>566.98811546116895</v>
      </c>
      <c r="T367">
        <v>1037.1910059045099</v>
      </c>
      <c r="U367">
        <v>121.79924725902499</v>
      </c>
      <c r="V367">
        <v>1005.5205211387801</v>
      </c>
      <c r="W367">
        <v>118.480205631563</v>
      </c>
      <c r="X367">
        <v>566.39212156629003</v>
      </c>
      <c r="Y367">
        <v>484.18561266534999</v>
      </c>
      <c r="Z367">
        <v>130.73940636219601</v>
      </c>
      <c r="AA367">
        <v>608.32971158549196</v>
      </c>
      <c r="AB367">
        <v>669.43438958868899</v>
      </c>
      <c r="AC367">
        <v>211.79025270044701</v>
      </c>
      <c r="AD367">
        <v>874.608406578531</v>
      </c>
      <c r="AE367">
        <v>82.015205755604697</v>
      </c>
      <c r="AF367">
        <v>225.94759258093001</v>
      </c>
      <c r="AG367">
        <v>686.75833278323796</v>
      </c>
    </row>
    <row r="368" spans="1:33" x14ac:dyDescent="0.25">
      <c r="A368" s="1">
        <v>44419</v>
      </c>
      <c r="B368">
        <v>19899.6615422342</v>
      </c>
      <c r="C368">
        <v>13165.4428262977</v>
      </c>
      <c r="D368">
        <v>19042.2224846594</v>
      </c>
      <c r="E368">
        <v>19897.148560855701</v>
      </c>
      <c r="F368">
        <v>16443.160614754401</v>
      </c>
      <c r="G368">
        <v>15669.757238509799</v>
      </c>
      <c r="H368">
        <v>27943.6580252073</v>
      </c>
      <c r="I368">
        <v>19950.650590822599</v>
      </c>
      <c r="J368">
        <v>2134.8982564528201</v>
      </c>
      <c r="K368">
        <v>1655.0326563957101</v>
      </c>
      <c r="L368">
        <v>1023.19234395283</v>
      </c>
      <c r="M368">
        <v>13873.773540203099</v>
      </c>
      <c r="N368">
        <v>5792.2930696193098</v>
      </c>
      <c r="O368">
        <v>987.89101818347206</v>
      </c>
      <c r="P368">
        <v>2512.7308904987899</v>
      </c>
      <c r="Q368">
        <v>12239.5847702583</v>
      </c>
      <c r="R368">
        <v>1212.90002183455</v>
      </c>
      <c r="S368">
        <v>560.66623536933196</v>
      </c>
      <c r="T368">
        <v>965.34930356560005</v>
      </c>
      <c r="U368">
        <v>118.134272476902</v>
      </c>
      <c r="V368">
        <v>933.88527060133003</v>
      </c>
      <c r="W368">
        <v>118.45446177240601</v>
      </c>
      <c r="X368">
        <v>529.52953048655502</v>
      </c>
      <c r="Y368">
        <v>482.89654946088598</v>
      </c>
      <c r="Z368">
        <v>130.53003405184799</v>
      </c>
      <c r="AA368">
        <v>607.56309705236504</v>
      </c>
      <c r="AB368">
        <v>664.18092148851099</v>
      </c>
      <c r="AC368">
        <v>200.17446707397499</v>
      </c>
      <c r="AD368">
        <v>861.64516466891098</v>
      </c>
      <c r="AE368">
        <v>77.572810836131794</v>
      </c>
      <c r="AF368">
        <v>233.83501868479601</v>
      </c>
      <c r="AG368">
        <v>686.58448338940298</v>
      </c>
    </row>
    <row r="369" spans="1:33" x14ac:dyDescent="0.25">
      <c r="A369" s="1">
        <v>44420</v>
      </c>
      <c r="B369">
        <v>19871.130644032899</v>
      </c>
      <c r="C369">
        <v>13221.0401426895</v>
      </c>
      <c r="D369">
        <v>19077.706285649601</v>
      </c>
      <c r="E369">
        <v>19889.212644184601</v>
      </c>
      <c r="F369">
        <v>16138.797820857901</v>
      </c>
      <c r="G369">
        <v>15340.745204151801</v>
      </c>
      <c r="H369">
        <v>27792.616171842899</v>
      </c>
      <c r="I369">
        <v>19973.7644171303</v>
      </c>
      <c r="J369">
        <v>2125.9722286320898</v>
      </c>
      <c r="K369">
        <v>1624.1478969265399</v>
      </c>
      <c r="L369">
        <v>1008.94932604813</v>
      </c>
      <c r="M369">
        <v>13689.473541175401</v>
      </c>
      <c r="N369">
        <v>5660.3485255001797</v>
      </c>
      <c r="O369">
        <v>976.35587798537301</v>
      </c>
      <c r="P369">
        <v>2408.93445339544</v>
      </c>
      <c r="Q369">
        <v>11986.8077498535</v>
      </c>
      <c r="R369">
        <v>1197.11876177307</v>
      </c>
      <c r="S369">
        <v>555.67177718664902</v>
      </c>
      <c r="T369">
        <v>891.67365692773797</v>
      </c>
      <c r="U369">
        <v>118.16304259116001</v>
      </c>
      <c r="V369">
        <v>857.02736022779004</v>
      </c>
      <c r="W369">
        <v>119.61005953164801</v>
      </c>
      <c r="X369">
        <v>485.82946798333501</v>
      </c>
      <c r="Y369">
        <v>480.25348097649101</v>
      </c>
      <c r="Z369">
        <v>129.219550219892</v>
      </c>
      <c r="AA369">
        <v>608.64779603966201</v>
      </c>
      <c r="AB369">
        <v>657.01005833835097</v>
      </c>
      <c r="AC369">
        <v>178.217343044757</v>
      </c>
      <c r="AD369">
        <v>845.12059894634103</v>
      </c>
      <c r="AE369">
        <v>76.720112174526804</v>
      </c>
      <c r="AF369">
        <v>241.61095990639799</v>
      </c>
      <c r="AG369">
        <v>687.22064093510596</v>
      </c>
    </row>
    <row r="370" spans="1:33" x14ac:dyDescent="0.25">
      <c r="A370" s="1">
        <v>44421</v>
      </c>
      <c r="B370">
        <v>19852.386751942598</v>
      </c>
      <c r="C370">
        <v>13251.0480844505</v>
      </c>
      <c r="D370">
        <v>19086.051998520201</v>
      </c>
      <c r="E370">
        <v>19901.147580386201</v>
      </c>
      <c r="F370">
        <v>15670.3167333893</v>
      </c>
      <c r="G370">
        <v>14903.2983346613</v>
      </c>
      <c r="H370">
        <v>27317.149309496599</v>
      </c>
      <c r="I370">
        <v>19969.525596788801</v>
      </c>
      <c r="J370">
        <v>2096.8982456075901</v>
      </c>
      <c r="K370">
        <v>1611.2143624078899</v>
      </c>
      <c r="L370">
        <v>981.38774220928497</v>
      </c>
      <c r="M370">
        <v>13291.3212638104</v>
      </c>
      <c r="N370">
        <v>5322.6451519681304</v>
      </c>
      <c r="O370">
        <v>906.54395044788396</v>
      </c>
      <c r="P370">
        <v>2304.02647189753</v>
      </c>
      <c r="Q370">
        <v>11435.708806815899</v>
      </c>
      <c r="R370">
        <v>1130.66204416801</v>
      </c>
      <c r="S370">
        <v>552.967509008565</v>
      </c>
      <c r="T370">
        <v>806.85289429962802</v>
      </c>
      <c r="U370">
        <v>119.55215494149201</v>
      </c>
      <c r="V370">
        <v>743.95432793260602</v>
      </c>
      <c r="W370">
        <v>117.333880797497</v>
      </c>
      <c r="X370">
        <v>402.84034503964801</v>
      </c>
      <c r="Y370">
        <v>459.82981014826998</v>
      </c>
      <c r="Z370">
        <v>127.953677942333</v>
      </c>
      <c r="AA370">
        <v>611.34092714756605</v>
      </c>
      <c r="AB370">
        <v>642.93519382940997</v>
      </c>
      <c r="AC370">
        <v>173.182960434725</v>
      </c>
      <c r="AD370">
        <v>820.12183067707201</v>
      </c>
      <c r="AE370">
        <v>77.778226122682199</v>
      </c>
      <c r="AF370">
        <v>248.35265148245699</v>
      </c>
      <c r="AG370">
        <v>688.06242427660402</v>
      </c>
    </row>
    <row r="371" spans="1:33" x14ac:dyDescent="0.25">
      <c r="A371" s="1">
        <v>44422</v>
      </c>
      <c r="B371">
        <v>19853.629884354701</v>
      </c>
      <c r="C371">
        <v>13250.564702567201</v>
      </c>
      <c r="D371">
        <v>19100.549906197601</v>
      </c>
      <c r="E371">
        <v>19907.763049321398</v>
      </c>
      <c r="F371">
        <v>15297.130292485101</v>
      </c>
      <c r="G371">
        <v>14771.5611083402</v>
      </c>
      <c r="H371">
        <v>27228.812376990401</v>
      </c>
      <c r="I371">
        <v>19894.954267905799</v>
      </c>
      <c r="J371">
        <v>2073.9353617389002</v>
      </c>
      <c r="K371">
        <v>1604.9267987722601</v>
      </c>
      <c r="L371">
        <v>952.41402960678795</v>
      </c>
      <c r="M371">
        <v>13042.1490930778</v>
      </c>
      <c r="N371">
        <v>4948.9465808183204</v>
      </c>
      <c r="O371">
        <v>853.14128038828301</v>
      </c>
      <c r="P371">
        <v>2230.1374546859201</v>
      </c>
      <c r="Q371">
        <v>11067.569315663</v>
      </c>
      <c r="R371">
        <v>1089.39532393378</v>
      </c>
      <c r="S371">
        <v>551.19117297719401</v>
      </c>
      <c r="T371">
        <v>776.50911807852901</v>
      </c>
      <c r="U371">
        <v>116.539931303431</v>
      </c>
      <c r="V371">
        <v>685.60757243421403</v>
      </c>
      <c r="W371">
        <v>112.336383793633</v>
      </c>
      <c r="X371">
        <v>361.08630048767202</v>
      </c>
      <c r="Y371">
        <v>459.96851675604</v>
      </c>
      <c r="Z371">
        <v>128.202954489299</v>
      </c>
      <c r="AA371">
        <v>607.57712092873703</v>
      </c>
      <c r="AB371">
        <v>663.52910592979197</v>
      </c>
      <c r="AC371">
        <v>170.202029095748</v>
      </c>
      <c r="AD371">
        <v>803.87958984648196</v>
      </c>
      <c r="AE371">
        <v>84.4862154761678</v>
      </c>
      <c r="AF371">
        <v>249.807471397782</v>
      </c>
      <c r="AG371">
        <v>687.584380730774</v>
      </c>
    </row>
    <row r="372" spans="1:33" x14ac:dyDescent="0.25">
      <c r="A372" s="1">
        <v>44423</v>
      </c>
      <c r="B372">
        <v>19885.166242445699</v>
      </c>
      <c r="C372">
        <v>13195.7887487846</v>
      </c>
      <c r="D372">
        <v>19173.8514480413</v>
      </c>
      <c r="E372">
        <v>19925.957515272199</v>
      </c>
      <c r="F372">
        <v>15498.331871334</v>
      </c>
      <c r="G372">
        <v>15176.9175527881</v>
      </c>
      <c r="H372">
        <v>27806.173468427602</v>
      </c>
      <c r="I372">
        <v>19848.3566864077</v>
      </c>
      <c r="J372">
        <v>2084.4243397299701</v>
      </c>
      <c r="K372">
        <v>1604.6350421816001</v>
      </c>
      <c r="L372">
        <v>948.40595540803702</v>
      </c>
      <c r="M372">
        <v>13393.4213779724</v>
      </c>
      <c r="N372">
        <v>5248.3712668134003</v>
      </c>
      <c r="O372">
        <v>898.81505744405399</v>
      </c>
      <c r="P372">
        <v>2294.7469180039702</v>
      </c>
      <c r="Q372">
        <v>11439.673985109601</v>
      </c>
      <c r="R372">
        <v>1108.25393887527</v>
      </c>
      <c r="S372">
        <v>550.12763220749298</v>
      </c>
      <c r="T372">
        <v>834.82889547283798</v>
      </c>
      <c r="U372">
        <v>111.382642621416</v>
      </c>
      <c r="V372">
        <v>774.19789237217503</v>
      </c>
      <c r="W372">
        <v>117.905165565031</v>
      </c>
      <c r="X372">
        <v>410.92334955986399</v>
      </c>
      <c r="Y372">
        <v>505.09291209199603</v>
      </c>
      <c r="Z372">
        <v>130.38094820791699</v>
      </c>
      <c r="AA372">
        <v>600.09184885561604</v>
      </c>
      <c r="AB372">
        <v>719.77794945304902</v>
      </c>
      <c r="AC372">
        <v>167.245091545446</v>
      </c>
      <c r="AD372">
        <v>803.68791135479501</v>
      </c>
      <c r="AE372">
        <v>120.638299942386</v>
      </c>
      <c r="AF372">
        <v>244.72481820156</v>
      </c>
      <c r="AG372">
        <v>683.57024820771505</v>
      </c>
    </row>
    <row r="373" spans="1:33" x14ac:dyDescent="0.25">
      <c r="A373" s="1">
        <v>44424</v>
      </c>
      <c r="B373">
        <v>19930.9884250209</v>
      </c>
      <c r="C373">
        <v>13079.2639921685</v>
      </c>
      <c r="D373">
        <v>19190.307657852802</v>
      </c>
      <c r="E373">
        <v>19945.9695298226</v>
      </c>
      <c r="F373">
        <v>15792.042701583799</v>
      </c>
      <c r="G373">
        <v>15380.835515933</v>
      </c>
      <c r="H373">
        <v>27996.546239021802</v>
      </c>
      <c r="I373">
        <v>19832.928702281501</v>
      </c>
      <c r="J373">
        <v>2077.1876578700999</v>
      </c>
      <c r="K373">
        <v>1613.04046691488</v>
      </c>
      <c r="L373">
        <v>953.46525589561395</v>
      </c>
      <c r="M373">
        <v>13742.1315124174</v>
      </c>
      <c r="N373">
        <v>5428.7194074101099</v>
      </c>
      <c r="O373">
        <v>923.40683882796702</v>
      </c>
      <c r="P373">
        <v>2334.3829207927201</v>
      </c>
      <c r="Q373">
        <v>11721.318416816001</v>
      </c>
      <c r="R373">
        <v>1140.3829832372301</v>
      </c>
      <c r="S373">
        <v>549.80132029468803</v>
      </c>
      <c r="T373">
        <v>902.97825392869299</v>
      </c>
      <c r="U373">
        <v>119.32090548088399</v>
      </c>
      <c r="V373">
        <v>806.90721817983604</v>
      </c>
      <c r="W373">
        <v>128.33439715976999</v>
      </c>
      <c r="X373">
        <v>421.93278962133598</v>
      </c>
      <c r="Y373">
        <v>550.90803279658996</v>
      </c>
      <c r="Z373">
        <v>132.04472868692201</v>
      </c>
      <c r="AA373">
        <v>596.85198576595894</v>
      </c>
      <c r="AB373">
        <v>743.73310520484904</v>
      </c>
      <c r="AC373">
        <v>166.382179217035</v>
      </c>
      <c r="AD373">
        <v>807.76295731442099</v>
      </c>
      <c r="AE373">
        <v>129.818181581809</v>
      </c>
      <c r="AF373">
        <v>237.61753012737901</v>
      </c>
      <c r="AG373">
        <v>676.96809383562595</v>
      </c>
    </row>
    <row r="374" spans="1:33" x14ac:dyDescent="0.25">
      <c r="A374" s="1">
        <v>44425</v>
      </c>
      <c r="B374">
        <v>19974.092651581599</v>
      </c>
      <c r="C374">
        <v>13017.735496322</v>
      </c>
      <c r="D374">
        <v>19234.7126633757</v>
      </c>
      <c r="E374">
        <v>19952.080673147098</v>
      </c>
      <c r="F374">
        <v>16124.019446635</v>
      </c>
      <c r="G374">
        <v>15702.446259493099</v>
      </c>
      <c r="H374">
        <v>28311.917316033399</v>
      </c>
      <c r="I374">
        <v>19834.133811591601</v>
      </c>
      <c r="J374">
        <v>2086.08570214159</v>
      </c>
      <c r="K374">
        <v>1640.7951480494801</v>
      </c>
      <c r="L374">
        <v>976.61104553416499</v>
      </c>
      <c r="M374">
        <v>14165.8639243163</v>
      </c>
      <c r="N374">
        <v>5869.0498957319696</v>
      </c>
      <c r="O374">
        <v>941.61880918397901</v>
      </c>
      <c r="P374">
        <v>2446.7258024743701</v>
      </c>
      <c r="Q374">
        <v>12234.485434644501</v>
      </c>
      <c r="R374">
        <v>1179.5063424796399</v>
      </c>
      <c r="S374">
        <v>550.08909495338298</v>
      </c>
      <c r="T374">
        <v>959.08961495876395</v>
      </c>
      <c r="U374">
        <v>127.53410126457899</v>
      </c>
      <c r="V374">
        <v>898.89559059142698</v>
      </c>
      <c r="W374">
        <v>124.66741357845</v>
      </c>
      <c r="X374">
        <v>480.70215001741502</v>
      </c>
      <c r="Y374">
        <v>592.42994409341702</v>
      </c>
      <c r="Z374">
        <v>132.24594482400099</v>
      </c>
      <c r="AA374">
        <v>593.72535239920603</v>
      </c>
      <c r="AB374">
        <v>738.68025279111703</v>
      </c>
      <c r="AC374">
        <v>168.82457816127001</v>
      </c>
      <c r="AD374">
        <v>821.00020757662696</v>
      </c>
      <c r="AE374">
        <v>144.311864016812</v>
      </c>
      <c r="AF374">
        <v>231.741287632736</v>
      </c>
      <c r="AG374">
        <v>669.646720337185</v>
      </c>
    </row>
    <row r="375" spans="1:33" x14ac:dyDescent="0.25">
      <c r="A375" s="1">
        <v>44426</v>
      </c>
      <c r="B375">
        <v>19980.906882829098</v>
      </c>
      <c r="C375">
        <v>13034.9486409124</v>
      </c>
      <c r="D375">
        <v>19233.896372614799</v>
      </c>
      <c r="E375">
        <v>19947.417582733298</v>
      </c>
      <c r="F375">
        <v>16478.765053814801</v>
      </c>
      <c r="G375">
        <v>15882.6687542661</v>
      </c>
      <c r="H375">
        <v>28347.405298577902</v>
      </c>
      <c r="I375">
        <v>19833.093051297499</v>
      </c>
      <c r="J375">
        <v>2091.27486916813</v>
      </c>
      <c r="K375">
        <v>1641.89602603661</v>
      </c>
      <c r="L375">
        <v>994.67530488241096</v>
      </c>
      <c r="M375">
        <v>14220.7018806838</v>
      </c>
      <c r="N375">
        <v>6018.6218722654703</v>
      </c>
      <c r="O375">
        <v>954.95824018617202</v>
      </c>
      <c r="P375">
        <v>2529.2669166641499</v>
      </c>
      <c r="Q375">
        <v>12406.3143258862</v>
      </c>
      <c r="R375">
        <v>1212.8613022991201</v>
      </c>
      <c r="S375">
        <v>549.64869275676494</v>
      </c>
      <c r="T375">
        <v>1010.99644535759</v>
      </c>
      <c r="U375">
        <v>124.65134196347699</v>
      </c>
      <c r="V375">
        <v>938.15643440312795</v>
      </c>
      <c r="W375">
        <v>121.85849598477699</v>
      </c>
      <c r="X375">
        <v>523.99962189350197</v>
      </c>
      <c r="Y375">
        <v>610.851286924997</v>
      </c>
      <c r="Z375">
        <v>131.405338458605</v>
      </c>
      <c r="AA375">
        <v>596.51448856288198</v>
      </c>
      <c r="AB375">
        <v>738.70929425890097</v>
      </c>
      <c r="AC375">
        <v>171.94191601384799</v>
      </c>
      <c r="AD375">
        <v>838.64960320287901</v>
      </c>
      <c r="AE375">
        <v>205.51657338954701</v>
      </c>
      <c r="AF375">
        <v>227.639015940517</v>
      </c>
      <c r="AG375">
        <v>664.71242905296106</v>
      </c>
    </row>
    <row r="376" spans="1:33" x14ac:dyDescent="0.25">
      <c r="A376" s="1">
        <v>44427</v>
      </c>
      <c r="B376">
        <v>19978.178686791001</v>
      </c>
      <c r="C376">
        <v>13194.4883407547</v>
      </c>
      <c r="D376">
        <v>19225.605163052402</v>
      </c>
      <c r="E376">
        <v>19955.746501937101</v>
      </c>
      <c r="F376">
        <v>16883.635508497799</v>
      </c>
      <c r="G376">
        <v>16093.384119112899</v>
      </c>
      <c r="H376">
        <v>28653.340689664499</v>
      </c>
      <c r="I376">
        <v>19908.816299864298</v>
      </c>
      <c r="J376">
        <v>2116.0332107036302</v>
      </c>
      <c r="K376">
        <v>1639.3233218584901</v>
      </c>
      <c r="L376">
        <v>1021.24331569229</v>
      </c>
      <c r="M376">
        <v>14434.908159787001</v>
      </c>
      <c r="N376">
        <v>6261.0039983201495</v>
      </c>
      <c r="O376">
        <v>998.40638921743698</v>
      </c>
      <c r="P376">
        <v>2588.40545907041</v>
      </c>
      <c r="Q376">
        <v>12712.5461251585</v>
      </c>
      <c r="R376">
        <v>1263.4428709999199</v>
      </c>
      <c r="S376">
        <v>548.06940010373205</v>
      </c>
      <c r="T376">
        <v>1135.4016099846899</v>
      </c>
      <c r="U376">
        <v>122.5523048175</v>
      </c>
      <c r="V376">
        <v>1021.30186689291</v>
      </c>
      <c r="W376">
        <v>122.81705796516999</v>
      </c>
      <c r="X376">
        <v>573.22611055054597</v>
      </c>
      <c r="Y376">
        <v>637.74174691351902</v>
      </c>
      <c r="Z376">
        <v>132.06938373924999</v>
      </c>
      <c r="AA376">
        <v>594.56825435092696</v>
      </c>
      <c r="AB376">
        <v>748.990585335285</v>
      </c>
      <c r="AC376">
        <v>172.52935246622599</v>
      </c>
      <c r="AD376">
        <v>862.96524246530601</v>
      </c>
      <c r="AE376">
        <v>211.75889558694101</v>
      </c>
      <c r="AF376">
        <v>225.43414863850299</v>
      </c>
      <c r="AG376">
        <v>663.36010737131301</v>
      </c>
    </row>
    <row r="377" spans="1:33" x14ac:dyDescent="0.25">
      <c r="A377" s="1">
        <v>44428</v>
      </c>
      <c r="B377">
        <v>19969.5386235439</v>
      </c>
      <c r="C377">
        <v>13433.7097077818</v>
      </c>
      <c r="D377">
        <v>19223.080403101601</v>
      </c>
      <c r="E377">
        <v>19986.322165535301</v>
      </c>
      <c r="F377">
        <v>17160.637255842601</v>
      </c>
      <c r="G377">
        <v>16152.729719290801</v>
      </c>
      <c r="H377">
        <v>28704.9460747905</v>
      </c>
      <c r="I377">
        <v>20037.954476965398</v>
      </c>
      <c r="J377">
        <v>2126.9844424209</v>
      </c>
      <c r="K377">
        <v>1649.16884427266</v>
      </c>
      <c r="L377">
        <v>1034.63991570756</v>
      </c>
      <c r="M377">
        <v>14416.2765732394</v>
      </c>
      <c r="N377">
        <v>6389.6030422732401</v>
      </c>
      <c r="O377">
        <v>989.50144097248199</v>
      </c>
      <c r="P377">
        <v>2664.7455513843202</v>
      </c>
      <c r="Q377">
        <v>12784.9261624508</v>
      </c>
      <c r="R377">
        <v>1251.4388765389201</v>
      </c>
      <c r="S377">
        <v>545.49891323747704</v>
      </c>
      <c r="T377">
        <v>1175.01041697954</v>
      </c>
      <c r="U377">
        <v>121.91175851025</v>
      </c>
      <c r="V377">
        <v>1046.06477173747</v>
      </c>
      <c r="W377">
        <v>120.24803747883399</v>
      </c>
      <c r="X377">
        <v>587.38494018260701</v>
      </c>
      <c r="Y377">
        <v>655.78548507990604</v>
      </c>
      <c r="Z377">
        <v>129.34688071412501</v>
      </c>
      <c r="AA377">
        <v>592.882213898744</v>
      </c>
      <c r="AB377">
        <v>755.75887318479397</v>
      </c>
      <c r="AC377">
        <v>173.51149884427301</v>
      </c>
      <c r="AD377">
        <v>871.08511695756499</v>
      </c>
      <c r="AE377">
        <v>238.62441019118299</v>
      </c>
      <c r="AF377">
        <v>223.80341972027799</v>
      </c>
      <c r="AG377">
        <v>665.03795888235402</v>
      </c>
    </row>
    <row r="378" spans="1:33" x14ac:dyDescent="0.25">
      <c r="A378" s="1">
        <v>44429</v>
      </c>
      <c r="B378">
        <v>19979.383698535599</v>
      </c>
      <c r="C378">
        <v>13573.5700927132</v>
      </c>
      <c r="D378">
        <v>19272.993835634999</v>
      </c>
      <c r="E378">
        <v>20066.066378600601</v>
      </c>
      <c r="F378">
        <v>17354.434164716298</v>
      </c>
      <c r="G378">
        <v>16368.077818142499</v>
      </c>
      <c r="H378">
        <v>28801.782771409002</v>
      </c>
      <c r="I378">
        <v>20163.5685165795</v>
      </c>
      <c r="J378">
        <v>2161.6243889379298</v>
      </c>
      <c r="K378">
        <v>1642.70629989962</v>
      </c>
      <c r="L378">
        <v>1056.3820055313299</v>
      </c>
      <c r="M378">
        <v>14569.138963855699</v>
      </c>
      <c r="N378">
        <v>6529.8814144626504</v>
      </c>
      <c r="O378">
        <v>1015.72787213642</v>
      </c>
      <c r="P378">
        <v>2718.75477442191</v>
      </c>
      <c r="Q378">
        <v>13008.2480694194</v>
      </c>
      <c r="R378">
        <v>1288.38441821321</v>
      </c>
      <c r="S378">
        <v>543.41615180019903</v>
      </c>
      <c r="T378">
        <v>1236.1539766327901</v>
      </c>
      <c r="U378">
        <v>119.818027328946</v>
      </c>
      <c r="V378">
        <v>1118.75367804383</v>
      </c>
      <c r="W378">
        <v>127.20891242860399</v>
      </c>
      <c r="X378">
        <v>645.58910543323896</v>
      </c>
      <c r="Y378">
        <v>676.41841220738195</v>
      </c>
      <c r="Z378">
        <v>127.232533607566</v>
      </c>
      <c r="AA378">
        <v>590.34605944889199</v>
      </c>
      <c r="AB378">
        <v>765.19416621919504</v>
      </c>
      <c r="AC378">
        <v>173.97624110608999</v>
      </c>
      <c r="AD378">
        <v>887.63289373972896</v>
      </c>
      <c r="AE378">
        <v>236.39485457315101</v>
      </c>
      <c r="AF378">
        <v>223.49627381234001</v>
      </c>
      <c r="AG378">
        <v>668.54269019167498</v>
      </c>
    </row>
    <row r="379" spans="1:33" x14ac:dyDescent="0.25">
      <c r="A379" s="1">
        <v>44430</v>
      </c>
      <c r="B379">
        <v>20002.9145793928</v>
      </c>
      <c r="C379">
        <v>13713.8795414382</v>
      </c>
      <c r="D379">
        <v>19322.213569204599</v>
      </c>
      <c r="E379">
        <v>20142.091046799302</v>
      </c>
      <c r="F379">
        <v>17279.373616892899</v>
      </c>
      <c r="G379">
        <v>16247.6198889118</v>
      </c>
      <c r="H379">
        <v>28487.2514369329</v>
      </c>
      <c r="I379">
        <v>20298.252194101598</v>
      </c>
      <c r="J379">
        <v>2171.8312678973102</v>
      </c>
      <c r="K379">
        <v>1660.17775736314</v>
      </c>
      <c r="L379">
        <v>1054.6658380445299</v>
      </c>
      <c r="M379">
        <v>14473.482688476201</v>
      </c>
      <c r="N379">
        <v>6437.9601191080601</v>
      </c>
      <c r="O379">
        <v>989.903566964893</v>
      </c>
      <c r="P379">
        <v>2742.4866149417398</v>
      </c>
      <c r="Q379">
        <v>12822.407536312299</v>
      </c>
      <c r="R379">
        <v>1258.5011117729</v>
      </c>
      <c r="S379">
        <v>542.36116908992699</v>
      </c>
      <c r="T379">
        <v>1160.19706828316</v>
      </c>
      <c r="U379">
        <v>127.121130541404</v>
      </c>
      <c r="V379">
        <v>1072.6630704307599</v>
      </c>
      <c r="W379">
        <v>135.55255378828801</v>
      </c>
      <c r="X379">
        <v>606.79470750877795</v>
      </c>
      <c r="Y379">
        <v>654.50184327134798</v>
      </c>
      <c r="Z379">
        <v>127.28554130161</v>
      </c>
      <c r="AA379">
        <v>591.59647965018996</v>
      </c>
      <c r="AB379">
        <v>760.56051487099296</v>
      </c>
      <c r="AC379">
        <v>177.64504281363099</v>
      </c>
      <c r="AD379">
        <v>886.481738950867</v>
      </c>
      <c r="AE379">
        <v>245.47079854629101</v>
      </c>
      <c r="AF379">
        <v>222.363617026014</v>
      </c>
      <c r="AG379">
        <v>671.64595174912802</v>
      </c>
    </row>
    <row r="380" spans="1:33" x14ac:dyDescent="0.25">
      <c r="A380" s="1">
        <v>44431</v>
      </c>
      <c r="B380">
        <v>20040.8172319648</v>
      </c>
      <c r="C380">
        <v>13829.843022970699</v>
      </c>
      <c r="D380">
        <v>19386.226724073302</v>
      </c>
      <c r="E380">
        <v>20188.5613386777</v>
      </c>
      <c r="F380">
        <v>17073.764539953299</v>
      </c>
      <c r="G380">
        <v>16219.2205781877</v>
      </c>
      <c r="H380">
        <v>28507.7219546345</v>
      </c>
      <c r="I380">
        <v>20353.800102041001</v>
      </c>
      <c r="J380">
        <v>2195.5530068964099</v>
      </c>
      <c r="K380">
        <v>1654.2049429588501</v>
      </c>
      <c r="L380">
        <v>1046.75023282447</v>
      </c>
      <c r="M380">
        <v>14371.1946711645</v>
      </c>
      <c r="N380">
        <v>6263.73203489547</v>
      </c>
      <c r="O380">
        <v>997.81419377879297</v>
      </c>
      <c r="P380">
        <v>2704.30223444901</v>
      </c>
      <c r="Q380">
        <v>12715.561267658801</v>
      </c>
      <c r="R380">
        <v>1250.8618553317799</v>
      </c>
      <c r="S380">
        <v>542.74627908269804</v>
      </c>
      <c r="T380">
        <v>1074.3279571012299</v>
      </c>
      <c r="U380">
        <v>136.234535271255</v>
      </c>
      <c r="V380">
        <v>1011.77865841063</v>
      </c>
      <c r="W380">
        <v>140.83805386432499</v>
      </c>
      <c r="X380">
        <v>571.72394080493302</v>
      </c>
      <c r="Y380">
        <v>662.422365595933</v>
      </c>
      <c r="Z380">
        <v>129.477187153834</v>
      </c>
      <c r="AA380">
        <v>593.67456755234502</v>
      </c>
      <c r="AB380">
        <v>766.80369156466202</v>
      </c>
      <c r="AC380">
        <v>185.23868728185201</v>
      </c>
      <c r="AD380">
        <v>879.96111012541905</v>
      </c>
      <c r="AE380">
        <v>222.73396029409599</v>
      </c>
      <c r="AF380">
        <v>222.02658478755299</v>
      </c>
      <c r="AG380">
        <v>672.58032426938996</v>
      </c>
    </row>
    <row r="381" spans="1:33" x14ac:dyDescent="0.25">
      <c r="A381" s="1">
        <v>44432</v>
      </c>
      <c r="B381">
        <v>20082.1778747768</v>
      </c>
      <c r="C381">
        <v>13868.762432305301</v>
      </c>
      <c r="D381">
        <v>19433.560668977501</v>
      </c>
      <c r="E381">
        <v>20215.388629691999</v>
      </c>
      <c r="F381">
        <v>16795.9483419272</v>
      </c>
      <c r="G381">
        <v>15809.6721094901</v>
      </c>
      <c r="H381">
        <v>28198.4783077623</v>
      </c>
      <c r="I381">
        <v>20401.552020272102</v>
      </c>
      <c r="J381">
        <v>2199.24805747029</v>
      </c>
      <c r="K381">
        <v>1650.42150868464</v>
      </c>
      <c r="L381">
        <v>1029.1563777121801</v>
      </c>
      <c r="M381">
        <v>14087.0883757142</v>
      </c>
      <c r="N381">
        <v>5960.2976185329599</v>
      </c>
      <c r="O381">
        <v>972.34110967456195</v>
      </c>
      <c r="P381">
        <v>2614.4014501909501</v>
      </c>
      <c r="Q381">
        <v>12456.454578556401</v>
      </c>
      <c r="R381">
        <v>1221.51044910936</v>
      </c>
      <c r="S381">
        <v>544.71002432822104</v>
      </c>
      <c r="T381">
        <v>968.15329761500595</v>
      </c>
      <c r="U381">
        <v>140.66492146057601</v>
      </c>
      <c r="V381">
        <v>889.90254628441096</v>
      </c>
      <c r="W381">
        <v>146.59681611818701</v>
      </c>
      <c r="X381">
        <v>502.74996980661899</v>
      </c>
      <c r="Y381">
        <v>653.25262883725497</v>
      </c>
      <c r="Z381">
        <v>130.96768296303301</v>
      </c>
      <c r="AA381">
        <v>593.88584433700805</v>
      </c>
      <c r="AB381">
        <v>763.16835364257997</v>
      </c>
      <c r="AC381">
        <v>197.62778975838401</v>
      </c>
      <c r="AD381">
        <v>863.65474064633997</v>
      </c>
      <c r="AE381">
        <v>213.94803220756299</v>
      </c>
      <c r="AF381">
        <v>221.88848932235899</v>
      </c>
      <c r="AG381">
        <v>672.51144534324703</v>
      </c>
    </row>
    <row r="382" spans="1:33" x14ac:dyDescent="0.25">
      <c r="A382" s="1">
        <v>44433</v>
      </c>
      <c r="B382">
        <v>20116.5682984048</v>
      </c>
      <c r="C382">
        <v>13824.045026658099</v>
      </c>
      <c r="D382">
        <v>19431.620098563599</v>
      </c>
      <c r="E382">
        <v>20208.887369936099</v>
      </c>
      <c r="F382">
        <v>16269.1984005828</v>
      </c>
      <c r="G382">
        <v>15255.4859143752</v>
      </c>
      <c r="H382">
        <v>27546.489810978499</v>
      </c>
      <c r="I382">
        <v>20417.898661430201</v>
      </c>
      <c r="J382">
        <v>2186.8369308879301</v>
      </c>
      <c r="K382">
        <v>1650.7424133632201</v>
      </c>
      <c r="L382">
        <v>998.46577375043</v>
      </c>
      <c r="M382">
        <v>13619.932010291601</v>
      </c>
      <c r="N382">
        <v>5504.0906930491801</v>
      </c>
      <c r="O382">
        <v>918.39257078027299</v>
      </c>
      <c r="P382">
        <v>2494.69488691675</v>
      </c>
      <c r="Q382">
        <v>11965.3900689863</v>
      </c>
      <c r="R382">
        <v>1165.33098958498</v>
      </c>
      <c r="S382">
        <v>547.75309689143205</v>
      </c>
      <c r="T382">
        <v>835.22615838280603</v>
      </c>
      <c r="U382">
        <v>146.859465728586</v>
      </c>
      <c r="V382">
        <v>741.30465511713396</v>
      </c>
      <c r="W382">
        <v>148.52031157623199</v>
      </c>
      <c r="X382">
        <v>415.05880754504898</v>
      </c>
      <c r="Y382">
        <v>646.13819718206605</v>
      </c>
      <c r="Z382">
        <v>131.21423424114599</v>
      </c>
      <c r="AA382">
        <v>596.189166255072</v>
      </c>
      <c r="AB382">
        <v>760.22771018882895</v>
      </c>
      <c r="AC382">
        <v>214.17148502157499</v>
      </c>
      <c r="AD382">
        <v>836.58843536705206</v>
      </c>
      <c r="AE382">
        <v>244.58578982063301</v>
      </c>
      <c r="AF382">
        <v>221.76301250260801</v>
      </c>
      <c r="AG382">
        <v>671.56161861590101</v>
      </c>
    </row>
    <row r="383" spans="1:33" x14ac:dyDescent="0.25">
      <c r="A383" s="1">
        <v>44434</v>
      </c>
      <c r="B383">
        <v>20120.0452840541</v>
      </c>
      <c r="C383">
        <v>13684.1640284562</v>
      </c>
      <c r="D383">
        <v>19403.937010999802</v>
      </c>
      <c r="E383">
        <v>20179.911329354301</v>
      </c>
      <c r="F383">
        <v>15602.559526335101</v>
      </c>
      <c r="G383">
        <v>14748.064132301301</v>
      </c>
      <c r="H383">
        <v>26623.9688444606</v>
      </c>
      <c r="I383">
        <v>20303.912793716299</v>
      </c>
      <c r="J383">
        <v>2147.7323021154398</v>
      </c>
      <c r="K383">
        <v>1672.83575639582</v>
      </c>
      <c r="L383">
        <v>954.13156539784302</v>
      </c>
      <c r="M383">
        <v>13085.742968664001</v>
      </c>
      <c r="N383">
        <v>4862.1842482205102</v>
      </c>
      <c r="O383">
        <v>824.71637997112805</v>
      </c>
      <c r="P383">
        <v>2345.88332963524</v>
      </c>
      <c r="Q383">
        <v>11258.890774813701</v>
      </c>
      <c r="R383">
        <v>1079.3689828199199</v>
      </c>
      <c r="S383">
        <v>550.33563076887299</v>
      </c>
      <c r="T383">
        <v>703.90479503279903</v>
      </c>
      <c r="U383">
        <v>148.18445916459299</v>
      </c>
      <c r="V383">
        <v>620.66404193155199</v>
      </c>
      <c r="W383">
        <v>151.621328726846</v>
      </c>
      <c r="X383">
        <v>334.17485200104102</v>
      </c>
      <c r="Y383">
        <v>641.00965744001996</v>
      </c>
      <c r="Z383">
        <v>131.27331816071199</v>
      </c>
      <c r="AA383">
        <v>599.21230264737198</v>
      </c>
      <c r="AB383">
        <v>764.068162007811</v>
      </c>
      <c r="AC383">
        <v>232.59920604070999</v>
      </c>
      <c r="AD383">
        <v>805.65314796457403</v>
      </c>
      <c r="AE383">
        <v>255.81793425435399</v>
      </c>
      <c r="AF383">
        <v>221.920576259158</v>
      </c>
      <c r="AG383">
        <v>669.83912349859895</v>
      </c>
    </row>
    <row r="384" spans="1:33" x14ac:dyDescent="0.25">
      <c r="A384" s="1">
        <v>44435</v>
      </c>
      <c r="B384">
        <v>20116.4242096821</v>
      </c>
      <c r="C384">
        <v>13498.182857850599</v>
      </c>
      <c r="D384">
        <v>19424.5722792294</v>
      </c>
      <c r="E384">
        <v>20148.990826840702</v>
      </c>
      <c r="F384">
        <v>15414.375074679499</v>
      </c>
      <c r="G384">
        <v>14865.320373521299</v>
      </c>
      <c r="H384">
        <v>26838.570514843701</v>
      </c>
      <c r="I384">
        <v>20075.372826914499</v>
      </c>
      <c r="J384">
        <v>2134.4075229927098</v>
      </c>
      <c r="K384">
        <v>1681.9426371166701</v>
      </c>
      <c r="L384">
        <v>928.69592150419805</v>
      </c>
      <c r="M384">
        <v>13050.4543422891</v>
      </c>
      <c r="N384">
        <v>4525.4037462456599</v>
      </c>
      <c r="O384">
        <v>820.64719116912602</v>
      </c>
      <c r="P384">
        <v>2270.11523654442</v>
      </c>
      <c r="Q384">
        <v>11167.6378772476</v>
      </c>
      <c r="R384">
        <v>1060.16322824961</v>
      </c>
      <c r="S384">
        <v>553.05922787611996</v>
      </c>
      <c r="T384">
        <v>656.04060639985698</v>
      </c>
      <c r="U384">
        <v>154.92199298783601</v>
      </c>
      <c r="V384">
        <v>567.30749295485396</v>
      </c>
      <c r="W384">
        <v>160.03438430691801</v>
      </c>
      <c r="X384">
        <v>301.52145465298298</v>
      </c>
      <c r="Y384">
        <v>675.62974533819704</v>
      </c>
      <c r="Z384">
        <v>132.81249579799899</v>
      </c>
      <c r="AA384">
        <v>598.24195252269897</v>
      </c>
      <c r="AB384">
        <v>772.85170633325197</v>
      </c>
      <c r="AC384">
        <v>244.932605128012</v>
      </c>
      <c r="AD384">
        <v>788.80754832117805</v>
      </c>
      <c r="AE384">
        <v>222.963724289553</v>
      </c>
      <c r="AF384">
        <v>222.656796917207</v>
      </c>
      <c r="AG384">
        <v>666.31351248335102</v>
      </c>
    </row>
    <row r="385" spans="1:33" x14ac:dyDescent="0.25">
      <c r="A385" s="1">
        <v>44436</v>
      </c>
      <c r="B385">
        <v>20137.064785320599</v>
      </c>
      <c r="C385">
        <v>13291.170649412699</v>
      </c>
      <c r="D385">
        <v>19468.1075663669</v>
      </c>
      <c r="E385">
        <v>20120.2723157609</v>
      </c>
      <c r="F385">
        <v>15741.3279555436</v>
      </c>
      <c r="G385">
        <v>15327.220062984599</v>
      </c>
      <c r="H385">
        <v>27701.331863912499</v>
      </c>
      <c r="I385">
        <v>19855.752015005801</v>
      </c>
      <c r="J385">
        <v>2144.5335502179</v>
      </c>
      <c r="K385">
        <v>1703.23341983041</v>
      </c>
      <c r="L385">
        <v>923.66818646634204</v>
      </c>
      <c r="M385">
        <v>13373.752106635</v>
      </c>
      <c r="N385">
        <v>4646.3640877550097</v>
      </c>
      <c r="O385">
        <v>847.71490089653503</v>
      </c>
      <c r="P385">
        <v>2296.4743725564799</v>
      </c>
      <c r="Q385">
        <v>11471.8831479775</v>
      </c>
      <c r="R385">
        <v>1084.0510025794299</v>
      </c>
      <c r="S385">
        <v>555.45063388341305</v>
      </c>
      <c r="T385">
        <v>639.96122052653197</v>
      </c>
      <c r="U385">
        <v>159.896765311617</v>
      </c>
      <c r="V385">
        <v>569.01463027848399</v>
      </c>
      <c r="W385">
        <v>161.594212310578</v>
      </c>
      <c r="X385">
        <v>292.76066944572801</v>
      </c>
      <c r="Y385">
        <v>713.66942107143097</v>
      </c>
      <c r="Z385">
        <v>136.62742009362799</v>
      </c>
      <c r="AA385">
        <v>601.07077700802495</v>
      </c>
      <c r="AB385">
        <v>777.08435233464104</v>
      </c>
      <c r="AC385">
        <v>250.93952148006301</v>
      </c>
      <c r="AD385">
        <v>785.33973868348096</v>
      </c>
      <c r="AE385">
        <v>239.23021615879099</v>
      </c>
      <c r="AF385">
        <v>223.451085612215</v>
      </c>
      <c r="AG385">
        <v>660.10012154390597</v>
      </c>
    </row>
    <row r="386" spans="1:33" x14ac:dyDescent="0.25">
      <c r="A386" s="1">
        <v>44437</v>
      </c>
      <c r="B386">
        <v>20156.718922751399</v>
      </c>
      <c r="C386">
        <v>12959.0172177555</v>
      </c>
      <c r="D386">
        <v>19497.529631122201</v>
      </c>
      <c r="E386">
        <v>20107.894783211999</v>
      </c>
      <c r="F386">
        <v>16242.2088574595</v>
      </c>
      <c r="G386">
        <v>15784.6064807369</v>
      </c>
      <c r="H386">
        <v>29335.2131563736</v>
      </c>
      <c r="I386">
        <v>19983.992175909301</v>
      </c>
      <c r="J386">
        <v>2163.4301174117099</v>
      </c>
      <c r="K386">
        <v>1678.4679014380499</v>
      </c>
      <c r="L386">
        <v>941.43549271224003</v>
      </c>
      <c r="M386">
        <v>14109.158003833199</v>
      </c>
      <c r="N386">
        <v>4896.4295601069798</v>
      </c>
      <c r="O386">
        <v>944.97572363810798</v>
      </c>
      <c r="P386">
        <v>2386.7343159985398</v>
      </c>
      <c r="Q386">
        <v>12047.213964058299</v>
      </c>
      <c r="R386">
        <v>1169.18536047366</v>
      </c>
      <c r="S386">
        <v>557.89005229110899</v>
      </c>
      <c r="T386">
        <v>665.54910501537802</v>
      </c>
      <c r="U386">
        <v>161.55965218927699</v>
      </c>
      <c r="V386">
        <v>581.45010881140604</v>
      </c>
      <c r="W386">
        <v>160.60528431142899</v>
      </c>
      <c r="X386">
        <v>297.046828754692</v>
      </c>
      <c r="Y386">
        <v>741.98703840114604</v>
      </c>
      <c r="Z386">
        <v>143.10145799259101</v>
      </c>
      <c r="AA386">
        <v>600.33287173113501</v>
      </c>
      <c r="AB386">
        <v>780.05224286515204</v>
      </c>
      <c r="AC386">
        <v>254.252226799792</v>
      </c>
      <c r="AD386">
        <v>795.10090301925402</v>
      </c>
      <c r="AE386">
        <v>258.69363367741403</v>
      </c>
      <c r="AF386">
        <v>224.325222579268</v>
      </c>
      <c r="AG386">
        <v>649.79391485963595</v>
      </c>
    </row>
    <row r="387" spans="1:33" x14ac:dyDescent="0.25">
      <c r="A387" s="1">
        <v>44438</v>
      </c>
      <c r="B387">
        <v>20157.829144629501</v>
      </c>
      <c r="C387">
        <v>12522.3646072272</v>
      </c>
      <c r="D387">
        <v>19476.557412395399</v>
      </c>
      <c r="E387">
        <v>20101.9144140809</v>
      </c>
      <c r="F387">
        <v>16523.579343427198</v>
      </c>
      <c r="G387">
        <v>15961.3930144593</v>
      </c>
      <c r="H387">
        <v>29673.605698893301</v>
      </c>
      <c r="I387">
        <v>20084.844851436199</v>
      </c>
      <c r="J387">
        <v>2159.1404014008799</v>
      </c>
      <c r="K387">
        <v>1676.9466381769601</v>
      </c>
      <c r="L387">
        <v>958.58831785017003</v>
      </c>
      <c r="M387">
        <v>14365.947649197</v>
      </c>
      <c r="N387">
        <v>5238.55291613797</v>
      </c>
      <c r="O387">
        <v>948.43090074716201</v>
      </c>
      <c r="P387">
        <v>2470.1669766550899</v>
      </c>
      <c r="Q387">
        <v>12403.343626456701</v>
      </c>
      <c r="R387">
        <v>1204.0069365452</v>
      </c>
      <c r="S387">
        <v>559.91352143894903</v>
      </c>
      <c r="T387">
        <v>674.12155675564202</v>
      </c>
      <c r="U387">
        <v>160.76048704438099</v>
      </c>
      <c r="V387">
        <v>609.03399970954797</v>
      </c>
      <c r="W387">
        <v>162.196220194853</v>
      </c>
      <c r="X387">
        <v>302.73890204081999</v>
      </c>
      <c r="Y387">
        <v>737.20474412041199</v>
      </c>
      <c r="Z387">
        <v>146.98515406831501</v>
      </c>
      <c r="AA387">
        <v>597.11747374873596</v>
      </c>
      <c r="AB387">
        <v>779.45917220374201</v>
      </c>
      <c r="AC387">
        <v>256.26588363702302</v>
      </c>
      <c r="AD387">
        <v>806.87659123690696</v>
      </c>
      <c r="AE387">
        <v>270.93614405513898</v>
      </c>
      <c r="AF387">
        <v>225.01712058825501</v>
      </c>
      <c r="AG387">
        <v>640.58452985346003</v>
      </c>
    </row>
    <row r="388" spans="1:33" x14ac:dyDescent="0.25">
      <c r="A388" s="1">
        <v>44439</v>
      </c>
      <c r="B388">
        <v>20148.2805871276</v>
      </c>
      <c r="C388">
        <v>12415.0926892677</v>
      </c>
      <c r="D388">
        <v>19450.038040775598</v>
      </c>
      <c r="E388">
        <v>20117.618231309301</v>
      </c>
      <c r="F388">
        <v>16660.235824765099</v>
      </c>
      <c r="G388">
        <v>16439.619417666399</v>
      </c>
      <c r="H388">
        <v>30071.309310553101</v>
      </c>
      <c r="I388">
        <v>20122.514297347101</v>
      </c>
      <c r="J388">
        <v>2151.7652487124701</v>
      </c>
      <c r="K388">
        <v>1690.5660392432701</v>
      </c>
      <c r="L388">
        <v>995.16129013525904</v>
      </c>
      <c r="M388">
        <v>14908.943958075901</v>
      </c>
      <c r="N388">
        <v>5762.10830033406</v>
      </c>
      <c r="O388">
        <v>970.36030503903305</v>
      </c>
      <c r="P388">
        <v>2552.96912945133</v>
      </c>
      <c r="Q388">
        <v>12947.784130895699</v>
      </c>
      <c r="R388">
        <v>1265.2646021882399</v>
      </c>
      <c r="S388">
        <v>561.36362212501001</v>
      </c>
      <c r="T388">
        <v>746.37736900742902</v>
      </c>
      <c r="U388">
        <v>162.40710945853701</v>
      </c>
      <c r="V388">
        <v>666.52214126051695</v>
      </c>
      <c r="W388">
        <v>167.84388146146401</v>
      </c>
      <c r="X388">
        <v>369.16890449853099</v>
      </c>
      <c r="Y388">
        <v>741.21673621745197</v>
      </c>
      <c r="Z388">
        <v>150.39683909966999</v>
      </c>
      <c r="AA388">
        <v>592.70643317082397</v>
      </c>
      <c r="AB388">
        <v>783.52852504905502</v>
      </c>
      <c r="AC388">
        <v>258.35474220465397</v>
      </c>
      <c r="AD388">
        <v>831.99010868215203</v>
      </c>
      <c r="AE388">
        <v>244.382972719615</v>
      </c>
      <c r="AF388">
        <v>225.97066913199399</v>
      </c>
      <c r="AG388">
        <v>635.25120779900999</v>
      </c>
    </row>
    <row r="389" spans="1:33" x14ac:dyDescent="0.25">
      <c r="A389" s="1">
        <v>44440</v>
      </c>
      <c r="B389">
        <v>20149.1575127344</v>
      </c>
      <c r="C389">
        <v>12569.399614853</v>
      </c>
      <c r="D389">
        <v>19539.515932523202</v>
      </c>
      <c r="E389">
        <v>20154.4346582611</v>
      </c>
      <c r="F389">
        <v>16889.495624100298</v>
      </c>
      <c r="G389">
        <v>16486.861259244601</v>
      </c>
      <c r="H389">
        <v>30347.573487697999</v>
      </c>
      <c r="I389">
        <v>20202.939228492702</v>
      </c>
      <c r="J389">
        <v>2133.8193933426101</v>
      </c>
      <c r="K389">
        <v>1674.9984767159999</v>
      </c>
      <c r="L389">
        <v>1018.60394244782</v>
      </c>
      <c r="M389">
        <v>15013.756625509201</v>
      </c>
      <c r="N389">
        <v>6116.5224173032702</v>
      </c>
      <c r="O389">
        <v>1007.77450386104</v>
      </c>
      <c r="P389">
        <v>2576.5042873612401</v>
      </c>
      <c r="Q389">
        <v>13054.049570629601</v>
      </c>
      <c r="R389">
        <v>1318.4610400285101</v>
      </c>
      <c r="S389">
        <v>560.30237250028301</v>
      </c>
      <c r="T389">
        <v>743.97716601020602</v>
      </c>
      <c r="U389">
        <v>168.642491159591</v>
      </c>
      <c r="V389">
        <v>688.289125375759</v>
      </c>
      <c r="W389">
        <v>175.08503213584899</v>
      </c>
      <c r="X389">
        <v>385.59084271419999</v>
      </c>
      <c r="Y389">
        <v>750.371714529987</v>
      </c>
      <c r="Z389">
        <v>152.678983405921</v>
      </c>
      <c r="AA389">
        <v>593.73460175285402</v>
      </c>
      <c r="AB389">
        <v>794.75438225275002</v>
      </c>
      <c r="AC389">
        <v>259.375147295376</v>
      </c>
      <c r="AD389">
        <v>842.90969008983996</v>
      </c>
      <c r="AE389">
        <v>240.34217999396901</v>
      </c>
      <c r="AF389">
        <v>227.11890000021299</v>
      </c>
      <c r="AG389">
        <v>635.56321648799701</v>
      </c>
    </row>
    <row r="390" spans="1:33" x14ac:dyDescent="0.25">
      <c r="A390" s="1">
        <v>44441</v>
      </c>
      <c r="B390">
        <v>20162.348337873402</v>
      </c>
      <c r="C390">
        <v>12737.8529234454</v>
      </c>
      <c r="D390">
        <v>19546.9281889413</v>
      </c>
      <c r="E390">
        <v>20185.7214082848</v>
      </c>
      <c r="F390">
        <v>16642.1266640549</v>
      </c>
      <c r="G390">
        <v>15582.0494044361</v>
      </c>
      <c r="H390">
        <v>28988.947768387399</v>
      </c>
      <c r="I390">
        <v>20287.455321597699</v>
      </c>
      <c r="J390">
        <v>2089.1614054558099</v>
      </c>
      <c r="K390">
        <v>1661.17850800927</v>
      </c>
      <c r="L390">
        <v>990.831040124183</v>
      </c>
      <c r="M390">
        <v>13976.034058514701</v>
      </c>
      <c r="N390">
        <v>5363.54398210624</v>
      </c>
      <c r="O390">
        <v>934.15071887027705</v>
      </c>
      <c r="P390">
        <v>2464.9213752021701</v>
      </c>
      <c r="Q390">
        <v>12140.609649425</v>
      </c>
      <c r="R390">
        <v>1237.12556833296</v>
      </c>
      <c r="S390">
        <v>557.83494398872404</v>
      </c>
      <c r="T390">
        <v>660.87880672123902</v>
      </c>
      <c r="U390">
        <v>176.35646403476099</v>
      </c>
      <c r="V390">
        <v>568.68890160588103</v>
      </c>
      <c r="W390">
        <v>178.420594222918</v>
      </c>
      <c r="X390">
        <v>320.29475814501802</v>
      </c>
      <c r="Y390">
        <v>731.78132180702301</v>
      </c>
      <c r="Z390">
        <v>154.80260801324201</v>
      </c>
      <c r="AA390">
        <v>601.54999928766495</v>
      </c>
      <c r="AB390">
        <v>794.21339020675396</v>
      </c>
      <c r="AC390">
        <v>258.88145533980099</v>
      </c>
      <c r="AD390">
        <v>822.86007169954905</v>
      </c>
      <c r="AE390">
        <v>217.62708386384199</v>
      </c>
      <c r="AF390">
        <v>228.380786517611</v>
      </c>
      <c r="AG390">
        <v>639.95224078730905</v>
      </c>
    </row>
    <row r="391" spans="1:33" x14ac:dyDescent="0.25">
      <c r="A391" s="1">
        <v>44442</v>
      </c>
      <c r="B391">
        <v>20164.712694205398</v>
      </c>
      <c r="C391">
        <v>12840.7066160091</v>
      </c>
      <c r="D391">
        <v>19582.474265727102</v>
      </c>
      <c r="E391">
        <v>20229.202857827298</v>
      </c>
      <c r="F391">
        <v>16209.2803424948</v>
      </c>
      <c r="G391">
        <v>15056.8825494743</v>
      </c>
      <c r="H391">
        <v>28052.916704493098</v>
      </c>
      <c r="I391">
        <v>20273.801497162302</v>
      </c>
      <c r="J391">
        <v>2061.9774407852001</v>
      </c>
      <c r="K391">
        <v>1667.13620624788</v>
      </c>
      <c r="L391">
        <v>968.18512569602001</v>
      </c>
      <c r="M391">
        <v>13443.8212499453</v>
      </c>
      <c r="N391">
        <v>4835.9706452169303</v>
      </c>
      <c r="O391">
        <v>880.11338576354001</v>
      </c>
      <c r="P391">
        <v>2363.2041739413698</v>
      </c>
      <c r="Q391">
        <v>11583.2825155712</v>
      </c>
      <c r="R391">
        <v>1152.9894532860501</v>
      </c>
      <c r="S391">
        <v>554.23859026475395</v>
      </c>
      <c r="T391">
        <v>616.20604012553599</v>
      </c>
      <c r="U391">
        <v>178.66296502164801</v>
      </c>
      <c r="V391">
        <v>560.23202771275703</v>
      </c>
      <c r="W391">
        <v>177.71708724075401</v>
      </c>
      <c r="X391">
        <v>327.086735744169</v>
      </c>
      <c r="Y391">
        <v>720.58362363219101</v>
      </c>
      <c r="Z391">
        <v>158.876444631797</v>
      </c>
      <c r="AA391">
        <v>604.89070689339098</v>
      </c>
      <c r="AB391">
        <v>790.60660248630904</v>
      </c>
      <c r="AC391">
        <v>258.69808659548403</v>
      </c>
      <c r="AD391">
        <v>807.51845239474005</v>
      </c>
      <c r="AE391">
        <v>221.13533422652301</v>
      </c>
      <c r="AF391">
        <v>230.12888303735599</v>
      </c>
      <c r="AG391">
        <v>646.53447166492299</v>
      </c>
    </row>
    <row r="392" spans="1:33" x14ac:dyDescent="0.25">
      <c r="A392" s="1">
        <v>44443</v>
      </c>
      <c r="B392">
        <v>20189.942194062402</v>
      </c>
      <c r="C392">
        <v>12000.0810200342</v>
      </c>
      <c r="D392">
        <v>19074.951992041199</v>
      </c>
      <c r="E392">
        <v>20227.628657749599</v>
      </c>
      <c r="F392">
        <v>15992.3380486102</v>
      </c>
      <c r="G392">
        <v>15174.7470792819</v>
      </c>
      <c r="H392">
        <v>27548.602125764301</v>
      </c>
      <c r="I392">
        <v>20164.3233906485</v>
      </c>
      <c r="J392">
        <v>2042.1274995752101</v>
      </c>
      <c r="K392">
        <v>1664.0728346539399</v>
      </c>
      <c r="L392">
        <v>965.31779876015798</v>
      </c>
      <c r="M392">
        <v>13403.237393449799</v>
      </c>
      <c r="N392">
        <v>4716.4144534214502</v>
      </c>
      <c r="O392">
        <v>880.68805855653</v>
      </c>
      <c r="P392">
        <v>2337.52061377166</v>
      </c>
      <c r="Q392">
        <v>11581.652324906099</v>
      </c>
      <c r="R392">
        <v>1136.03155418848</v>
      </c>
      <c r="S392">
        <v>548.624091471263</v>
      </c>
      <c r="T392">
        <v>624.87173273151302</v>
      </c>
      <c r="U392">
        <v>176.40563673069099</v>
      </c>
      <c r="V392">
        <v>595.953610804145</v>
      </c>
      <c r="W392">
        <v>175.38359404971101</v>
      </c>
      <c r="X392">
        <v>359.32784663976798</v>
      </c>
      <c r="Y392">
        <v>726.41477360461704</v>
      </c>
      <c r="Z392">
        <v>163.85177189788399</v>
      </c>
      <c r="AA392">
        <v>609.53564043667996</v>
      </c>
      <c r="AB392">
        <v>793.25650346333305</v>
      </c>
      <c r="AC392">
        <v>261.45637934069202</v>
      </c>
      <c r="AD392">
        <v>806.48638628061599</v>
      </c>
      <c r="AE392">
        <v>238.64941199011801</v>
      </c>
      <c r="AF392">
        <v>232.125798256905</v>
      </c>
      <c r="AG392">
        <v>654.45400117947599</v>
      </c>
    </row>
    <row r="393" spans="1:33" x14ac:dyDescent="0.25">
      <c r="A393" s="1">
        <v>44444</v>
      </c>
      <c r="B393">
        <v>20201.133190314798</v>
      </c>
      <c r="C393">
        <v>10976.2110468956</v>
      </c>
      <c r="D393">
        <v>17758.935090532101</v>
      </c>
      <c r="E393">
        <v>20108.109082516199</v>
      </c>
      <c r="F393">
        <v>16100.1253298136</v>
      </c>
      <c r="G393">
        <v>15390.3174284859</v>
      </c>
      <c r="H393">
        <v>27314.215859690801</v>
      </c>
      <c r="I393">
        <v>20038.947331793399</v>
      </c>
      <c r="J393">
        <v>2033.1433747245501</v>
      </c>
      <c r="K393">
        <v>1660.5827912468901</v>
      </c>
      <c r="L393">
        <v>967.92148439617995</v>
      </c>
      <c r="M393">
        <v>13494.4669829295</v>
      </c>
      <c r="N393">
        <v>4760.7455578285599</v>
      </c>
      <c r="O393">
        <v>888.08508300202595</v>
      </c>
      <c r="P393">
        <v>2332.1979570905901</v>
      </c>
      <c r="Q393">
        <v>11711.453716710599</v>
      </c>
      <c r="R393">
        <v>1131.3167499858</v>
      </c>
      <c r="S393">
        <v>542.78867153358601</v>
      </c>
      <c r="T393">
        <v>633.20232428754002</v>
      </c>
      <c r="U393">
        <v>173.50931320330599</v>
      </c>
      <c r="V393">
        <v>630.995884688969</v>
      </c>
      <c r="W393">
        <v>172.57778814249301</v>
      </c>
      <c r="X393">
        <v>379.24835013754699</v>
      </c>
      <c r="Y393">
        <v>729.47711109701504</v>
      </c>
      <c r="Z393">
        <v>167.40683830464201</v>
      </c>
      <c r="AA393">
        <v>615.64908021683505</v>
      </c>
      <c r="AB393">
        <v>786.75138324737804</v>
      </c>
      <c r="AC393">
        <v>265.18986579106303</v>
      </c>
      <c r="AD393">
        <v>811.94492124073201</v>
      </c>
      <c r="AE393">
        <v>240.64423993909099</v>
      </c>
      <c r="AF393">
        <v>234.08476175171899</v>
      </c>
      <c r="AG393">
        <v>659.38957232578196</v>
      </c>
    </row>
    <row r="394" spans="1:33" x14ac:dyDescent="0.25">
      <c r="A394" s="1">
        <v>44445</v>
      </c>
      <c r="B394">
        <v>20089.9585867366</v>
      </c>
      <c r="C394">
        <v>11190.3968481952</v>
      </c>
      <c r="D394">
        <v>16867.144022327899</v>
      </c>
      <c r="E394">
        <v>19851.3417900854</v>
      </c>
      <c r="F394">
        <v>16250.716859267999</v>
      </c>
      <c r="G394">
        <v>15453.095960287899</v>
      </c>
      <c r="H394">
        <v>26883.9376672279</v>
      </c>
      <c r="I394">
        <v>19952.479307124398</v>
      </c>
      <c r="J394">
        <v>2026.5203971271801</v>
      </c>
      <c r="K394">
        <v>1671.97448147208</v>
      </c>
      <c r="L394">
        <v>969.06951873969501</v>
      </c>
      <c r="M394">
        <v>13568.8350730703</v>
      </c>
      <c r="N394">
        <v>4839.7472083766897</v>
      </c>
      <c r="O394">
        <v>889.13187538581406</v>
      </c>
      <c r="P394">
        <v>2325.35871992792</v>
      </c>
      <c r="Q394">
        <v>11742.348049788099</v>
      </c>
      <c r="R394">
        <v>1126.5185467710601</v>
      </c>
      <c r="S394">
        <v>536.68379194177203</v>
      </c>
      <c r="T394">
        <v>640.65971472229705</v>
      </c>
      <c r="U394">
        <v>171.177036573555</v>
      </c>
      <c r="V394">
        <v>654.90269529140903</v>
      </c>
      <c r="W394">
        <v>169.721619845123</v>
      </c>
      <c r="X394">
        <v>385.77271853093799</v>
      </c>
      <c r="Y394">
        <v>728.19579691811498</v>
      </c>
      <c r="Z394">
        <v>170.201793504732</v>
      </c>
      <c r="AA394">
        <v>622.14347670152097</v>
      </c>
      <c r="AB394">
        <v>783.18183355934002</v>
      </c>
      <c r="AC394">
        <v>268.76267836139402</v>
      </c>
      <c r="AD394">
        <v>816.154946731275</v>
      </c>
      <c r="AE394">
        <v>232.386412675759</v>
      </c>
      <c r="AF394">
        <v>236.53897767182201</v>
      </c>
      <c r="AG394">
        <v>661.04910464514501</v>
      </c>
    </row>
    <row r="395" spans="1:33" x14ac:dyDescent="0.25">
      <c r="A395" s="1">
        <v>44446</v>
      </c>
      <c r="B395">
        <v>19783.840563574999</v>
      </c>
      <c r="C395">
        <v>11029.629265527699</v>
      </c>
      <c r="D395">
        <v>16021.917090450301</v>
      </c>
      <c r="E395">
        <v>19479.564742628201</v>
      </c>
      <c r="F395">
        <v>16253.2388981935</v>
      </c>
      <c r="G395">
        <v>15796.5843214048</v>
      </c>
      <c r="H395">
        <v>27041.1122379443</v>
      </c>
      <c r="I395">
        <v>19864.7519982923</v>
      </c>
      <c r="J395">
        <v>2036.10581354492</v>
      </c>
      <c r="K395">
        <v>1652.6122728686601</v>
      </c>
      <c r="L395">
        <v>970.60546468763903</v>
      </c>
      <c r="M395">
        <v>13837.722187931</v>
      </c>
      <c r="N395">
        <v>4914.7952830015702</v>
      </c>
      <c r="O395">
        <v>923.835559212985</v>
      </c>
      <c r="P395">
        <v>2307.7095097844999</v>
      </c>
      <c r="Q395">
        <v>11912.339073474501</v>
      </c>
      <c r="R395">
        <v>1137.4340889837299</v>
      </c>
      <c r="S395">
        <v>529.569165348468</v>
      </c>
      <c r="T395">
        <v>649.78125842148097</v>
      </c>
      <c r="U395">
        <v>167.654738043062</v>
      </c>
      <c r="V395">
        <v>653.28449776667401</v>
      </c>
      <c r="W395">
        <v>170.794677902622</v>
      </c>
      <c r="X395">
        <v>364.540261433279</v>
      </c>
      <c r="Y395">
        <v>728.17938120521296</v>
      </c>
      <c r="Z395">
        <v>173.73781769922999</v>
      </c>
      <c r="AA395">
        <v>626.06344465320603</v>
      </c>
      <c r="AB395">
        <v>784.70318566502704</v>
      </c>
      <c r="AC395">
        <v>270.20123565914002</v>
      </c>
      <c r="AD395">
        <v>821.05968495338595</v>
      </c>
      <c r="AE395">
        <v>238.68694093756901</v>
      </c>
      <c r="AF395">
        <v>239.03553046264699</v>
      </c>
      <c r="AG395">
        <v>662.58800966345905</v>
      </c>
    </row>
    <row r="396" spans="1:33" x14ac:dyDescent="0.25">
      <c r="A396" s="1">
        <v>44447</v>
      </c>
      <c r="B396">
        <v>19261.010497774401</v>
      </c>
      <c r="C396">
        <v>11227.7394173633</v>
      </c>
      <c r="D396">
        <v>15383.924975170001</v>
      </c>
      <c r="E396">
        <v>18990.850920775101</v>
      </c>
      <c r="F396">
        <v>16437.7889144207</v>
      </c>
      <c r="G396">
        <v>16230.814065091799</v>
      </c>
      <c r="H396">
        <v>27317.1679187521</v>
      </c>
      <c r="I396">
        <v>19841.509025967702</v>
      </c>
      <c r="J396">
        <v>2062.8935363437299</v>
      </c>
      <c r="K396">
        <v>1640.78083956106</v>
      </c>
      <c r="L396">
        <v>1001.77198005235</v>
      </c>
      <c r="M396">
        <v>14420.4475991166</v>
      </c>
      <c r="N396">
        <v>5119.2636869335001</v>
      </c>
      <c r="O396">
        <v>1038.3800977364399</v>
      </c>
      <c r="P396">
        <v>2414.2679451354102</v>
      </c>
      <c r="Q396">
        <v>12369.6692688365</v>
      </c>
      <c r="R396">
        <v>1203.0246549235601</v>
      </c>
      <c r="S396">
        <v>521.67427242314602</v>
      </c>
      <c r="T396">
        <v>641.93585185167399</v>
      </c>
      <c r="U396">
        <v>168.927574720693</v>
      </c>
      <c r="V396">
        <v>597.30612301493704</v>
      </c>
      <c r="W396">
        <v>170.21089142686</v>
      </c>
      <c r="X396">
        <v>308.97328667440701</v>
      </c>
      <c r="Y396">
        <v>734.73823072175196</v>
      </c>
      <c r="Z396">
        <v>179.25440215178901</v>
      </c>
      <c r="AA396">
        <v>627.81048350722097</v>
      </c>
      <c r="AB396">
        <v>787.13857429443397</v>
      </c>
      <c r="AC396">
        <v>270.15364861806597</v>
      </c>
      <c r="AD396">
        <v>852.524387705462</v>
      </c>
      <c r="AE396">
        <v>242.022897371954</v>
      </c>
      <c r="AF396">
        <v>241.81144259959399</v>
      </c>
      <c r="AG396">
        <v>665.94135294962905</v>
      </c>
    </row>
    <row r="397" spans="1:33" x14ac:dyDescent="0.25">
      <c r="A397" s="1">
        <v>44448</v>
      </c>
      <c r="B397">
        <v>18596.638993689499</v>
      </c>
      <c r="C397">
        <v>11562.9822536784</v>
      </c>
      <c r="D397">
        <v>14853.9355771644</v>
      </c>
      <c r="E397">
        <v>18482.142038032001</v>
      </c>
      <c r="F397">
        <v>16887.1889898882</v>
      </c>
      <c r="G397">
        <v>16880.006062759701</v>
      </c>
      <c r="H397">
        <v>27918.770217949899</v>
      </c>
      <c r="I397">
        <v>19931.458728512702</v>
      </c>
      <c r="J397">
        <v>2114.6711159963302</v>
      </c>
      <c r="K397">
        <v>1644.64894330539</v>
      </c>
      <c r="L397">
        <v>1056.39376559325</v>
      </c>
      <c r="M397">
        <v>15038.450875852401</v>
      </c>
      <c r="N397">
        <v>5436.3133543365002</v>
      </c>
      <c r="O397">
        <v>1126.1183873523701</v>
      </c>
      <c r="P397">
        <v>2556.00366413232</v>
      </c>
      <c r="Q397">
        <v>13036.497123012001</v>
      </c>
      <c r="R397">
        <v>1276.71977617325</v>
      </c>
      <c r="S397">
        <v>513.05799035741404</v>
      </c>
      <c r="T397">
        <v>661.18977903689199</v>
      </c>
      <c r="U397">
        <v>169.48011320133</v>
      </c>
      <c r="V397">
        <v>623.27815010204995</v>
      </c>
      <c r="W397">
        <v>171.825702172783</v>
      </c>
      <c r="X397">
        <v>323.20221512314498</v>
      </c>
      <c r="Y397">
        <v>742.713676379699</v>
      </c>
      <c r="Z397">
        <v>185.082939081718</v>
      </c>
      <c r="AA397">
        <v>630.40405225993595</v>
      </c>
      <c r="AB397">
        <v>786.56568620841995</v>
      </c>
      <c r="AC397">
        <v>269.05133842963897</v>
      </c>
      <c r="AD397">
        <v>901.93372084893997</v>
      </c>
      <c r="AE397">
        <v>250.20173261143799</v>
      </c>
      <c r="AF397">
        <v>244.15897116480301</v>
      </c>
      <c r="AG397">
        <v>668.81915840349404</v>
      </c>
    </row>
    <row r="398" spans="1:33" x14ac:dyDescent="0.25">
      <c r="A398" s="1">
        <v>44449</v>
      </c>
      <c r="B398">
        <v>18023.706847702801</v>
      </c>
      <c r="C398">
        <v>12244.227009230401</v>
      </c>
      <c r="D398">
        <v>14168.6063579902</v>
      </c>
      <c r="E398">
        <v>18009.342668888799</v>
      </c>
      <c r="F398">
        <v>17182.664120847701</v>
      </c>
      <c r="G398">
        <v>16970.167078554401</v>
      </c>
      <c r="H398">
        <v>27947.273799491901</v>
      </c>
      <c r="I398">
        <v>20074.9056170818</v>
      </c>
      <c r="J398">
        <v>2157.3790070414898</v>
      </c>
      <c r="K398">
        <v>1636.1899163959199</v>
      </c>
      <c r="L398">
        <v>1096.0057522494501</v>
      </c>
      <c r="M398">
        <v>15175.2232470736</v>
      </c>
      <c r="N398">
        <v>5441.7901792813</v>
      </c>
      <c r="O398">
        <v>1180.7713777434799</v>
      </c>
      <c r="P398">
        <v>2594.9203298880002</v>
      </c>
      <c r="Q398">
        <v>13268.483967296001</v>
      </c>
      <c r="R398">
        <v>1343.55755710416</v>
      </c>
      <c r="S398">
        <v>506.14251596705799</v>
      </c>
      <c r="T398">
        <v>649.04851301910196</v>
      </c>
      <c r="U398">
        <v>171.73231997919601</v>
      </c>
      <c r="V398">
        <v>592.72764176607302</v>
      </c>
      <c r="W398">
        <v>170.16396735438201</v>
      </c>
      <c r="X398">
        <v>315.712563454725</v>
      </c>
      <c r="Y398">
        <v>758.284377280645</v>
      </c>
      <c r="Z398">
        <v>185.56437496554599</v>
      </c>
      <c r="AA398">
        <v>633.33974147141998</v>
      </c>
      <c r="AB398">
        <v>788.94584396786001</v>
      </c>
      <c r="AC398">
        <v>267.10866258174002</v>
      </c>
      <c r="AD398">
        <v>933.23100171550698</v>
      </c>
      <c r="AE398">
        <v>228.73361613437399</v>
      </c>
      <c r="AF398">
        <v>246.74386593114201</v>
      </c>
      <c r="AG398">
        <v>669.30640781853901</v>
      </c>
    </row>
    <row r="399" spans="1:33" x14ac:dyDescent="0.25">
      <c r="A399" s="1">
        <v>44450</v>
      </c>
      <c r="B399">
        <v>17646.213386759599</v>
      </c>
      <c r="C399">
        <v>12586.3053477104</v>
      </c>
      <c r="D399">
        <v>13543.4731568446</v>
      </c>
      <c r="E399">
        <v>17566.881421133301</v>
      </c>
      <c r="F399">
        <v>17016.891255677299</v>
      </c>
      <c r="G399">
        <v>16548.448273484901</v>
      </c>
      <c r="H399">
        <v>27433.836037318099</v>
      </c>
      <c r="I399">
        <v>20186.243956683898</v>
      </c>
      <c r="J399">
        <v>2164.18401582253</v>
      </c>
      <c r="K399">
        <v>1658.7049645566201</v>
      </c>
      <c r="L399">
        <v>1090.1108394288301</v>
      </c>
      <c r="M399">
        <v>14801.5211006304</v>
      </c>
      <c r="N399">
        <v>5158.8918114860498</v>
      </c>
      <c r="O399">
        <v>1071.2910185552</v>
      </c>
      <c r="P399">
        <v>2534.93035504524</v>
      </c>
      <c r="Q399">
        <v>12798.594970056</v>
      </c>
      <c r="R399">
        <v>1297.13419536672</v>
      </c>
      <c r="S399">
        <v>503.13960249134402</v>
      </c>
      <c r="T399">
        <v>619.745733532288</v>
      </c>
      <c r="U399">
        <v>169.975095515562</v>
      </c>
      <c r="V399">
        <v>617.16397462243594</v>
      </c>
      <c r="W399">
        <v>167.777449427779</v>
      </c>
      <c r="X399">
        <v>353.81665720338702</v>
      </c>
      <c r="Y399">
        <v>760.82611651818695</v>
      </c>
      <c r="Z399">
        <v>185.08946509585101</v>
      </c>
      <c r="AA399">
        <v>635.99471107987597</v>
      </c>
      <c r="AB399">
        <v>800.27414949461001</v>
      </c>
      <c r="AC399">
        <v>264.37479152047501</v>
      </c>
      <c r="AD399">
        <v>922.80186543004197</v>
      </c>
      <c r="AE399">
        <v>260.94548416757499</v>
      </c>
      <c r="AF399">
        <v>250.64917922702699</v>
      </c>
      <c r="AG399">
        <v>668.05303145253094</v>
      </c>
    </row>
    <row r="400" spans="1:33" x14ac:dyDescent="0.25">
      <c r="A400" s="1">
        <v>44451</v>
      </c>
      <c r="B400">
        <v>17295.066601996601</v>
      </c>
      <c r="C400">
        <v>12307.0700806355</v>
      </c>
      <c r="D400">
        <v>13253.4402091221</v>
      </c>
      <c r="E400">
        <v>17250.384210422399</v>
      </c>
      <c r="F400">
        <v>17121.214663925199</v>
      </c>
      <c r="G400">
        <v>16570.389270145199</v>
      </c>
      <c r="H400">
        <v>27917.8422161007</v>
      </c>
      <c r="I400">
        <v>20235.357995240302</v>
      </c>
      <c r="J400">
        <v>2175.0522638536499</v>
      </c>
      <c r="K400">
        <v>1677.7591877463001</v>
      </c>
      <c r="L400">
        <v>1098.51938429183</v>
      </c>
      <c r="M400">
        <v>14871.489301895999</v>
      </c>
      <c r="N400">
        <v>5383.0840848190501</v>
      </c>
      <c r="O400">
        <v>1046.1893814125399</v>
      </c>
      <c r="P400">
        <v>2574.9385325872299</v>
      </c>
      <c r="Q400">
        <v>12954.5164876789</v>
      </c>
      <c r="R400">
        <v>1301.5751106564401</v>
      </c>
      <c r="S400">
        <v>498.81484130024899</v>
      </c>
      <c r="T400">
        <v>685.414802814979</v>
      </c>
      <c r="U400">
        <v>169.56863129050399</v>
      </c>
      <c r="V400">
        <v>684.84085489366203</v>
      </c>
      <c r="W400">
        <v>178.34213878524699</v>
      </c>
      <c r="X400">
        <v>392.08153917146001</v>
      </c>
      <c r="Y400">
        <v>772.36358909294302</v>
      </c>
      <c r="Z400">
        <v>185.319907101382</v>
      </c>
      <c r="AA400">
        <v>632.77964992433397</v>
      </c>
      <c r="AB400">
        <v>807.29124802014701</v>
      </c>
      <c r="AC400">
        <v>265.07817096267001</v>
      </c>
      <c r="AD400">
        <v>929.31101880149095</v>
      </c>
      <c r="AE400">
        <v>265.51579766930701</v>
      </c>
      <c r="AF400">
        <v>253.480480496067</v>
      </c>
      <c r="AG400">
        <v>667.58584603326199</v>
      </c>
    </row>
    <row r="401" spans="1:33" x14ac:dyDescent="0.25">
      <c r="A401" s="1">
        <v>44452</v>
      </c>
      <c r="B401">
        <v>16985.956468787801</v>
      </c>
      <c r="C401">
        <v>12521.232765794501</v>
      </c>
      <c r="D401">
        <v>13081.934841697501</v>
      </c>
      <c r="E401">
        <v>17042.892385616298</v>
      </c>
      <c r="F401">
        <v>17241.982846103801</v>
      </c>
      <c r="G401">
        <v>16591.1097963178</v>
      </c>
      <c r="H401">
        <v>27898.3699228603</v>
      </c>
      <c r="I401">
        <v>20276.190702918298</v>
      </c>
      <c r="J401">
        <v>2179.6442485340999</v>
      </c>
      <c r="K401">
        <v>1704.3862789197899</v>
      </c>
      <c r="L401">
        <v>1107.3234739539801</v>
      </c>
      <c r="M401">
        <v>15009.362299427101</v>
      </c>
      <c r="N401">
        <v>5620.2316498963201</v>
      </c>
      <c r="O401">
        <v>1058.3418427271699</v>
      </c>
      <c r="P401">
        <v>2652.0311879081801</v>
      </c>
      <c r="Q401">
        <v>13041.1109147426</v>
      </c>
      <c r="R401">
        <v>1322.2503591714801</v>
      </c>
      <c r="S401">
        <v>495.925276054829</v>
      </c>
      <c r="T401">
        <v>715.52848649568205</v>
      </c>
      <c r="U401">
        <v>178.02760070810501</v>
      </c>
      <c r="V401">
        <v>672.97482061901405</v>
      </c>
      <c r="W401">
        <v>166.345333582862</v>
      </c>
      <c r="X401">
        <v>363.08906833234897</v>
      </c>
      <c r="Y401">
        <v>767.33566604731698</v>
      </c>
      <c r="Z401">
        <v>189.25997615295</v>
      </c>
      <c r="AA401">
        <v>631.59187803325699</v>
      </c>
      <c r="AB401">
        <v>800.26910604593002</v>
      </c>
      <c r="AC401">
        <v>265.51070743081601</v>
      </c>
      <c r="AD401">
        <v>939.46452600461998</v>
      </c>
      <c r="AE401">
        <v>267.27377532471598</v>
      </c>
      <c r="AF401">
        <v>256.28054963826298</v>
      </c>
      <c r="AG401">
        <v>669.63039813968101</v>
      </c>
    </row>
    <row r="402" spans="1:33" x14ac:dyDescent="0.25">
      <c r="A402" s="1">
        <v>44453</v>
      </c>
      <c r="B402">
        <v>16741.768231821399</v>
      </c>
      <c r="C402">
        <v>12656.601268071399</v>
      </c>
      <c r="D402">
        <v>12879.8787873396</v>
      </c>
      <c r="E402">
        <v>16799.415633802499</v>
      </c>
      <c r="F402">
        <v>17492.567694347399</v>
      </c>
      <c r="G402">
        <v>16937.457437196201</v>
      </c>
      <c r="H402">
        <v>28623.329455850198</v>
      </c>
      <c r="I402">
        <v>20317.219664038701</v>
      </c>
      <c r="J402">
        <v>2218.5415618726902</v>
      </c>
      <c r="K402">
        <v>1737.1147055035699</v>
      </c>
      <c r="L402">
        <v>1155.5049524216399</v>
      </c>
      <c r="M402">
        <v>15364.5604761338</v>
      </c>
      <c r="N402">
        <v>5937.2476745288504</v>
      </c>
      <c r="O402">
        <v>1169.35148103193</v>
      </c>
      <c r="P402">
        <v>2830.5375724928999</v>
      </c>
      <c r="Q402">
        <v>13480.3020072169</v>
      </c>
      <c r="R402">
        <v>1430.43381852777</v>
      </c>
      <c r="S402">
        <v>491.97472542041902</v>
      </c>
      <c r="T402">
        <v>748.15121462700495</v>
      </c>
      <c r="U402">
        <v>178.68787858847901</v>
      </c>
      <c r="V402">
        <v>629.35997850678098</v>
      </c>
      <c r="W402">
        <v>164.465996164134</v>
      </c>
      <c r="X402">
        <v>309.49840754283701</v>
      </c>
      <c r="Y402">
        <v>769.43839981861697</v>
      </c>
      <c r="Z402">
        <v>191.46221598269901</v>
      </c>
      <c r="AA402">
        <v>627.50331218051804</v>
      </c>
      <c r="AB402">
        <v>797.641149882489</v>
      </c>
      <c r="AC402">
        <v>267.14075732864501</v>
      </c>
      <c r="AD402">
        <v>989.25571716480999</v>
      </c>
      <c r="AE402">
        <v>233.46237171544001</v>
      </c>
      <c r="AF402">
        <v>258.488958294101</v>
      </c>
      <c r="AG402">
        <v>672.06656222122399</v>
      </c>
    </row>
    <row r="403" spans="1:33" x14ac:dyDescent="0.25">
      <c r="A403" s="1">
        <v>44454</v>
      </c>
      <c r="B403">
        <v>16525.453188362</v>
      </c>
      <c r="C403">
        <v>13231.058391782</v>
      </c>
      <c r="D403">
        <v>12818.270312503601</v>
      </c>
      <c r="E403">
        <v>16447.4376212651</v>
      </c>
      <c r="F403">
        <v>18108.048153579999</v>
      </c>
      <c r="G403">
        <v>17138.901030948698</v>
      </c>
      <c r="H403">
        <v>29185.765813635498</v>
      </c>
      <c r="I403">
        <v>20479.1658224905</v>
      </c>
      <c r="J403">
        <v>2258.5558267732399</v>
      </c>
      <c r="K403">
        <v>1724.8436009720499</v>
      </c>
      <c r="L403">
        <v>1220.0658655603199</v>
      </c>
      <c r="M403">
        <v>15649.7953841828</v>
      </c>
      <c r="N403">
        <v>6197.4644571264798</v>
      </c>
      <c r="O403">
        <v>1298.87271446045</v>
      </c>
      <c r="P403">
        <v>2932.033401181</v>
      </c>
      <c r="Q403">
        <v>13747.221001899101</v>
      </c>
      <c r="R403">
        <v>1556.5450325992001</v>
      </c>
      <c r="S403">
        <v>485.96104835196201</v>
      </c>
      <c r="T403">
        <v>774.28996567040895</v>
      </c>
      <c r="U403">
        <v>178.82185266011999</v>
      </c>
      <c r="V403">
        <v>590.22903017284295</v>
      </c>
      <c r="W403">
        <v>169.801260125498</v>
      </c>
      <c r="X403">
        <v>275.47993003997198</v>
      </c>
      <c r="Y403">
        <v>769.73995042320803</v>
      </c>
      <c r="Z403">
        <v>194.72037453858201</v>
      </c>
      <c r="AA403">
        <v>626.13218383861204</v>
      </c>
      <c r="AB403">
        <v>801.82902290699997</v>
      </c>
      <c r="AC403">
        <v>269.93909164384598</v>
      </c>
      <c r="AD403">
        <v>1038.8912210323999</v>
      </c>
      <c r="AE403">
        <v>270.826557280072</v>
      </c>
      <c r="AF403">
        <v>259.72810989525999</v>
      </c>
      <c r="AG403">
        <v>673.44000661418704</v>
      </c>
    </row>
    <row r="404" spans="1:33" x14ac:dyDescent="0.25">
      <c r="A404" s="1">
        <v>44455</v>
      </c>
      <c r="B404">
        <v>16286.015528337201</v>
      </c>
      <c r="C404">
        <v>13768.638441777801</v>
      </c>
      <c r="D404">
        <v>12826.426460406599</v>
      </c>
      <c r="E404">
        <v>16172.721371420999</v>
      </c>
      <c r="F404">
        <v>18222.2669078217</v>
      </c>
      <c r="G404">
        <v>17048.7930464415</v>
      </c>
      <c r="H404">
        <v>28715.6185591494</v>
      </c>
      <c r="I404">
        <v>20655.5866374994</v>
      </c>
      <c r="J404">
        <v>2294.48047702041</v>
      </c>
      <c r="K404">
        <v>1745.6690225877601</v>
      </c>
      <c r="L404">
        <v>1261.0763185946701</v>
      </c>
      <c r="M404">
        <v>15446.4157887981</v>
      </c>
      <c r="N404">
        <v>6190.4101308272802</v>
      </c>
      <c r="O404">
        <v>1360.0619147990899</v>
      </c>
      <c r="P404">
        <v>3024.0501418120002</v>
      </c>
      <c r="Q404">
        <v>13772.612002846599</v>
      </c>
      <c r="R404">
        <v>1596.2000540397901</v>
      </c>
      <c r="S404">
        <v>478.641806503704</v>
      </c>
      <c r="T404">
        <v>736.98397292065101</v>
      </c>
      <c r="U404">
        <v>178.83257422808001</v>
      </c>
      <c r="V404">
        <v>534.85507075696103</v>
      </c>
      <c r="W404">
        <v>166.61653686730401</v>
      </c>
      <c r="X404">
        <v>254.239622600953</v>
      </c>
      <c r="Y404">
        <v>758.960622823417</v>
      </c>
      <c r="Z404">
        <v>195.497142077192</v>
      </c>
      <c r="AA404">
        <v>632.94009299025504</v>
      </c>
      <c r="AB404">
        <v>801.57184330887901</v>
      </c>
      <c r="AC404">
        <v>269.92401374823697</v>
      </c>
      <c r="AD404">
        <v>1074.6979137138801</v>
      </c>
      <c r="AE404">
        <v>349.841170591185</v>
      </c>
      <c r="AF404">
        <v>262.69984482690398</v>
      </c>
      <c r="AG404">
        <v>673.58035555110405</v>
      </c>
    </row>
    <row r="405" spans="1:33" x14ac:dyDescent="0.25">
      <c r="A405" s="1">
        <v>44456</v>
      </c>
      <c r="B405">
        <v>16013.273542540301</v>
      </c>
      <c r="C405">
        <v>13675.405083694601</v>
      </c>
      <c r="D405">
        <v>12921.265830246301</v>
      </c>
      <c r="E405">
        <v>15855.733616308</v>
      </c>
      <c r="F405">
        <v>18084.1741618011</v>
      </c>
      <c r="G405">
        <v>16896.710638908899</v>
      </c>
      <c r="H405">
        <v>28352.545927806201</v>
      </c>
      <c r="I405">
        <v>20757.643464419802</v>
      </c>
      <c r="J405">
        <v>2334.7615092033998</v>
      </c>
      <c r="K405">
        <v>1800.86370556677</v>
      </c>
      <c r="L405">
        <v>1303.9508979540799</v>
      </c>
      <c r="M405">
        <v>15233.079594106999</v>
      </c>
      <c r="N405">
        <v>6022.2489696709999</v>
      </c>
      <c r="O405">
        <v>1361.9620715388501</v>
      </c>
      <c r="P405">
        <v>3062.0096586851801</v>
      </c>
      <c r="Q405">
        <v>13465.3196257408</v>
      </c>
      <c r="R405">
        <v>1599.91438059454</v>
      </c>
      <c r="S405">
        <v>473.60332472416599</v>
      </c>
      <c r="T405">
        <v>719.50991016120099</v>
      </c>
      <c r="U405">
        <v>170.66301462647101</v>
      </c>
      <c r="V405">
        <v>647.24216764754397</v>
      </c>
      <c r="W405">
        <v>163.310386458208</v>
      </c>
      <c r="X405">
        <v>329.805733649827</v>
      </c>
      <c r="Y405">
        <v>743.64052339452496</v>
      </c>
      <c r="Z405">
        <v>192.81536145959799</v>
      </c>
      <c r="AA405">
        <v>639.87404179227497</v>
      </c>
      <c r="AB405">
        <v>799.92469948648898</v>
      </c>
      <c r="AC405">
        <v>267.13661019117501</v>
      </c>
      <c r="AD405">
        <v>1108.0465398753399</v>
      </c>
      <c r="AE405">
        <v>380.723048887782</v>
      </c>
      <c r="AF405">
        <v>266.067399231455</v>
      </c>
      <c r="AG405">
        <v>674.05789020149905</v>
      </c>
    </row>
    <row r="406" spans="1:33" x14ac:dyDescent="0.25">
      <c r="A406" s="1">
        <v>44457</v>
      </c>
      <c r="B406">
        <v>15741.650922848199</v>
      </c>
      <c r="C406">
        <v>13213.426126299</v>
      </c>
      <c r="D406">
        <v>13147.6039439373</v>
      </c>
      <c r="E406">
        <v>15700.309784826</v>
      </c>
      <c r="F406">
        <v>17899.5555202777</v>
      </c>
      <c r="G406">
        <v>16693.319403931499</v>
      </c>
      <c r="H406">
        <v>28031.135005577002</v>
      </c>
      <c r="I406">
        <v>20843.490219679701</v>
      </c>
      <c r="J406">
        <v>2384.3229032030199</v>
      </c>
      <c r="K406">
        <v>1837.41280154022</v>
      </c>
      <c r="L406">
        <v>1318.9164307630999</v>
      </c>
      <c r="M406">
        <v>15205.926093485499</v>
      </c>
      <c r="N406">
        <v>6091.3246776156402</v>
      </c>
      <c r="O406">
        <v>1305.2809598435599</v>
      </c>
      <c r="P406">
        <v>3025.3243847694598</v>
      </c>
      <c r="Q406">
        <v>13435.539149594801</v>
      </c>
      <c r="R406">
        <v>1603.01901910889</v>
      </c>
      <c r="S406">
        <v>466.19086268070799</v>
      </c>
      <c r="T406">
        <v>780.97269993407394</v>
      </c>
      <c r="U406">
        <v>162.885748082877</v>
      </c>
      <c r="V406">
        <v>748.72696849013005</v>
      </c>
      <c r="W406">
        <v>161.52189130892901</v>
      </c>
      <c r="X406">
        <v>423.45860119365898</v>
      </c>
      <c r="Y406">
        <v>736.04005084316702</v>
      </c>
      <c r="Z406">
        <v>184.523229412642</v>
      </c>
      <c r="AA406">
        <v>648.18079418209095</v>
      </c>
      <c r="AB406">
        <v>806.15989770725605</v>
      </c>
      <c r="AC406">
        <v>266.52922508811599</v>
      </c>
      <c r="AD406">
        <v>1122.7069828773101</v>
      </c>
      <c r="AE406">
        <v>432.30522031242299</v>
      </c>
      <c r="AF406">
        <v>269.198170272575</v>
      </c>
      <c r="AG406">
        <v>678.96509916456102</v>
      </c>
    </row>
    <row r="407" spans="1:33" x14ac:dyDescent="0.25">
      <c r="A407" s="1">
        <v>44458</v>
      </c>
      <c r="B407">
        <v>15506.0677552506</v>
      </c>
      <c r="C407">
        <v>12567.098375667299</v>
      </c>
      <c r="D407">
        <v>13282.662406572499</v>
      </c>
      <c r="E407">
        <v>15506.4399099287</v>
      </c>
      <c r="F407">
        <v>17381.301589979899</v>
      </c>
      <c r="G407">
        <v>16184.0302261661</v>
      </c>
      <c r="H407">
        <v>27179.773801547599</v>
      </c>
      <c r="I407">
        <v>20874.0598079433</v>
      </c>
      <c r="J407">
        <v>2394.5080235712499</v>
      </c>
      <c r="K407">
        <v>1839.20660666401</v>
      </c>
      <c r="L407">
        <v>1280.6497159202099</v>
      </c>
      <c r="M407">
        <v>14575.2904789027</v>
      </c>
      <c r="N407">
        <v>5666.2683960796603</v>
      </c>
      <c r="O407">
        <v>1191.12129383416</v>
      </c>
      <c r="P407">
        <v>2893.9686222288701</v>
      </c>
      <c r="Q407">
        <v>12750.9341656129</v>
      </c>
      <c r="R407">
        <v>1501.4987193731899</v>
      </c>
      <c r="S407">
        <v>462.46522428985298</v>
      </c>
      <c r="T407">
        <v>696.50358709374996</v>
      </c>
      <c r="U407">
        <v>161.74629694236</v>
      </c>
      <c r="V407">
        <v>701.73461125661402</v>
      </c>
      <c r="W407">
        <v>169.28523326585</v>
      </c>
      <c r="X407">
        <v>395.99643225256398</v>
      </c>
      <c r="Y407">
        <v>718.63885931343896</v>
      </c>
      <c r="Z407">
        <v>185.603582205989</v>
      </c>
      <c r="AA407">
        <v>660.06865460395704</v>
      </c>
      <c r="AB407">
        <v>808.80569177035204</v>
      </c>
      <c r="AC407">
        <v>265.50243060100701</v>
      </c>
      <c r="AD407">
        <v>1079.9344370259601</v>
      </c>
      <c r="AE407">
        <v>432.78248502476202</v>
      </c>
      <c r="AF407">
        <v>274.02183076813401</v>
      </c>
      <c r="AG407">
        <v>683.65023281551896</v>
      </c>
    </row>
    <row r="408" spans="1:33" x14ac:dyDescent="0.25">
      <c r="A408" s="1">
        <v>44459</v>
      </c>
      <c r="B408">
        <v>15222.7382750337</v>
      </c>
      <c r="C408">
        <v>11587.3313178267</v>
      </c>
      <c r="D408">
        <v>13294.8663091282</v>
      </c>
      <c r="E408">
        <v>15285.5329013148</v>
      </c>
      <c r="F408">
        <v>16924.470636648701</v>
      </c>
      <c r="G408">
        <v>15998.3876298259</v>
      </c>
      <c r="H408">
        <v>26498.507295884599</v>
      </c>
      <c r="I408">
        <v>20716.737779609499</v>
      </c>
      <c r="J408">
        <v>2386.9521390650998</v>
      </c>
      <c r="K408">
        <v>1863.7897330276401</v>
      </c>
      <c r="L408">
        <v>1231.9364104496301</v>
      </c>
      <c r="M408">
        <v>14275.1963195429</v>
      </c>
      <c r="N408">
        <v>5225.2399332058803</v>
      </c>
      <c r="O408">
        <v>1150.7654113312699</v>
      </c>
      <c r="P408">
        <v>2808.6842318405302</v>
      </c>
      <c r="Q408">
        <v>12304.5176213292</v>
      </c>
      <c r="R408">
        <v>1431.9185079778199</v>
      </c>
      <c r="S408">
        <v>461.55138733072999</v>
      </c>
      <c r="T408">
        <v>630.77276138738705</v>
      </c>
      <c r="U408">
        <v>167.79485543458799</v>
      </c>
      <c r="V408">
        <v>606.86042955209302</v>
      </c>
      <c r="W408">
        <v>163.43989022656601</v>
      </c>
      <c r="X408">
        <v>326.49737804195001</v>
      </c>
      <c r="Y408">
        <v>722.16524559474897</v>
      </c>
      <c r="Z408">
        <v>186.77289468515499</v>
      </c>
      <c r="AA408">
        <v>666.730899435948</v>
      </c>
      <c r="AB408">
        <v>821.97406544220405</v>
      </c>
      <c r="AC408">
        <v>264.50015769433799</v>
      </c>
      <c r="AD408">
        <v>1046.2858581605999</v>
      </c>
      <c r="AE408">
        <v>405.13027799528197</v>
      </c>
      <c r="AF408">
        <v>280.062895595778</v>
      </c>
      <c r="AG408">
        <v>691.14986609996197</v>
      </c>
    </row>
    <row r="409" spans="1:33" x14ac:dyDescent="0.25">
      <c r="A409" s="1">
        <v>44460</v>
      </c>
      <c r="B409">
        <v>14966.3247766433</v>
      </c>
      <c r="C409">
        <v>11230.715943855699</v>
      </c>
      <c r="D409">
        <v>13158.167858753301</v>
      </c>
      <c r="E409">
        <v>15142.5679521807</v>
      </c>
      <c r="F409">
        <v>16776.748102155201</v>
      </c>
      <c r="G409">
        <v>16174.285705182499</v>
      </c>
      <c r="H409">
        <v>26642.115791137701</v>
      </c>
      <c r="I409">
        <v>20488.755302012902</v>
      </c>
      <c r="J409">
        <v>2403.6007553444801</v>
      </c>
      <c r="K409">
        <v>1931.48208654001</v>
      </c>
      <c r="L409">
        <v>1233.73919731095</v>
      </c>
      <c r="M409">
        <v>14396.478869562899</v>
      </c>
      <c r="N409">
        <v>5006.0758095520696</v>
      </c>
      <c r="O409">
        <v>1249.7311276299299</v>
      </c>
      <c r="P409">
        <v>2816.2291841180499</v>
      </c>
      <c r="Q409">
        <v>12323.9116679609</v>
      </c>
      <c r="R409">
        <v>1457.0406360131201</v>
      </c>
      <c r="S409">
        <v>458.744991714614</v>
      </c>
      <c r="T409">
        <v>577.65164749728297</v>
      </c>
      <c r="U409">
        <v>170.93773353174899</v>
      </c>
      <c r="V409">
        <v>524.39320210643598</v>
      </c>
      <c r="W409">
        <v>161.47144994332601</v>
      </c>
      <c r="X409">
        <v>265.750943969697</v>
      </c>
      <c r="Y409">
        <v>737.68365792598104</v>
      </c>
      <c r="Z409">
        <v>188.19312892326101</v>
      </c>
      <c r="AA409">
        <v>675.26498101569098</v>
      </c>
      <c r="AB409">
        <v>831.289370859531</v>
      </c>
      <c r="AC409">
        <v>271.60633959567002</v>
      </c>
      <c r="AD409">
        <v>1060.1794997715799</v>
      </c>
      <c r="AE409">
        <v>413.17280574972898</v>
      </c>
      <c r="AF409">
        <v>284.32762335399201</v>
      </c>
      <c r="AG409">
        <v>698.62555629727001</v>
      </c>
    </row>
    <row r="410" spans="1:33" x14ac:dyDescent="0.25">
      <c r="A410" s="1">
        <v>44461</v>
      </c>
      <c r="B410">
        <v>14820.2688750078</v>
      </c>
      <c r="C410">
        <v>11294.010499490099</v>
      </c>
      <c r="D410">
        <v>12933.788160117299</v>
      </c>
      <c r="E410">
        <v>15137.532152406</v>
      </c>
      <c r="F410">
        <v>17140.199281165202</v>
      </c>
      <c r="G410">
        <v>17076.859010410601</v>
      </c>
      <c r="H410">
        <v>28130.101200052701</v>
      </c>
      <c r="I410">
        <v>20403.0912502223</v>
      </c>
      <c r="J410">
        <v>2474.1496968278602</v>
      </c>
      <c r="K410">
        <v>1917.5447746407399</v>
      </c>
      <c r="L410">
        <v>1320.79948914428</v>
      </c>
      <c r="M410">
        <v>15283.242708125999</v>
      </c>
      <c r="N410">
        <v>5391.0653205482904</v>
      </c>
      <c r="O410">
        <v>1427.9295833905401</v>
      </c>
      <c r="P410">
        <v>2953.4556108593601</v>
      </c>
      <c r="Q410">
        <v>13317.432181341999</v>
      </c>
      <c r="R410">
        <v>1602.9234031902299</v>
      </c>
      <c r="S410">
        <v>453.10992440526599</v>
      </c>
      <c r="T410">
        <v>621.110117881929</v>
      </c>
      <c r="U410">
        <v>171.29666930543499</v>
      </c>
      <c r="V410">
        <v>573.888407188325</v>
      </c>
      <c r="W410">
        <v>160.11273582841801</v>
      </c>
      <c r="X410">
        <v>284.24811020834801</v>
      </c>
      <c r="Y410">
        <v>775.54599657836695</v>
      </c>
      <c r="Z410">
        <v>190.052480230821</v>
      </c>
      <c r="AA410">
        <v>680.05881532692297</v>
      </c>
      <c r="AB410">
        <v>847.91805072363502</v>
      </c>
      <c r="AC410">
        <v>283.95997194986103</v>
      </c>
      <c r="AD410">
        <v>1132.8153647419199</v>
      </c>
      <c r="AE410">
        <v>472.63957775156302</v>
      </c>
      <c r="AF410">
        <v>284.58308854452503</v>
      </c>
      <c r="AG410">
        <v>704.95271021561598</v>
      </c>
    </row>
    <row r="411" spans="1:33" x14ac:dyDescent="0.25">
      <c r="A411" s="1">
        <v>44462</v>
      </c>
      <c r="B411">
        <v>14817.0850462776</v>
      </c>
      <c r="C411">
        <v>12450.1655672577</v>
      </c>
      <c r="D411">
        <v>12580.2127082639</v>
      </c>
      <c r="E411">
        <v>15125.8630363991</v>
      </c>
      <c r="F411">
        <v>17742.985664394699</v>
      </c>
      <c r="G411">
        <v>17392.2421956283</v>
      </c>
      <c r="H411">
        <v>28325.3232990939</v>
      </c>
      <c r="I411">
        <v>20469.253157986801</v>
      </c>
      <c r="J411">
        <v>2527.5072476267401</v>
      </c>
      <c r="K411">
        <v>1927.2307864325901</v>
      </c>
      <c r="L411">
        <v>1391.1412267707799</v>
      </c>
      <c r="M411">
        <v>15681.028231914799</v>
      </c>
      <c r="N411">
        <v>5613.2465640707596</v>
      </c>
      <c r="O411">
        <v>1516.67015533668</v>
      </c>
      <c r="P411">
        <v>3128.30341246837</v>
      </c>
      <c r="Q411">
        <v>13689.4891623165</v>
      </c>
      <c r="R411">
        <v>1697.4793396621001</v>
      </c>
      <c r="S411">
        <v>449.899652220039</v>
      </c>
      <c r="T411">
        <v>606.53552845486104</v>
      </c>
      <c r="U411">
        <v>170.807606343457</v>
      </c>
      <c r="V411">
        <v>528.71449991147301</v>
      </c>
      <c r="W411">
        <v>150.015790424828</v>
      </c>
      <c r="X411">
        <v>251.05971353558701</v>
      </c>
      <c r="Y411">
        <v>787.83831915919495</v>
      </c>
      <c r="Z411">
        <v>188.43790849926401</v>
      </c>
      <c r="AA411">
        <v>691.77329831066299</v>
      </c>
      <c r="AB411">
        <v>864.94735012204706</v>
      </c>
      <c r="AC411">
        <v>297.85596618687902</v>
      </c>
      <c r="AD411">
        <v>1187.6478657610701</v>
      </c>
      <c r="AE411">
        <v>446.649705084147</v>
      </c>
      <c r="AF411">
        <v>285.67193728872297</v>
      </c>
      <c r="AG411">
        <v>707.087502301521</v>
      </c>
    </row>
    <row r="412" spans="1:33" x14ac:dyDescent="0.25">
      <c r="A412" s="1">
        <v>44463</v>
      </c>
      <c r="B412">
        <v>14831.993037467601</v>
      </c>
      <c r="C412">
        <v>12808.929257781499</v>
      </c>
      <c r="D412">
        <v>12271.505554871799</v>
      </c>
      <c r="E412">
        <v>15046.643716587099</v>
      </c>
      <c r="F412">
        <v>18016.7900730414</v>
      </c>
      <c r="G412">
        <v>17644.317238654399</v>
      </c>
      <c r="H412">
        <v>28755.350569713301</v>
      </c>
      <c r="I412">
        <v>20577.284047208901</v>
      </c>
      <c r="J412">
        <v>2575.1564454944801</v>
      </c>
      <c r="K412">
        <v>1991.5837674572199</v>
      </c>
      <c r="L412">
        <v>1447.6702328850699</v>
      </c>
      <c r="M412">
        <v>15870.9532635868</v>
      </c>
      <c r="N412">
        <v>5616.59198763113</v>
      </c>
      <c r="O412">
        <v>1553.54190641128</v>
      </c>
      <c r="P412">
        <v>3217.6880498258101</v>
      </c>
      <c r="Q412">
        <v>13936.8283992538</v>
      </c>
      <c r="R412">
        <v>1759.56934212082</v>
      </c>
      <c r="S412">
        <v>446.94026665926799</v>
      </c>
      <c r="T412">
        <v>586.20055827769102</v>
      </c>
      <c r="U412">
        <v>160.56173966646</v>
      </c>
      <c r="V412">
        <v>549.58276262713798</v>
      </c>
      <c r="W412">
        <v>154.19888708192701</v>
      </c>
      <c r="X412">
        <v>280.76297042045798</v>
      </c>
      <c r="Y412">
        <v>798.69784715694595</v>
      </c>
      <c r="Z412">
        <v>184.36971456961501</v>
      </c>
      <c r="AA412">
        <v>702.62034054406797</v>
      </c>
      <c r="AB412">
        <v>870.56809783712595</v>
      </c>
      <c r="AC412">
        <v>317.16121496128198</v>
      </c>
      <c r="AD412">
        <v>1233.08032197547</v>
      </c>
      <c r="AE412">
        <v>405.83713137452798</v>
      </c>
      <c r="AF412">
        <v>287.04114580248802</v>
      </c>
      <c r="AG412">
        <v>713.12274819256402</v>
      </c>
    </row>
    <row r="413" spans="1:33" x14ac:dyDescent="0.25">
      <c r="A413" s="1">
        <v>44464</v>
      </c>
      <c r="B413">
        <v>14824.728524903299</v>
      </c>
      <c r="C413">
        <v>13273.301872989599</v>
      </c>
      <c r="D413">
        <v>12166.383681236</v>
      </c>
      <c r="E413">
        <v>15028.123489055</v>
      </c>
      <c r="F413">
        <v>18430.225603868399</v>
      </c>
      <c r="G413">
        <v>17747.6079392356</v>
      </c>
      <c r="H413">
        <v>29566.839699611501</v>
      </c>
      <c r="I413">
        <v>20693.015634055999</v>
      </c>
      <c r="J413">
        <v>2632.5585139138402</v>
      </c>
      <c r="K413">
        <v>2010.64729044924</v>
      </c>
      <c r="L413">
        <v>1487.0758628721501</v>
      </c>
      <c r="M413">
        <v>16118.1299462937</v>
      </c>
      <c r="N413">
        <v>5877.9520298643602</v>
      </c>
      <c r="O413">
        <v>1560.26133378033</v>
      </c>
      <c r="P413">
        <v>3234.75667873873</v>
      </c>
      <c r="Q413">
        <v>14217.4983145197</v>
      </c>
      <c r="R413">
        <v>1830.6374730830901</v>
      </c>
      <c r="S413">
        <v>444.40213874662697</v>
      </c>
      <c r="T413">
        <v>634.89882814223802</v>
      </c>
      <c r="U413">
        <v>153.01065341017301</v>
      </c>
      <c r="V413">
        <v>610.41959021762295</v>
      </c>
      <c r="W413">
        <v>144.18323946751801</v>
      </c>
      <c r="X413">
        <v>320.31349599153901</v>
      </c>
      <c r="Y413">
        <v>817.09013947554604</v>
      </c>
      <c r="Z413">
        <v>181.132145612827</v>
      </c>
      <c r="AA413">
        <v>706.83115503640295</v>
      </c>
      <c r="AB413">
        <v>881.80961354775798</v>
      </c>
      <c r="AC413">
        <v>327.601782829748</v>
      </c>
      <c r="AD413">
        <v>1257.59053876393</v>
      </c>
      <c r="AE413">
        <v>336.770520132755</v>
      </c>
      <c r="AF413">
        <v>287.26173015965401</v>
      </c>
      <c r="AG413">
        <v>724.62519630281599</v>
      </c>
    </row>
    <row r="414" spans="1:33" x14ac:dyDescent="0.25">
      <c r="A414" s="1">
        <v>44465</v>
      </c>
      <c r="B414">
        <v>14810.6589262254</v>
      </c>
      <c r="C414">
        <v>14188.3318986377</v>
      </c>
      <c r="D414">
        <v>12248.436313202999</v>
      </c>
      <c r="E414">
        <v>15037.4381452096</v>
      </c>
      <c r="F414">
        <v>18479.685884702201</v>
      </c>
      <c r="G414">
        <v>17668.000986284202</v>
      </c>
      <c r="H414">
        <v>29878.806848592401</v>
      </c>
      <c r="I414">
        <v>20795.0167739588</v>
      </c>
      <c r="J414">
        <v>2674.1413744172601</v>
      </c>
      <c r="K414">
        <v>2039.46029657339</v>
      </c>
      <c r="L414">
        <v>1495.9042773835699</v>
      </c>
      <c r="M414">
        <v>16398.555683107701</v>
      </c>
      <c r="N414">
        <v>6410.3537536695003</v>
      </c>
      <c r="O414">
        <v>1557.83725634603</v>
      </c>
      <c r="P414">
        <v>3250.2720247581201</v>
      </c>
      <c r="Q414">
        <v>14282.760098389001</v>
      </c>
      <c r="R414">
        <v>1889.39044815378</v>
      </c>
      <c r="S414">
        <v>441.63569746949202</v>
      </c>
      <c r="T414">
        <v>665.52278127740999</v>
      </c>
      <c r="U414">
        <v>144.26928725699</v>
      </c>
      <c r="V414">
        <v>624.17732760899503</v>
      </c>
      <c r="W414">
        <v>145.13614256034299</v>
      </c>
      <c r="X414">
        <v>313.25626615922499</v>
      </c>
      <c r="Y414">
        <v>829.51350575422805</v>
      </c>
      <c r="Z414">
        <v>181.74137933825301</v>
      </c>
      <c r="AA414">
        <v>710.45617077320605</v>
      </c>
      <c r="AB414">
        <v>905.40933467079003</v>
      </c>
      <c r="AC414">
        <v>337.45327629389698</v>
      </c>
      <c r="AD414">
        <v>1268.9229083953801</v>
      </c>
      <c r="AE414">
        <v>291.31154560978302</v>
      </c>
      <c r="AF414">
        <v>287.82465421077598</v>
      </c>
      <c r="AG414">
        <v>734.061907101016</v>
      </c>
    </row>
    <row r="415" spans="1:33" x14ac:dyDescent="0.25">
      <c r="A415" s="1">
        <v>44466</v>
      </c>
      <c r="B415">
        <v>14820.490685810801</v>
      </c>
      <c r="C415">
        <v>14352.922230501699</v>
      </c>
      <c r="D415">
        <v>12393.8834881409</v>
      </c>
      <c r="E415">
        <v>15030.6963376558</v>
      </c>
      <c r="F415">
        <v>18386.304380843299</v>
      </c>
      <c r="G415">
        <v>17506.6550310536</v>
      </c>
      <c r="H415">
        <v>29935.595522739699</v>
      </c>
      <c r="I415">
        <v>20944.143878575302</v>
      </c>
      <c r="J415">
        <v>2717.0672699044499</v>
      </c>
      <c r="K415">
        <v>2069.6028070368202</v>
      </c>
      <c r="L415">
        <v>1491.4326137814301</v>
      </c>
      <c r="M415">
        <v>16223.7187155917</v>
      </c>
      <c r="N415">
        <v>6429.92771461555</v>
      </c>
      <c r="O415">
        <v>1516.9837565579001</v>
      </c>
      <c r="P415">
        <v>3293.4635350858098</v>
      </c>
      <c r="Q415">
        <v>14134.190445997599</v>
      </c>
      <c r="R415">
        <v>1915.24209824013</v>
      </c>
      <c r="S415">
        <v>440.653772437035</v>
      </c>
      <c r="T415">
        <v>657.00683662330005</v>
      </c>
      <c r="U415">
        <v>145.15279743137</v>
      </c>
      <c r="V415">
        <v>554.44348987831302</v>
      </c>
      <c r="W415">
        <v>142.62347475592799</v>
      </c>
      <c r="X415">
        <v>236.500031491106</v>
      </c>
      <c r="Y415">
        <v>838.61114625117</v>
      </c>
      <c r="Z415">
        <v>184.78018529657999</v>
      </c>
      <c r="AA415">
        <v>719.13611852026997</v>
      </c>
      <c r="AB415">
        <v>922.25140639592996</v>
      </c>
      <c r="AC415">
        <v>352.065324412047</v>
      </c>
      <c r="AD415">
        <v>1272.42966323173</v>
      </c>
      <c r="AE415">
        <v>333.57108531627199</v>
      </c>
      <c r="AF415">
        <v>288.92595005007701</v>
      </c>
      <c r="AG415">
        <v>742.56938587073103</v>
      </c>
    </row>
    <row r="416" spans="1:33" x14ac:dyDescent="0.25">
      <c r="A416" s="1">
        <v>44467</v>
      </c>
      <c r="B416">
        <v>14796.405664034301</v>
      </c>
      <c r="C416">
        <v>14201.1412109383</v>
      </c>
      <c r="D416">
        <v>12740.1695145251</v>
      </c>
      <c r="E416">
        <v>14789.0223971207</v>
      </c>
      <c r="F416">
        <v>17722.929416978299</v>
      </c>
      <c r="G416">
        <v>16758.745156851001</v>
      </c>
      <c r="H416">
        <v>28771.079954045901</v>
      </c>
      <c r="I416">
        <v>21076.143637749199</v>
      </c>
      <c r="J416">
        <v>2701.3295168577301</v>
      </c>
      <c r="K416">
        <v>2096.0091843978598</v>
      </c>
      <c r="L416">
        <v>1446.7205331953201</v>
      </c>
      <c r="M416">
        <v>15167.687289282399</v>
      </c>
      <c r="N416">
        <v>5105.1543861649398</v>
      </c>
      <c r="O416">
        <v>1500.5351382368301</v>
      </c>
      <c r="P416">
        <v>3165.41174657176</v>
      </c>
      <c r="Q416">
        <v>13248.4311559118</v>
      </c>
      <c r="R416">
        <v>1842.06479855923</v>
      </c>
      <c r="S416">
        <v>436.01316445631301</v>
      </c>
      <c r="T416">
        <v>488.03390677327599</v>
      </c>
      <c r="U416">
        <v>146.02578509952301</v>
      </c>
      <c r="V416">
        <v>254.038308288472</v>
      </c>
      <c r="W416">
        <v>139.13046694868899</v>
      </c>
      <c r="X416">
        <v>145.18285624358899</v>
      </c>
      <c r="Y416">
        <v>826.18220001078203</v>
      </c>
      <c r="Z416">
        <v>181.47893705812001</v>
      </c>
      <c r="AA416">
        <v>727.25695413973995</v>
      </c>
      <c r="AB416">
        <v>925.83109901447494</v>
      </c>
      <c r="AC416">
        <v>367.33326825804897</v>
      </c>
      <c r="AD416">
        <v>1221.4768559071699</v>
      </c>
      <c r="AE416">
        <v>362.05708288258899</v>
      </c>
      <c r="AF416">
        <v>290.51193384230203</v>
      </c>
      <c r="AG416">
        <v>752.24807659508804</v>
      </c>
    </row>
    <row r="417" spans="1:33" x14ac:dyDescent="0.25">
      <c r="A417" s="1">
        <v>44468</v>
      </c>
      <c r="B417">
        <v>14645.680972709</v>
      </c>
      <c r="C417">
        <v>12889.8316428241</v>
      </c>
      <c r="D417">
        <v>13112.0217447746</v>
      </c>
      <c r="E417">
        <v>14695.108728901399</v>
      </c>
      <c r="F417">
        <v>17034.6452073334</v>
      </c>
      <c r="G417">
        <v>16367.341055598299</v>
      </c>
      <c r="H417">
        <v>28494.5260262634</v>
      </c>
      <c r="I417">
        <v>21076.722944617999</v>
      </c>
      <c r="J417">
        <v>2672.6060658205001</v>
      </c>
      <c r="K417">
        <v>2142.4336763630499</v>
      </c>
      <c r="L417">
        <v>1448.3486743303999</v>
      </c>
      <c r="M417">
        <v>14801.6759856194</v>
      </c>
      <c r="N417">
        <v>4723.4224143139099</v>
      </c>
      <c r="O417">
        <v>1464.6528204183501</v>
      </c>
      <c r="P417">
        <v>3117.3269815487502</v>
      </c>
      <c r="Q417">
        <v>12757.356426337201</v>
      </c>
      <c r="R417">
        <v>1810.80420922897</v>
      </c>
      <c r="S417">
        <v>441.02890670382499</v>
      </c>
      <c r="T417">
        <v>445.83029303506498</v>
      </c>
      <c r="U417">
        <v>146.51007581754399</v>
      </c>
      <c r="V417">
        <v>283.05486948261699</v>
      </c>
      <c r="W417">
        <v>135.735980536645</v>
      </c>
      <c r="X417">
        <v>147.82285517214601</v>
      </c>
      <c r="Y417">
        <v>839.02641163612304</v>
      </c>
      <c r="Z417">
        <v>182.800332924537</v>
      </c>
      <c r="AA417">
        <v>736.07812284639999</v>
      </c>
      <c r="AB417">
        <v>929.30333726317997</v>
      </c>
      <c r="AC417">
        <v>378.87269479869599</v>
      </c>
      <c r="AD417">
        <v>1237.8317729283699</v>
      </c>
      <c r="AE417">
        <v>370.627613262681</v>
      </c>
      <c r="AF417">
        <v>292.79941256937701</v>
      </c>
      <c r="AG417">
        <v>765.36997395085905</v>
      </c>
    </row>
    <row r="418" spans="1:33" x14ac:dyDescent="0.25">
      <c r="A418" s="1">
        <v>44469</v>
      </c>
      <c r="B418">
        <v>14490.683806610699</v>
      </c>
      <c r="C418">
        <v>12327.762214092199</v>
      </c>
      <c r="D418">
        <v>13429.1544076476</v>
      </c>
      <c r="E418">
        <v>14678.7755285946</v>
      </c>
      <c r="F418">
        <v>16812.229366166201</v>
      </c>
      <c r="G418">
        <v>16357.5153717224</v>
      </c>
      <c r="H418">
        <v>28522.5028603842</v>
      </c>
      <c r="I418">
        <v>20941.4822135471</v>
      </c>
      <c r="J418">
        <v>2627.8578907189899</v>
      </c>
      <c r="K418">
        <v>2186.7975484169101</v>
      </c>
      <c r="L418">
        <v>1454.17211001639</v>
      </c>
      <c r="M418">
        <v>14692.5324394668</v>
      </c>
      <c r="N418">
        <v>4496.7669468793101</v>
      </c>
      <c r="O418">
        <v>1441.3687230359001</v>
      </c>
      <c r="P418">
        <v>2999.3861117899201</v>
      </c>
      <c r="Q418">
        <v>12557.0340870211</v>
      </c>
      <c r="R418">
        <v>1772.9748640256701</v>
      </c>
      <c r="S418">
        <v>437.883791500673</v>
      </c>
      <c r="T418">
        <v>423.91856545095402</v>
      </c>
      <c r="U418">
        <v>140.93848759002699</v>
      </c>
      <c r="V418">
        <v>358.76985445181998</v>
      </c>
      <c r="W418">
        <v>135.18660910460099</v>
      </c>
      <c r="X418">
        <v>184.20404063156701</v>
      </c>
      <c r="Y418">
        <v>866.48247322595398</v>
      </c>
      <c r="Z418">
        <v>179.20144693093499</v>
      </c>
      <c r="AA418">
        <v>755.90344289157895</v>
      </c>
      <c r="AB418">
        <v>934.91191365663201</v>
      </c>
      <c r="AC418">
        <v>384.14343217779799</v>
      </c>
      <c r="AD418">
        <v>1239.4722480227099</v>
      </c>
      <c r="AE418">
        <v>393.37427051910402</v>
      </c>
      <c r="AF418">
        <v>294.83553664502102</v>
      </c>
      <c r="AG418">
        <v>776.93774479353101</v>
      </c>
    </row>
    <row r="419" spans="1:33" x14ac:dyDescent="0.25">
      <c r="A419" s="1">
        <v>44470</v>
      </c>
      <c r="B419">
        <v>14527.722935307</v>
      </c>
      <c r="C419">
        <v>12147.5556530132</v>
      </c>
      <c r="D419">
        <v>13525.5642717226</v>
      </c>
      <c r="E419">
        <v>14773.1836771857</v>
      </c>
      <c r="F419">
        <v>16946.659695557701</v>
      </c>
      <c r="G419">
        <v>16644.984358360802</v>
      </c>
      <c r="H419">
        <v>28810.138244999602</v>
      </c>
      <c r="I419">
        <v>20770.416190211101</v>
      </c>
      <c r="J419">
        <v>2598.1830414580099</v>
      </c>
      <c r="K419">
        <v>2230.9103984444901</v>
      </c>
      <c r="L419">
        <v>1457.13502331318</v>
      </c>
      <c r="M419">
        <v>14857.4082815765</v>
      </c>
      <c r="N419">
        <v>4620.9463672809597</v>
      </c>
      <c r="O419">
        <v>1351.17058563982</v>
      </c>
      <c r="P419">
        <v>2949.2211979919198</v>
      </c>
      <c r="Q419">
        <v>12683.109329394299</v>
      </c>
      <c r="R419">
        <v>1718.45869093642</v>
      </c>
      <c r="S419">
        <v>433.945289655007</v>
      </c>
      <c r="T419">
        <v>439.41037865000499</v>
      </c>
      <c r="U419">
        <v>134.59337472791</v>
      </c>
      <c r="V419">
        <v>458.25772107800998</v>
      </c>
      <c r="W419">
        <v>123.151320659653</v>
      </c>
      <c r="X419">
        <v>235.77934793481299</v>
      </c>
      <c r="Y419">
        <v>885.68433881617</v>
      </c>
      <c r="Z419">
        <v>172.97964660679099</v>
      </c>
      <c r="AA419">
        <v>767.42212940662898</v>
      </c>
      <c r="AB419">
        <v>941.12178608864394</v>
      </c>
      <c r="AC419">
        <v>385.001095845978</v>
      </c>
      <c r="AD419">
        <v>1243.3562402955499</v>
      </c>
      <c r="AE419">
        <v>333.12403285623299</v>
      </c>
      <c r="AF419">
        <v>295.948310135518</v>
      </c>
      <c r="AG419">
        <v>790.48062215802497</v>
      </c>
    </row>
    <row r="420" spans="1:33" x14ac:dyDescent="0.25">
      <c r="A420" s="1">
        <v>44471</v>
      </c>
      <c r="B420">
        <v>14700.924719492699</v>
      </c>
      <c r="C420">
        <v>12294.5198257542</v>
      </c>
      <c r="D420">
        <v>13348.3593006391</v>
      </c>
      <c r="E420">
        <v>14940.8766272466</v>
      </c>
      <c r="F420">
        <v>17384.074721276</v>
      </c>
      <c r="G420">
        <v>17093.088449762199</v>
      </c>
      <c r="H420">
        <v>28974.701114145599</v>
      </c>
      <c r="I420">
        <v>20672.5146186073</v>
      </c>
      <c r="J420">
        <v>2575.7317084085898</v>
      </c>
      <c r="K420">
        <v>2243.16489994735</v>
      </c>
      <c r="L420">
        <v>1458.26667004049</v>
      </c>
      <c r="M420">
        <v>15145.471015073799</v>
      </c>
      <c r="N420">
        <v>4933.9391569730997</v>
      </c>
      <c r="O420">
        <v>1350.0752075390701</v>
      </c>
      <c r="P420">
        <v>2976.6346536956498</v>
      </c>
      <c r="Q420">
        <v>13029.364013157199</v>
      </c>
      <c r="R420">
        <v>1711.08298031717</v>
      </c>
      <c r="S420">
        <v>429.07265718575798</v>
      </c>
      <c r="T420">
        <v>488.21572259128698</v>
      </c>
      <c r="U420">
        <v>122.365420242233</v>
      </c>
      <c r="V420">
        <v>532.50958084347997</v>
      </c>
      <c r="W420">
        <v>109.257667026966</v>
      </c>
      <c r="X420">
        <v>280.08317462378699</v>
      </c>
      <c r="Y420">
        <v>908.58385763499496</v>
      </c>
      <c r="Z420">
        <v>167.14548220438499</v>
      </c>
      <c r="AA420">
        <v>781.09180638052499</v>
      </c>
      <c r="AB420">
        <v>948.25081294335803</v>
      </c>
      <c r="AC420">
        <v>382.72756282234201</v>
      </c>
      <c r="AD420">
        <v>1242.5805657170099</v>
      </c>
      <c r="AE420">
        <v>313.18639933621</v>
      </c>
      <c r="AF420">
        <v>296.64602307543203</v>
      </c>
      <c r="AG420">
        <v>807.00579465515204</v>
      </c>
    </row>
    <row r="421" spans="1:33" x14ac:dyDescent="0.25">
      <c r="A421" s="1">
        <v>44472</v>
      </c>
      <c r="B421">
        <v>14897.219237081301</v>
      </c>
      <c r="C421">
        <v>12365.590880268301</v>
      </c>
      <c r="D421">
        <v>13085.4058787906</v>
      </c>
      <c r="E421">
        <v>15138.2185192827</v>
      </c>
      <c r="F421">
        <v>17949.144355716799</v>
      </c>
      <c r="G421">
        <v>17573.843510939299</v>
      </c>
      <c r="H421">
        <v>29130.3233006183</v>
      </c>
      <c r="I421">
        <v>20722.006334255999</v>
      </c>
      <c r="J421">
        <v>2571.75482106255</v>
      </c>
      <c r="K421">
        <v>2263.48763239969</v>
      </c>
      <c r="L421">
        <v>1465.3189477147</v>
      </c>
      <c r="M421">
        <v>15607.930168843901</v>
      </c>
      <c r="N421">
        <v>5399.8212918115096</v>
      </c>
      <c r="O421">
        <v>1362.0605067127699</v>
      </c>
      <c r="P421">
        <v>3056.8658922166901</v>
      </c>
      <c r="Q421">
        <v>13560.2381883666</v>
      </c>
      <c r="R421">
        <v>1710.2636389203001</v>
      </c>
      <c r="S421">
        <v>423.49268585166698</v>
      </c>
      <c r="T421">
        <v>555.10756004475797</v>
      </c>
      <c r="U421">
        <v>110.19275868438299</v>
      </c>
      <c r="V421">
        <v>620.245338528616</v>
      </c>
      <c r="W421">
        <v>129.121422886879</v>
      </c>
      <c r="X421">
        <v>327.45912352606098</v>
      </c>
      <c r="Y421">
        <v>905.67819753484798</v>
      </c>
      <c r="Z421">
        <v>162.946064804841</v>
      </c>
      <c r="AA421">
        <v>796.61140559052899</v>
      </c>
      <c r="AB421">
        <v>949.68399867250901</v>
      </c>
      <c r="AC421">
        <v>376.47467739319501</v>
      </c>
      <c r="AD421">
        <v>1249.6550454604601</v>
      </c>
      <c r="AE421">
        <v>311.59179425425799</v>
      </c>
      <c r="AF421">
        <v>297.62394215779398</v>
      </c>
      <c r="AG421">
        <v>816.61624454773903</v>
      </c>
    </row>
    <row r="422" spans="1:33" x14ac:dyDescent="0.25">
      <c r="A422" s="1">
        <v>44473</v>
      </c>
      <c r="B422">
        <v>15017.1193099865</v>
      </c>
      <c r="C422">
        <v>12412.501511464599</v>
      </c>
      <c r="D422">
        <v>12933.868575700701</v>
      </c>
      <c r="E422">
        <v>15296.735368269699</v>
      </c>
      <c r="F422">
        <v>18472.464121795299</v>
      </c>
      <c r="G422">
        <v>18134.630116047301</v>
      </c>
      <c r="H422">
        <v>29431.498209793899</v>
      </c>
      <c r="I422">
        <v>20900.149487222399</v>
      </c>
      <c r="J422">
        <v>2586.3380329825</v>
      </c>
      <c r="K422">
        <v>2288.1619457698098</v>
      </c>
      <c r="L422">
        <v>1471.9561987165</v>
      </c>
      <c r="M422">
        <v>16111.94540049</v>
      </c>
      <c r="N422">
        <v>5869.8188144358</v>
      </c>
      <c r="O422">
        <v>1412.7001656034699</v>
      </c>
      <c r="P422">
        <v>3140.9882563869</v>
      </c>
      <c r="Q422">
        <v>14120.085334596</v>
      </c>
      <c r="R422">
        <v>1719.6662837239501</v>
      </c>
      <c r="S422">
        <v>417.15239420955299</v>
      </c>
      <c r="T422">
        <v>624.17523097384299</v>
      </c>
      <c r="U422">
        <v>125.93699337339901</v>
      </c>
      <c r="V422">
        <v>655.04010863249096</v>
      </c>
      <c r="W422">
        <v>134.323353998551</v>
      </c>
      <c r="X422">
        <v>325.11597959961898</v>
      </c>
      <c r="Y422">
        <v>909.20728076294597</v>
      </c>
      <c r="Z422">
        <v>160.69219680311301</v>
      </c>
      <c r="AA422">
        <v>807.22467752632099</v>
      </c>
      <c r="AB422">
        <v>960.75581565508105</v>
      </c>
      <c r="AC422">
        <v>368.14240015556697</v>
      </c>
      <c r="AD422">
        <v>1255.93269902673</v>
      </c>
      <c r="AE422">
        <v>272.00485242638098</v>
      </c>
      <c r="AF422">
        <v>298.84176286337703</v>
      </c>
      <c r="AG422">
        <v>826.83389611710902</v>
      </c>
    </row>
    <row r="423" spans="1:33" x14ac:dyDescent="0.25">
      <c r="A423" s="1">
        <v>44474</v>
      </c>
      <c r="B423">
        <v>15055.6101341618</v>
      </c>
      <c r="C423">
        <v>12858.532607446999</v>
      </c>
      <c r="D423">
        <v>12957.9830452479</v>
      </c>
      <c r="E423">
        <v>15515.445043588999</v>
      </c>
      <c r="F423">
        <v>19058.473760312299</v>
      </c>
      <c r="G423">
        <v>18990.903077318901</v>
      </c>
      <c r="H423">
        <v>30435.053632384199</v>
      </c>
      <c r="I423">
        <v>21120.555909858202</v>
      </c>
      <c r="J423">
        <v>2663.06303009473</v>
      </c>
      <c r="K423">
        <v>2257.7039667158801</v>
      </c>
      <c r="L423">
        <v>1529.79308281057</v>
      </c>
      <c r="M423">
        <v>16901.7609209074</v>
      </c>
      <c r="N423">
        <v>6497.7937653427498</v>
      </c>
      <c r="O423">
        <v>1618.58249829341</v>
      </c>
      <c r="P423">
        <v>3318.89864486024</v>
      </c>
      <c r="Q423">
        <v>15019.0301844929</v>
      </c>
      <c r="R423">
        <v>1856.1692685938899</v>
      </c>
      <c r="S423">
        <v>409.64575486380897</v>
      </c>
      <c r="T423">
        <v>746.08867397717995</v>
      </c>
      <c r="U423">
        <v>130.723227788299</v>
      </c>
      <c r="V423">
        <v>720.360869427529</v>
      </c>
      <c r="W423">
        <v>140.09457698229701</v>
      </c>
      <c r="X423">
        <v>321.235453591897</v>
      </c>
      <c r="Y423">
        <v>926.77988556520302</v>
      </c>
      <c r="Z423">
        <v>162.121276438618</v>
      </c>
      <c r="AA423">
        <v>810.48212612510395</v>
      </c>
      <c r="AB423">
        <v>978.59713927055998</v>
      </c>
      <c r="AC423">
        <v>363.77122582386698</v>
      </c>
      <c r="AD423">
        <v>1321.27319840377</v>
      </c>
      <c r="AE423">
        <v>306.40852706147399</v>
      </c>
      <c r="AF423">
        <v>299.58676969009798</v>
      </c>
      <c r="AG423">
        <v>839.54991743576602</v>
      </c>
    </row>
    <row r="424" spans="1:33" x14ac:dyDescent="0.25">
      <c r="A424" s="1">
        <v>44475</v>
      </c>
      <c r="B424">
        <v>14991.3609108481</v>
      </c>
      <c r="C424">
        <v>13732.4858510043</v>
      </c>
      <c r="D424">
        <v>12927.3789867999</v>
      </c>
      <c r="E424">
        <v>15501.5457819033</v>
      </c>
      <c r="F424">
        <v>19249.903781094301</v>
      </c>
      <c r="G424">
        <v>18686.823344759101</v>
      </c>
      <c r="H424">
        <v>29813.471484102</v>
      </c>
      <c r="I424">
        <v>21440.898088794402</v>
      </c>
      <c r="J424">
        <v>2710.3924077910701</v>
      </c>
      <c r="K424">
        <v>2232.9105828721499</v>
      </c>
      <c r="L424">
        <v>1539.1413062101401</v>
      </c>
      <c r="M424">
        <v>16843.7211090784</v>
      </c>
      <c r="N424">
        <v>6537.1299454443297</v>
      </c>
      <c r="O424">
        <v>1611.1695193109999</v>
      </c>
      <c r="P424">
        <v>3328.5139892898901</v>
      </c>
      <c r="Q424">
        <v>14742.0911410264</v>
      </c>
      <c r="R424">
        <v>1850.19144043347</v>
      </c>
      <c r="S424">
        <v>403.14415024850899</v>
      </c>
      <c r="T424">
        <v>702.55071863531703</v>
      </c>
      <c r="U424">
        <v>130.187023726571</v>
      </c>
      <c r="V424">
        <v>620.22144676740697</v>
      </c>
      <c r="W424">
        <v>138.487575864505</v>
      </c>
      <c r="X424">
        <v>261.96860820477002</v>
      </c>
      <c r="Y424">
        <v>927.61560782029005</v>
      </c>
      <c r="Z424">
        <v>157.73580239152901</v>
      </c>
      <c r="AA424">
        <v>827.40592958699904</v>
      </c>
      <c r="AB424">
        <v>994.05619334889798</v>
      </c>
      <c r="AC424">
        <v>360.60232945818302</v>
      </c>
      <c r="AD424">
        <v>1326.5252711078199</v>
      </c>
      <c r="AE424">
        <v>308.99539101908999</v>
      </c>
      <c r="AF424">
        <v>302.11546783411097</v>
      </c>
      <c r="AG424">
        <v>848.76819966811695</v>
      </c>
    </row>
    <row r="425" spans="1:33" x14ac:dyDescent="0.25">
      <c r="A425" s="1">
        <v>44476</v>
      </c>
      <c r="B425">
        <v>14921.022135928701</v>
      </c>
      <c r="C425">
        <v>13147.4235447233</v>
      </c>
      <c r="D425">
        <v>13150.2572425584</v>
      </c>
      <c r="E425">
        <v>15528.6912205402</v>
      </c>
      <c r="F425">
        <v>18833.1962439911</v>
      </c>
      <c r="G425">
        <v>18661.172913775899</v>
      </c>
      <c r="H425">
        <v>29617.059150915102</v>
      </c>
      <c r="I425">
        <v>21706.198777026799</v>
      </c>
      <c r="J425">
        <v>2759.98369420581</v>
      </c>
      <c r="K425">
        <v>2260.1420271370298</v>
      </c>
      <c r="L425">
        <v>1532.9181521384701</v>
      </c>
      <c r="M425">
        <v>16847.478869881801</v>
      </c>
      <c r="N425">
        <v>6369.8120888053199</v>
      </c>
      <c r="O425">
        <v>1579.4912686386699</v>
      </c>
      <c r="P425">
        <v>3316.4347214683098</v>
      </c>
      <c r="Q425">
        <v>14558.409515646999</v>
      </c>
      <c r="R425">
        <v>1818.8342399718999</v>
      </c>
      <c r="S425">
        <v>396.61240962807199</v>
      </c>
      <c r="T425">
        <v>685.24202857984505</v>
      </c>
      <c r="U425">
        <v>129.97247237155599</v>
      </c>
      <c r="V425">
        <v>645.69566207722403</v>
      </c>
      <c r="W425">
        <v>125.231574522491</v>
      </c>
      <c r="X425">
        <v>297.89212072572798</v>
      </c>
      <c r="Y425">
        <v>917.99672715040504</v>
      </c>
      <c r="Z425">
        <v>155.24661071709099</v>
      </c>
      <c r="AA425">
        <v>836.31538698259396</v>
      </c>
      <c r="AB425">
        <v>1003.42067521259</v>
      </c>
      <c r="AC425">
        <v>360.36292734384199</v>
      </c>
      <c r="AD425">
        <v>1326.8634373530899</v>
      </c>
      <c r="AE425">
        <v>315.185405906055</v>
      </c>
      <c r="AF425">
        <v>305.46232228813</v>
      </c>
      <c r="AG425">
        <v>856.37134539681801</v>
      </c>
    </row>
    <row r="426" spans="1:33" x14ac:dyDescent="0.25">
      <c r="A426" s="1">
        <v>44477</v>
      </c>
      <c r="B426">
        <v>15073.3833772247</v>
      </c>
      <c r="C426">
        <v>13109.9425178363</v>
      </c>
      <c r="D426">
        <v>13368.480357573801</v>
      </c>
      <c r="E426">
        <v>15635.0222574132</v>
      </c>
      <c r="F426">
        <v>18986.391179407899</v>
      </c>
      <c r="G426">
        <v>18788.495365016799</v>
      </c>
      <c r="H426">
        <v>30129.980429278599</v>
      </c>
      <c r="I426">
        <v>21918.7135969751</v>
      </c>
      <c r="J426">
        <v>2817.28395786704</v>
      </c>
      <c r="K426">
        <v>2261.6163681328098</v>
      </c>
      <c r="L426">
        <v>1568.27411954476</v>
      </c>
      <c r="M426">
        <v>17041.637055973901</v>
      </c>
      <c r="N426">
        <v>6542.9726785519997</v>
      </c>
      <c r="O426">
        <v>1605.3652316033499</v>
      </c>
      <c r="P426">
        <v>3370.99387188931</v>
      </c>
      <c r="Q426">
        <v>14805.8577672541</v>
      </c>
      <c r="R426">
        <v>1855.3409876282999</v>
      </c>
      <c r="S426">
        <v>390.61851545690303</v>
      </c>
      <c r="T426">
        <v>741.03398564575105</v>
      </c>
      <c r="U426">
        <v>127.827495159392</v>
      </c>
      <c r="V426">
        <v>739.33944491238503</v>
      </c>
      <c r="W426">
        <v>124.023594202178</v>
      </c>
      <c r="X426">
        <v>371.69531221676198</v>
      </c>
      <c r="Y426">
        <v>947.95174274152703</v>
      </c>
      <c r="Z426">
        <v>150.062589455666</v>
      </c>
      <c r="AA426">
        <v>846.95309438208699</v>
      </c>
      <c r="AB426">
        <v>1025.77142158385</v>
      </c>
      <c r="AC426">
        <v>359.09751210476099</v>
      </c>
      <c r="AD426">
        <v>1357.4915851071801</v>
      </c>
      <c r="AE426">
        <v>237.13770746497599</v>
      </c>
      <c r="AF426">
        <v>309.35866012603702</v>
      </c>
      <c r="AG426">
        <v>867.607057418365</v>
      </c>
    </row>
    <row r="427" spans="1:33" x14ac:dyDescent="0.25">
      <c r="A427" s="1">
        <v>44478</v>
      </c>
      <c r="B427">
        <v>15196.3234355389</v>
      </c>
      <c r="C427">
        <v>13178.138980752199</v>
      </c>
      <c r="D427">
        <v>13503.3818428061</v>
      </c>
      <c r="E427">
        <v>15565.1610809542</v>
      </c>
      <c r="F427">
        <v>18729.452248293201</v>
      </c>
      <c r="G427">
        <v>18062.875783897001</v>
      </c>
      <c r="H427">
        <v>28985.758645410999</v>
      </c>
      <c r="I427">
        <v>22005.774521398002</v>
      </c>
      <c r="J427">
        <v>2796.79689097972</v>
      </c>
      <c r="K427">
        <v>2273.7469840670401</v>
      </c>
      <c r="L427">
        <v>1520.7789947459801</v>
      </c>
      <c r="M427">
        <v>16217.0921125801</v>
      </c>
      <c r="N427">
        <v>5912.4722541065803</v>
      </c>
      <c r="O427">
        <v>1401.4164298005301</v>
      </c>
      <c r="P427">
        <v>3241.33976066795</v>
      </c>
      <c r="Q427">
        <v>14160.8253479049</v>
      </c>
      <c r="R427">
        <v>1738.5218866139401</v>
      </c>
      <c r="S427">
        <v>390.21650074846298</v>
      </c>
      <c r="T427">
        <v>675.46680595703299</v>
      </c>
      <c r="U427">
        <v>123.80093860502799</v>
      </c>
      <c r="V427">
        <v>696.95092465391804</v>
      </c>
      <c r="W427">
        <v>116.965341184398</v>
      </c>
      <c r="X427">
        <v>362.78831792503303</v>
      </c>
      <c r="Y427">
        <v>930.48231065835296</v>
      </c>
      <c r="Z427">
        <v>145.45009420064699</v>
      </c>
      <c r="AA427">
        <v>861.86408496412605</v>
      </c>
      <c r="AB427">
        <v>1046.3074232434401</v>
      </c>
      <c r="AC427">
        <v>355.40341731260497</v>
      </c>
      <c r="AD427">
        <v>1300.3824602213399</v>
      </c>
      <c r="AE427">
        <v>264.55052533583699</v>
      </c>
      <c r="AF427">
        <v>314.52535387553598</v>
      </c>
      <c r="AG427">
        <v>876.87930976040104</v>
      </c>
    </row>
    <row r="428" spans="1:33" x14ac:dyDescent="0.25">
      <c r="A428" s="1">
        <v>44479</v>
      </c>
      <c r="B428">
        <v>15205.1751419186</v>
      </c>
      <c r="C428">
        <v>12746.8457918391</v>
      </c>
      <c r="D428">
        <v>13625.5961841512</v>
      </c>
      <c r="E428">
        <v>15721.566335530801</v>
      </c>
      <c r="F428">
        <v>18253.779475994001</v>
      </c>
      <c r="G428">
        <v>17893.7833080889</v>
      </c>
      <c r="H428">
        <v>29191.500553568902</v>
      </c>
      <c r="I428">
        <v>21882.100926834799</v>
      </c>
      <c r="J428">
        <v>2772.0293252834899</v>
      </c>
      <c r="K428">
        <v>2313.8364151884198</v>
      </c>
      <c r="L428">
        <v>1482.02905347405</v>
      </c>
      <c r="M428">
        <v>16018.1112240288</v>
      </c>
      <c r="N428">
        <v>5942.6791287668702</v>
      </c>
      <c r="O428">
        <v>1318.1324565790501</v>
      </c>
      <c r="P428">
        <v>3182.9692727962802</v>
      </c>
      <c r="Q428">
        <v>14007.5248215765</v>
      </c>
      <c r="R428">
        <v>1671.96663545765</v>
      </c>
      <c r="S428">
        <v>389.11198300431403</v>
      </c>
      <c r="T428">
        <v>754.23450281977296</v>
      </c>
      <c r="U428">
        <v>119.17311563117499</v>
      </c>
      <c r="V428">
        <v>806.79000860631902</v>
      </c>
      <c r="W428">
        <v>127.18397390619199</v>
      </c>
      <c r="X428">
        <v>437.75819862207902</v>
      </c>
      <c r="Y428">
        <v>931.88293934430601</v>
      </c>
      <c r="Z428">
        <v>144.44086948109299</v>
      </c>
      <c r="AA428">
        <v>860.36401597970905</v>
      </c>
      <c r="AB428">
        <v>1047.35511509802</v>
      </c>
      <c r="AC428">
        <v>350.15259151141498</v>
      </c>
      <c r="AD428">
        <v>1276.7209247685701</v>
      </c>
      <c r="AE428">
        <v>261.14240316061802</v>
      </c>
      <c r="AF428">
        <v>320.42462531497199</v>
      </c>
      <c r="AG428">
        <v>887.39833805577598</v>
      </c>
    </row>
    <row r="429" spans="1:33" x14ac:dyDescent="0.25">
      <c r="A429" s="1">
        <v>44480</v>
      </c>
      <c r="B429">
        <v>15264.5181291516</v>
      </c>
      <c r="C429">
        <v>13279.375042737</v>
      </c>
      <c r="D429">
        <v>13504.700559897399</v>
      </c>
      <c r="E429">
        <v>15476.6361440035</v>
      </c>
      <c r="F429">
        <v>18083.787316344398</v>
      </c>
      <c r="G429">
        <v>16766.2116878296</v>
      </c>
      <c r="H429">
        <v>28542.8577442735</v>
      </c>
      <c r="I429">
        <v>21782.715430203702</v>
      </c>
      <c r="J429">
        <v>2753.9817094414502</v>
      </c>
      <c r="K429">
        <v>2319.1620302076799</v>
      </c>
      <c r="L429">
        <v>1375.65383901121</v>
      </c>
      <c r="M429">
        <v>14446.873791682399</v>
      </c>
      <c r="N429">
        <v>4450.5841259102799</v>
      </c>
      <c r="O429">
        <v>1400.0085895955499</v>
      </c>
      <c r="P429">
        <v>2954.5385795376801</v>
      </c>
      <c r="Q429">
        <v>12647.2727127329</v>
      </c>
      <c r="R429">
        <v>1658.811638123</v>
      </c>
      <c r="S429">
        <v>386.71895889101899</v>
      </c>
      <c r="T429">
        <v>563.12680954906796</v>
      </c>
      <c r="U429">
        <v>126.28409035999</v>
      </c>
      <c r="V429">
        <v>371.14318955099202</v>
      </c>
      <c r="W429">
        <v>125.436576273486</v>
      </c>
      <c r="X429">
        <v>165.42073089373901</v>
      </c>
      <c r="Y429">
        <v>963.50312658541804</v>
      </c>
      <c r="Z429">
        <v>146.04239633587301</v>
      </c>
      <c r="AA429">
        <v>859.78759483231897</v>
      </c>
      <c r="AB429">
        <v>1047.68875872272</v>
      </c>
      <c r="AC429">
        <v>348.31958871457999</v>
      </c>
      <c r="AD429">
        <v>1184.29027618041</v>
      </c>
      <c r="AE429">
        <v>353.48657884856198</v>
      </c>
      <c r="AF429">
        <v>324.54883500884102</v>
      </c>
      <c r="AG429">
        <v>903.64893000854795</v>
      </c>
    </row>
    <row r="430" spans="1:33" x14ac:dyDescent="0.25">
      <c r="A430" s="1">
        <v>44481</v>
      </c>
      <c r="B430">
        <v>15310.223186699101</v>
      </c>
      <c r="C430">
        <v>13308.959503132</v>
      </c>
      <c r="D430">
        <v>13625.748939151999</v>
      </c>
      <c r="E430">
        <v>16024.374598124001</v>
      </c>
      <c r="F430">
        <v>17295.7555480552</v>
      </c>
      <c r="G430">
        <v>15842.904393822701</v>
      </c>
      <c r="H430">
        <v>28386.262679780499</v>
      </c>
      <c r="I430">
        <v>20564.0667010984</v>
      </c>
      <c r="J430">
        <v>2628.07482048358</v>
      </c>
      <c r="K430">
        <v>2309.5912856355399</v>
      </c>
      <c r="L430">
        <v>1327.8819075157201</v>
      </c>
      <c r="M430">
        <v>13719.2270219816</v>
      </c>
      <c r="N430">
        <v>4354.9727870271799</v>
      </c>
      <c r="O430">
        <v>1394.8720434341001</v>
      </c>
      <c r="P430">
        <v>2902.1420306506002</v>
      </c>
      <c r="Q430">
        <v>11986.2221030277</v>
      </c>
      <c r="R430">
        <v>1641.5541929850899</v>
      </c>
      <c r="S430">
        <v>389.63871949072598</v>
      </c>
      <c r="T430">
        <v>606.36248229263094</v>
      </c>
      <c r="U430">
        <v>126.09529729195501</v>
      </c>
      <c r="V430">
        <v>432.56127309989398</v>
      </c>
      <c r="W430">
        <v>123.530332512782</v>
      </c>
      <c r="X430">
        <v>218.01964475882801</v>
      </c>
      <c r="Y430">
        <v>919.57659412047997</v>
      </c>
      <c r="Z430">
        <v>160.86592600472099</v>
      </c>
      <c r="AA430">
        <v>861.02982509085803</v>
      </c>
      <c r="AB430">
        <v>1047.93402086835</v>
      </c>
      <c r="AC430">
        <v>346.01771326824797</v>
      </c>
      <c r="AD430">
        <v>1184.69039202667</v>
      </c>
      <c r="AE430">
        <v>353.834229442648</v>
      </c>
      <c r="AF430">
        <v>332.680657607939</v>
      </c>
      <c r="AG430">
        <v>919.32214182829398</v>
      </c>
    </row>
    <row r="431" spans="1:33" x14ac:dyDescent="0.25">
      <c r="A431" s="1">
        <v>44482</v>
      </c>
      <c r="B431">
        <v>15603.8004671782</v>
      </c>
      <c r="C431">
        <v>12154.300428308001</v>
      </c>
      <c r="D431">
        <v>13605.9753741821</v>
      </c>
      <c r="E431">
        <v>16337.4690750176</v>
      </c>
      <c r="F431">
        <v>17103.988632298198</v>
      </c>
      <c r="G431">
        <v>16766.5962292484</v>
      </c>
      <c r="H431">
        <v>29871.881908222</v>
      </c>
      <c r="I431">
        <v>20343.334423593002</v>
      </c>
      <c r="J431">
        <v>2609.4158600556402</v>
      </c>
      <c r="K431">
        <v>2343.6804286039001</v>
      </c>
      <c r="L431">
        <v>1391.8515906979001</v>
      </c>
      <c r="M431">
        <v>15077.7488613636</v>
      </c>
      <c r="N431">
        <v>5532.1376051076304</v>
      </c>
      <c r="O431">
        <v>1449.07742683178</v>
      </c>
      <c r="P431">
        <v>2947.9259191947599</v>
      </c>
      <c r="Q431">
        <v>12892.348625250401</v>
      </c>
      <c r="R431">
        <v>1710.0246333446801</v>
      </c>
      <c r="S431">
        <v>389.44554270317798</v>
      </c>
      <c r="T431">
        <v>650.36144539793895</v>
      </c>
      <c r="U431">
        <v>126.974068807149</v>
      </c>
      <c r="V431">
        <v>578.63476535077302</v>
      </c>
      <c r="W431">
        <v>122.390719763281</v>
      </c>
      <c r="X431">
        <v>210.84865752732799</v>
      </c>
      <c r="Y431">
        <v>964.11145267528104</v>
      </c>
      <c r="Z431">
        <v>164.978007406941</v>
      </c>
      <c r="AA431">
        <v>855.91626097988001</v>
      </c>
      <c r="AB431">
        <v>1070.26570238312</v>
      </c>
      <c r="AC431">
        <v>338.06512249185198</v>
      </c>
      <c r="AD431">
        <v>1233.51353746261</v>
      </c>
      <c r="AE431">
        <v>362.38292745970199</v>
      </c>
      <c r="AF431">
        <v>338.218068449957</v>
      </c>
      <c r="AG431">
        <v>939.86790873207804</v>
      </c>
    </row>
    <row r="432" spans="1:33" x14ac:dyDescent="0.25">
      <c r="A432" s="1">
        <v>44483</v>
      </c>
      <c r="B432">
        <v>15881.124092737</v>
      </c>
      <c r="C432">
        <v>12546.703931739699</v>
      </c>
      <c r="D432">
        <v>13475.237626780699</v>
      </c>
      <c r="E432">
        <v>16064.779610228699</v>
      </c>
      <c r="F432">
        <v>17286.304814388299</v>
      </c>
      <c r="G432">
        <v>16750.1429002605</v>
      </c>
      <c r="H432">
        <v>28809.4577999914</v>
      </c>
      <c r="I432">
        <v>20335.3143898952</v>
      </c>
      <c r="J432">
        <v>2588.1227184502</v>
      </c>
      <c r="K432">
        <v>2303.63543740363</v>
      </c>
      <c r="L432">
        <v>1411.37082635096</v>
      </c>
      <c r="M432">
        <v>14749.1282906535</v>
      </c>
      <c r="N432">
        <v>4922.0496482077497</v>
      </c>
      <c r="O432">
        <v>1414.2933321022499</v>
      </c>
      <c r="P432">
        <v>2885.8084413604602</v>
      </c>
      <c r="Q432">
        <v>12554.5762216809</v>
      </c>
      <c r="R432">
        <v>1673.43006616094</v>
      </c>
      <c r="S432">
        <v>388.20525840355998</v>
      </c>
      <c r="T432">
        <v>556.26955363088598</v>
      </c>
      <c r="U432">
        <v>126.865025295623</v>
      </c>
      <c r="V432">
        <v>400.90839856517101</v>
      </c>
      <c r="W432">
        <v>123.13828677513401</v>
      </c>
      <c r="X432">
        <v>161.86436853649201</v>
      </c>
      <c r="Y432">
        <v>983.49974705264196</v>
      </c>
      <c r="Z432">
        <v>156.143944444536</v>
      </c>
      <c r="AA432">
        <v>867.91328419704905</v>
      </c>
      <c r="AB432">
        <v>1101.1496643584101</v>
      </c>
      <c r="AC432">
        <v>335.76847154821297</v>
      </c>
      <c r="AD432">
        <v>1227.3028058667901</v>
      </c>
      <c r="AE432">
        <v>362.64181521614603</v>
      </c>
      <c r="AF432">
        <v>341.26062525577299</v>
      </c>
      <c r="AG432">
        <v>957.50272196230299</v>
      </c>
    </row>
    <row r="433" spans="1:33" x14ac:dyDescent="0.25">
      <c r="A433" s="1">
        <v>44484</v>
      </c>
      <c r="B433">
        <v>15837.546727004499</v>
      </c>
      <c r="C433">
        <v>12204.6230731173</v>
      </c>
      <c r="D433">
        <v>13223.123940731601</v>
      </c>
      <c r="E433">
        <v>15870.226713307</v>
      </c>
      <c r="F433">
        <v>17318.703992889801</v>
      </c>
      <c r="G433">
        <v>16676.560433923201</v>
      </c>
      <c r="H433">
        <v>28434.434163170299</v>
      </c>
      <c r="I433">
        <v>20358.662841188499</v>
      </c>
      <c r="J433">
        <v>2567.77269723371</v>
      </c>
      <c r="K433">
        <v>2316.0948620682402</v>
      </c>
      <c r="L433">
        <v>1424.34500461881</v>
      </c>
      <c r="M433">
        <v>14659.7139327204</v>
      </c>
      <c r="N433">
        <v>4692.4258436461696</v>
      </c>
      <c r="O433">
        <v>1375.20349716075</v>
      </c>
      <c r="P433">
        <v>2863.38308498583</v>
      </c>
      <c r="Q433">
        <v>12396.779140901799</v>
      </c>
      <c r="R433">
        <v>1656.1632379068899</v>
      </c>
      <c r="S433">
        <v>387.05089832586202</v>
      </c>
      <c r="T433">
        <v>506.66427000682302</v>
      </c>
      <c r="U433">
        <v>125.11872127062399</v>
      </c>
      <c r="V433">
        <v>465.09732682972202</v>
      </c>
      <c r="W433">
        <v>123.413250044479</v>
      </c>
      <c r="X433">
        <v>210.09962788314999</v>
      </c>
      <c r="Y433">
        <v>992.98882868606097</v>
      </c>
      <c r="Z433">
        <v>146.415946953592</v>
      </c>
      <c r="AA433">
        <v>873.09171789586901</v>
      </c>
      <c r="AB433">
        <v>1105.2618678466199</v>
      </c>
      <c r="AC433">
        <v>345.02766364524501</v>
      </c>
      <c r="AD433">
        <v>1235.7470644704499</v>
      </c>
      <c r="AE433">
        <v>349.38968910631701</v>
      </c>
      <c r="AF433">
        <v>344.46328225133902</v>
      </c>
      <c r="AG433">
        <v>958.247415717217</v>
      </c>
    </row>
    <row r="434" spans="1:33" x14ac:dyDescent="0.25">
      <c r="A434" s="1">
        <v>44485</v>
      </c>
      <c r="B434">
        <v>15698.1511839868</v>
      </c>
      <c r="C434">
        <v>11666.955063203301</v>
      </c>
      <c r="D434">
        <v>13103.6692140621</v>
      </c>
      <c r="E434">
        <v>15832.8366817962</v>
      </c>
      <c r="F434">
        <v>17703.631726866101</v>
      </c>
      <c r="G434">
        <v>17309.273683916501</v>
      </c>
      <c r="H434">
        <v>28950.866027488799</v>
      </c>
      <c r="I434">
        <v>20470.5660660225</v>
      </c>
      <c r="J434">
        <v>2570.4670057693102</v>
      </c>
      <c r="K434">
        <v>2323.1938069253401</v>
      </c>
      <c r="L434">
        <v>1437.0447243429001</v>
      </c>
      <c r="M434">
        <v>15271.597923634999</v>
      </c>
      <c r="N434">
        <v>5117.0446845584102</v>
      </c>
      <c r="O434">
        <v>1322.0000892518401</v>
      </c>
      <c r="P434">
        <v>2919.45565064123</v>
      </c>
      <c r="Q434">
        <v>13102.819626025501</v>
      </c>
      <c r="R434">
        <v>1642.33020642768</v>
      </c>
      <c r="S434">
        <v>384.41089446915402</v>
      </c>
      <c r="T434">
        <v>554.77267948038002</v>
      </c>
      <c r="U434">
        <v>123.21268025064801</v>
      </c>
      <c r="V434">
        <v>616.87088775278801</v>
      </c>
      <c r="W434">
        <v>123.626478583346</v>
      </c>
      <c r="X434">
        <v>321.01955044507298</v>
      </c>
      <c r="Y434">
        <v>1028.9272691629301</v>
      </c>
      <c r="Z434">
        <v>135.336243825374</v>
      </c>
      <c r="AA434">
        <v>873.150562721656</v>
      </c>
      <c r="AB434">
        <v>1121.68780491603</v>
      </c>
      <c r="AC434">
        <v>353.53435626939699</v>
      </c>
      <c r="AD434">
        <v>1242.3749475509101</v>
      </c>
      <c r="AE434">
        <v>346.650878491019</v>
      </c>
      <c r="AF434">
        <v>345.24852595561998</v>
      </c>
      <c r="AG434">
        <v>954.95851494056797</v>
      </c>
    </row>
    <row r="435" spans="1:33" x14ac:dyDescent="0.25">
      <c r="A435" s="1">
        <v>44486</v>
      </c>
      <c r="B435">
        <v>15656.7554128674</v>
      </c>
      <c r="C435">
        <v>12151.3178640733</v>
      </c>
      <c r="D435">
        <v>13062.7682132027</v>
      </c>
      <c r="E435">
        <v>16039.3622853733</v>
      </c>
      <c r="F435">
        <v>18733.310049873799</v>
      </c>
      <c r="G435">
        <v>18985.472213151701</v>
      </c>
      <c r="H435">
        <v>31446.918439374102</v>
      </c>
      <c r="I435">
        <v>20640.275759458102</v>
      </c>
      <c r="J435">
        <v>2632.0282121573</v>
      </c>
      <c r="K435">
        <v>2271.5765749094298</v>
      </c>
      <c r="L435">
        <v>1510.14117581502</v>
      </c>
      <c r="M435">
        <v>17005.850941661</v>
      </c>
      <c r="N435">
        <v>6525.0857670975001</v>
      </c>
      <c r="O435">
        <v>1526.89080353696</v>
      </c>
      <c r="P435">
        <v>3170.0983176439599</v>
      </c>
      <c r="Q435">
        <v>14995.836275223601</v>
      </c>
      <c r="R435">
        <v>1786.6473651661099</v>
      </c>
      <c r="S435">
        <v>379.98100342431098</v>
      </c>
      <c r="T435">
        <v>789.68355618100395</v>
      </c>
      <c r="U435">
        <v>122.87713556307</v>
      </c>
      <c r="V435">
        <v>909.58348751342601</v>
      </c>
      <c r="W435">
        <v>124.61214808456199</v>
      </c>
      <c r="X435">
        <v>515.875206648985</v>
      </c>
      <c r="Y435">
        <v>1076.53799037197</v>
      </c>
      <c r="Z435">
        <v>136.44654678526501</v>
      </c>
      <c r="AA435">
        <v>867.33639007355805</v>
      </c>
      <c r="AB435">
        <v>1127.5938903111901</v>
      </c>
      <c r="AC435">
        <v>357.09382837400398</v>
      </c>
      <c r="AD435">
        <v>1311.69392791531</v>
      </c>
      <c r="AE435">
        <v>340.26304414525498</v>
      </c>
      <c r="AF435">
        <v>344.55778073268402</v>
      </c>
      <c r="AG435">
        <v>951.85438733722003</v>
      </c>
    </row>
    <row r="436" spans="1:33" x14ac:dyDescent="0.25">
      <c r="A436" s="1">
        <v>44487</v>
      </c>
      <c r="B436">
        <v>15710.521355876101</v>
      </c>
      <c r="C436">
        <v>13959.6687639266</v>
      </c>
      <c r="D436">
        <v>12643.014162543101</v>
      </c>
      <c r="E436">
        <v>15888.486011953801</v>
      </c>
      <c r="F436">
        <v>19377.776950662701</v>
      </c>
      <c r="G436">
        <v>18464.464808529701</v>
      </c>
      <c r="H436">
        <v>30620.552598776601</v>
      </c>
      <c r="I436">
        <v>20926.796356165301</v>
      </c>
      <c r="J436">
        <v>2672.1369192805701</v>
      </c>
      <c r="K436">
        <v>2203.6237703442498</v>
      </c>
      <c r="L436">
        <v>1505.6609302780701</v>
      </c>
      <c r="M436">
        <v>16566.218306512099</v>
      </c>
      <c r="N436">
        <v>6614.71149348786</v>
      </c>
      <c r="O436">
        <v>1450.3512555791699</v>
      </c>
      <c r="P436">
        <v>3164.0653634555802</v>
      </c>
      <c r="Q436">
        <v>14561.7543964016</v>
      </c>
      <c r="R436">
        <v>1753.90724774861</v>
      </c>
      <c r="S436">
        <v>377.62759873984999</v>
      </c>
      <c r="T436">
        <v>811.32036445276594</v>
      </c>
      <c r="U436">
        <v>124.754230352573</v>
      </c>
      <c r="V436">
        <v>740.32416524917301</v>
      </c>
      <c r="W436">
        <v>121.735426600783</v>
      </c>
      <c r="X436">
        <v>353.087662030584</v>
      </c>
      <c r="Y436">
        <v>1019.94470539287</v>
      </c>
      <c r="Z436">
        <v>138.280363248393</v>
      </c>
      <c r="AA436">
        <v>896.36693513244199</v>
      </c>
      <c r="AB436">
        <v>1119.7211744071501</v>
      </c>
      <c r="AC436">
        <v>361.092251259992</v>
      </c>
      <c r="AD436">
        <v>1276.7576689580501</v>
      </c>
      <c r="AE436">
        <v>237.606825058884</v>
      </c>
      <c r="AF436">
        <v>344.67192943204799</v>
      </c>
      <c r="AG436">
        <v>950.14898593388295</v>
      </c>
    </row>
    <row r="437" spans="1:33" x14ac:dyDescent="0.25">
      <c r="A437" s="1">
        <v>44488</v>
      </c>
      <c r="B437">
        <v>15356.744623188701</v>
      </c>
      <c r="C437">
        <v>13252.236838840699</v>
      </c>
      <c r="D437">
        <v>12642.006324673101</v>
      </c>
      <c r="E437">
        <v>15551.2119078382</v>
      </c>
      <c r="F437">
        <v>18750.566745833301</v>
      </c>
      <c r="G437">
        <v>17977.8194791522</v>
      </c>
      <c r="H437">
        <v>29400.953485799</v>
      </c>
      <c r="I437">
        <v>21434.924113632998</v>
      </c>
      <c r="J437">
        <v>2670.4456741940899</v>
      </c>
      <c r="K437">
        <v>2238.7018759873999</v>
      </c>
      <c r="L437">
        <v>1419.9825955326901</v>
      </c>
      <c r="M437">
        <v>15989.0814946845</v>
      </c>
      <c r="N437">
        <v>5762.1025157591603</v>
      </c>
      <c r="O437">
        <v>1348.7133038991401</v>
      </c>
      <c r="P437">
        <v>3020.8389415289898</v>
      </c>
      <c r="Q437">
        <v>13800.6928491988</v>
      </c>
      <c r="R437">
        <v>1622.1333860950599</v>
      </c>
      <c r="S437">
        <v>376.248426230066</v>
      </c>
      <c r="T437">
        <v>633.75817262011401</v>
      </c>
      <c r="U437">
        <v>124.616842443994</v>
      </c>
      <c r="V437">
        <v>518.73351468904002</v>
      </c>
      <c r="W437">
        <v>123.611190977213</v>
      </c>
      <c r="X437">
        <v>215.951770497262</v>
      </c>
      <c r="Y437">
        <v>903.15465849018801</v>
      </c>
      <c r="Z437">
        <v>139.19364397054699</v>
      </c>
      <c r="AA437">
        <v>905.58334399658895</v>
      </c>
      <c r="AB437">
        <v>1073.51665954589</v>
      </c>
      <c r="AC437">
        <v>363.49736866098903</v>
      </c>
      <c r="AD437">
        <v>1217.1334985314099</v>
      </c>
      <c r="AE437">
        <v>186.18089788249901</v>
      </c>
      <c r="AF437">
        <v>346.16428336546198</v>
      </c>
      <c r="AG437">
        <v>949.10051468234303</v>
      </c>
    </row>
    <row r="438" spans="1:33" x14ac:dyDescent="0.25">
      <c r="A438" s="1">
        <v>44489</v>
      </c>
      <c r="B438">
        <v>15154.753339639499</v>
      </c>
      <c r="C438">
        <v>12582.9313221225</v>
      </c>
      <c r="D438">
        <v>12912.2119515502</v>
      </c>
      <c r="E438">
        <v>15500.044170659399</v>
      </c>
      <c r="F438">
        <v>18990.0944305386</v>
      </c>
      <c r="G438">
        <v>18577.0554060863</v>
      </c>
      <c r="H438">
        <v>29705.529337718501</v>
      </c>
      <c r="I438">
        <v>21628.029324621901</v>
      </c>
      <c r="J438">
        <v>2701.8472901241898</v>
      </c>
      <c r="K438">
        <v>2254.4540097208301</v>
      </c>
      <c r="L438">
        <v>1433.8711191253899</v>
      </c>
      <c r="M438">
        <v>16502.0850200758</v>
      </c>
      <c r="N438">
        <v>6113.6351462789498</v>
      </c>
      <c r="O438">
        <v>1420.6677534344301</v>
      </c>
      <c r="P438">
        <v>3115.0698759229299</v>
      </c>
      <c r="Q438">
        <v>14481.3098152449</v>
      </c>
      <c r="R438">
        <v>1666.73675075805</v>
      </c>
      <c r="S438">
        <v>372.00902080703401</v>
      </c>
      <c r="T438">
        <v>639.35394146511896</v>
      </c>
      <c r="U438">
        <v>124.911031703841</v>
      </c>
      <c r="V438">
        <v>576.80635949381895</v>
      </c>
      <c r="W438">
        <v>123.590551736072</v>
      </c>
      <c r="X438">
        <v>243.35211950269999</v>
      </c>
      <c r="Y438">
        <v>890.506104388577</v>
      </c>
      <c r="Z438">
        <v>140.20418251775001</v>
      </c>
      <c r="AA438">
        <v>893.45309969197001</v>
      </c>
      <c r="AB438">
        <v>1062.7456861390799</v>
      </c>
      <c r="AC438">
        <v>355.832071014299</v>
      </c>
      <c r="AD438">
        <v>1228.61342762101</v>
      </c>
      <c r="AE438">
        <v>233.549321711256</v>
      </c>
      <c r="AF438">
        <v>346.09913975286599</v>
      </c>
      <c r="AG438">
        <v>951.56669140823897</v>
      </c>
    </row>
    <row r="439" spans="1:33" x14ac:dyDescent="0.25">
      <c r="A439" s="1">
        <v>44490</v>
      </c>
      <c r="B439">
        <v>15011.553557860099</v>
      </c>
      <c r="C439">
        <v>12736.089324296399</v>
      </c>
      <c r="D439">
        <v>13030.352888847099</v>
      </c>
      <c r="E439">
        <v>15216.600549867901</v>
      </c>
      <c r="F439">
        <v>18719.0252651425</v>
      </c>
      <c r="G439">
        <v>18181.671410894</v>
      </c>
      <c r="H439">
        <v>29298.299823674599</v>
      </c>
      <c r="I439">
        <v>21655.761695832301</v>
      </c>
      <c r="J439">
        <v>2681.1424321261302</v>
      </c>
      <c r="K439">
        <v>2271.5520286374699</v>
      </c>
      <c r="L439">
        <v>1401.48585099243</v>
      </c>
      <c r="M439">
        <v>16187.3491410681</v>
      </c>
      <c r="N439">
        <v>5628.99624151648</v>
      </c>
      <c r="O439">
        <v>1369.7128493539799</v>
      </c>
      <c r="P439">
        <v>3030.6951438708902</v>
      </c>
      <c r="Q439">
        <v>14073.354194903701</v>
      </c>
      <c r="R439">
        <v>1614.04578735365</v>
      </c>
      <c r="S439">
        <v>370.78387585578599</v>
      </c>
      <c r="T439">
        <v>590.32367382887105</v>
      </c>
      <c r="U439">
        <v>125.891745156007</v>
      </c>
      <c r="V439">
        <v>491.88270048523299</v>
      </c>
      <c r="W439">
        <v>124.977241408647</v>
      </c>
      <c r="X439">
        <v>214.52940837094201</v>
      </c>
      <c r="Y439">
        <v>839.50427437492499</v>
      </c>
      <c r="Z439">
        <v>142.83016010143601</v>
      </c>
      <c r="AA439">
        <v>895.73406817805096</v>
      </c>
      <c r="AB439">
        <v>1027.9109242766499</v>
      </c>
      <c r="AC439">
        <v>317.387796177204</v>
      </c>
      <c r="AD439">
        <v>1207.0739836139901</v>
      </c>
      <c r="AE439">
        <v>212.729797636862</v>
      </c>
      <c r="AF439">
        <v>346.151141992313</v>
      </c>
      <c r="AG439">
        <v>955.93963324636604</v>
      </c>
    </row>
    <row r="440" spans="1:33" x14ac:dyDescent="0.25">
      <c r="A440" s="1">
        <v>44491</v>
      </c>
      <c r="B440">
        <v>14844.7186745089</v>
      </c>
      <c r="C440">
        <v>12581.3234080865</v>
      </c>
      <c r="D440">
        <v>13092.141233078301</v>
      </c>
      <c r="E440">
        <v>15243.859142838401</v>
      </c>
      <c r="F440">
        <v>18838.042284904699</v>
      </c>
      <c r="G440">
        <v>18479.218678015601</v>
      </c>
      <c r="H440">
        <v>30036.2589179631</v>
      </c>
      <c r="I440">
        <v>21674.0991526916</v>
      </c>
      <c r="J440">
        <v>2684.5827343815999</v>
      </c>
      <c r="K440">
        <v>2271.8642279463802</v>
      </c>
      <c r="L440">
        <v>1420.4124539551999</v>
      </c>
      <c r="M440">
        <v>16559.061606740499</v>
      </c>
      <c r="N440">
        <v>6001.5821841761099</v>
      </c>
      <c r="O440">
        <v>1403.53734029922</v>
      </c>
      <c r="P440">
        <v>3060.28024798246</v>
      </c>
      <c r="Q440">
        <v>14423.338981995401</v>
      </c>
      <c r="R440">
        <v>1658.8366719199701</v>
      </c>
      <c r="S440">
        <v>369.84516202772397</v>
      </c>
      <c r="T440">
        <v>619.63257510994697</v>
      </c>
      <c r="U440">
        <v>125.630446989822</v>
      </c>
      <c r="V440">
        <v>553.92086407635895</v>
      </c>
      <c r="W440">
        <v>123.224140324275</v>
      </c>
      <c r="X440">
        <v>253.86168257900101</v>
      </c>
      <c r="Y440">
        <v>832.74265745081698</v>
      </c>
      <c r="Z440">
        <v>141.029991477447</v>
      </c>
      <c r="AA440">
        <v>886.48828937612097</v>
      </c>
      <c r="AB440">
        <v>1022.93228193996</v>
      </c>
      <c r="AC440">
        <v>309.37035912373199</v>
      </c>
      <c r="AD440">
        <v>1223.75403150906</v>
      </c>
      <c r="AE440">
        <v>163.08236223653299</v>
      </c>
      <c r="AF440">
        <v>346.843542230938</v>
      </c>
      <c r="AG440">
        <v>961.69121526394997</v>
      </c>
    </row>
    <row r="441" spans="1:33" x14ac:dyDescent="0.25">
      <c r="A441" s="1">
        <v>44492</v>
      </c>
      <c r="B441">
        <v>14853.1300973614</v>
      </c>
      <c r="C441">
        <v>13200.3274297137</v>
      </c>
      <c r="D441">
        <v>13024.4563274254</v>
      </c>
      <c r="E441">
        <v>15214.5879658474</v>
      </c>
      <c r="F441">
        <v>18332.7376242518</v>
      </c>
      <c r="G441">
        <v>17697.735009376</v>
      </c>
      <c r="H441">
        <v>29176.345184312599</v>
      </c>
      <c r="I441">
        <v>21714.945366979598</v>
      </c>
      <c r="J441">
        <v>2617.7439957936699</v>
      </c>
      <c r="K441">
        <v>2253.8374150843301</v>
      </c>
      <c r="L441">
        <v>1365.0329341581801</v>
      </c>
      <c r="M441">
        <v>16005.4715906767</v>
      </c>
      <c r="N441">
        <v>5528.6377077308298</v>
      </c>
      <c r="O441">
        <v>1197.3534553837201</v>
      </c>
      <c r="P441">
        <v>2879.11273955245</v>
      </c>
      <c r="Q441">
        <v>13754.2365021764</v>
      </c>
      <c r="R441">
        <v>1543.7330503273899</v>
      </c>
      <c r="S441">
        <v>373.74588053122301</v>
      </c>
      <c r="T441">
        <v>578.02195777622296</v>
      </c>
      <c r="U441">
        <v>123.408633466168</v>
      </c>
      <c r="V441">
        <v>501.70957464753502</v>
      </c>
      <c r="W441">
        <v>121.947381423165</v>
      </c>
      <c r="X441">
        <v>242.00529371950199</v>
      </c>
      <c r="Y441">
        <v>699.96206440428705</v>
      </c>
      <c r="Z441">
        <v>141.81861631935499</v>
      </c>
      <c r="AA441">
        <v>892.82654546527306</v>
      </c>
      <c r="AB441">
        <v>938.79990037235996</v>
      </c>
      <c r="AC441">
        <v>337.54520839554601</v>
      </c>
      <c r="AD441">
        <v>1161.4082532268601</v>
      </c>
      <c r="AE441">
        <v>157.65923444676301</v>
      </c>
      <c r="AF441">
        <v>353.43752708982299</v>
      </c>
      <c r="AG441">
        <v>955.76743186394594</v>
      </c>
    </row>
    <row r="442" spans="1:33" x14ac:dyDescent="0.25">
      <c r="A442" s="1">
        <v>44493</v>
      </c>
      <c r="B442">
        <v>14643.173155082401</v>
      </c>
      <c r="C442">
        <v>13066.8272930651</v>
      </c>
      <c r="D442">
        <v>13322.927336603399</v>
      </c>
      <c r="E442">
        <v>16242.0868453945</v>
      </c>
      <c r="F442">
        <v>18622.583578629601</v>
      </c>
      <c r="G442">
        <v>19329.782815754301</v>
      </c>
      <c r="H442">
        <v>31576.463359363199</v>
      </c>
      <c r="I442">
        <v>21519.128536236301</v>
      </c>
      <c r="J442">
        <v>2557.6122919659201</v>
      </c>
      <c r="K442">
        <v>2266.9699422634399</v>
      </c>
      <c r="L442">
        <v>1400.7548931414301</v>
      </c>
      <c r="M442">
        <v>18081.8244752131</v>
      </c>
      <c r="N442">
        <v>8030.35839373217</v>
      </c>
      <c r="O442">
        <v>1255.82971761934</v>
      </c>
      <c r="P442">
        <v>3281.7701840906898</v>
      </c>
      <c r="Q442">
        <v>15309.3915172784</v>
      </c>
      <c r="R442">
        <v>1641.46977595303</v>
      </c>
      <c r="S442">
        <v>367.51810747758401</v>
      </c>
      <c r="T442">
        <v>1271.91034842568</v>
      </c>
      <c r="U442">
        <v>127.35003106377501</v>
      </c>
      <c r="V442">
        <v>1086.57537111641</v>
      </c>
      <c r="W442">
        <v>142.195673447497</v>
      </c>
      <c r="X442">
        <v>536.89678955112799</v>
      </c>
      <c r="Y442">
        <v>694.87298628317001</v>
      </c>
      <c r="Z442">
        <v>178.158931708257</v>
      </c>
      <c r="AA442">
        <v>888.57989239151595</v>
      </c>
      <c r="AB442">
        <v>908.976920364271</v>
      </c>
      <c r="AC442">
        <v>366.46064643210298</v>
      </c>
      <c r="AD442">
        <v>1246.7796088496</v>
      </c>
      <c r="AE442">
        <v>142.86886388642299</v>
      </c>
      <c r="AF442">
        <v>372.59290992377697</v>
      </c>
      <c r="AG442">
        <v>888.21155294205005</v>
      </c>
    </row>
    <row r="443" spans="1:33" x14ac:dyDescent="0.25">
      <c r="A443" s="1">
        <v>44494</v>
      </c>
      <c r="B443">
        <v>14348.954567539</v>
      </c>
      <c r="C443">
        <v>13279.6032593161</v>
      </c>
      <c r="D443">
        <v>12647.5723430711</v>
      </c>
      <c r="E443">
        <v>14586.490926500301</v>
      </c>
      <c r="F443">
        <v>18266.0697371924</v>
      </c>
      <c r="G443">
        <v>15732.5578726232</v>
      </c>
      <c r="H443">
        <v>27800.334740357899</v>
      </c>
      <c r="I443">
        <v>21202.351178444202</v>
      </c>
      <c r="J443">
        <v>2366.12162898936</v>
      </c>
      <c r="K443">
        <v>2209.8662748981901</v>
      </c>
      <c r="L443">
        <v>1132.0867363311199</v>
      </c>
      <c r="M443">
        <v>14056.7886130262</v>
      </c>
      <c r="N443">
        <v>3909.8475664079201</v>
      </c>
      <c r="O443">
        <v>610.64657460183196</v>
      </c>
      <c r="P443">
        <v>2290.7652896609302</v>
      </c>
      <c r="Q443">
        <v>11531.995971677599</v>
      </c>
      <c r="R443">
        <v>1120.58395451198</v>
      </c>
      <c r="S443">
        <v>363.77620242904499</v>
      </c>
      <c r="T443">
        <v>430.406772514235</v>
      </c>
      <c r="U443">
        <v>148.783561955317</v>
      </c>
      <c r="V443">
        <v>139.775538444821</v>
      </c>
      <c r="W443">
        <v>151.13431010441499</v>
      </c>
      <c r="X443">
        <v>140.22559862801299</v>
      </c>
      <c r="Y443">
        <v>518.01010581503897</v>
      </c>
      <c r="Z443">
        <v>212.80899004779701</v>
      </c>
      <c r="AA443">
        <v>896.60564374348201</v>
      </c>
      <c r="AB443">
        <v>770.14918857227997</v>
      </c>
      <c r="AC443">
        <v>356.62921400167897</v>
      </c>
      <c r="AD443">
        <v>982.82911359706497</v>
      </c>
      <c r="AE443">
        <v>154.290742203533</v>
      </c>
      <c r="AF443">
        <v>368.12031053200701</v>
      </c>
      <c r="AG443">
        <v>853.78108665669595</v>
      </c>
    </row>
    <row r="444" spans="1:33" x14ac:dyDescent="0.25">
      <c r="A444" s="1">
        <v>44495</v>
      </c>
      <c r="B444">
        <v>14373.694462543999</v>
      </c>
      <c r="C444">
        <v>10490.642334009501</v>
      </c>
      <c r="D444">
        <v>12568.6315439012</v>
      </c>
      <c r="E444">
        <v>14261.2556167972</v>
      </c>
      <c r="F444">
        <v>13109.509877287999</v>
      </c>
      <c r="G444">
        <v>9942.8123452487107</v>
      </c>
      <c r="H444">
        <v>23175.5139514246</v>
      </c>
      <c r="I444">
        <v>20916.873582008098</v>
      </c>
      <c r="J444">
        <v>2041.4762619247299</v>
      </c>
      <c r="K444">
        <v>2183.1173069819802</v>
      </c>
      <c r="L444">
        <v>969.65977122442598</v>
      </c>
      <c r="M444">
        <v>8336.5947045878202</v>
      </c>
      <c r="N444">
        <v>1104.2552676846899</v>
      </c>
      <c r="O444">
        <v>483.98345740264898</v>
      </c>
      <c r="P444">
        <v>1482.8184835218799</v>
      </c>
      <c r="Q444">
        <v>5692.6136321374897</v>
      </c>
      <c r="R444">
        <v>725.97013465673399</v>
      </c>
      <c r="S444">
        <v>356.37913952571802</v>
      </c>
      <c r="T444">
        <v>281.41220001103602</v>
      </c>
      <c r="U444">
        <v>153.85406592982301</v>
      </c>
      <c r="V444">
        <v>149.112559122519</v>
      </c>
      <c r="W444">
        <v>130.71899202747801</v>
      </c>
      <c r="X444">
        <v>148.36422271798</v>
      </c>
      <c r="Y444">
        <v>528.551840554666</v>
      </c>
      <c r="Z444">
        <v>229.39625019098401</v>
      </c>
      <c r="AA444">
        <v>872.00121129000104</v>
      </c>
      <c r="AB444">
        <v>708.31905063544195</v>
      </c>
      <c r="AC444">
        <v>511.91434311609402</v>
      </c>
      <c r="AD444">
        <v>856.76795876629501</v>
      </c>
      <c r="AE444">
        <v>163.079940457898</v>
      </c>
      <c r="AF444">
        <v>426.36844939789802</v>
      </c>
      <c r="AG444">
        <v>874.01434920917495</v>
      </c>
    </row>
    <row r="445" spans="1:33" x14ac:dyDescent="0.25">
      <c r="A445" s="1">
        <v>44496</v>
      </c>
      <c r="B445">
        <v>14374.961372046</v>
      </c>
      <c r="C445">
        <v>4878.0087390600202</v>
      </c>
      <c r="D445">
        <v>12704.815772681401</v>
      </c>
      <c r="E445">
        <v>14049.480065972501</v>
      </c>
      <c r="F445">
        <v>8809.1547236214592</v>
      </c>
      <c r="G445">
        <v>5552.56069018157</v>
      </c>
      <c r="H445">
        <v>19333.694022753702</v>
      </c>
      <c r="I445">
        <v>20286.016100372399</v>
      </c>
      <c r="J445">
        <v>1870.4577511227401</v>
      </c>
      <c r="K445">
        <v>2109.9270190850102</v>
      </c>
      <c r="L445">
        <v>844.79497408620796</v>
      </c>
      <c r="M445">
        <v>4472.2452706356398</v>
      </c>
      <c r="N445">
        <v>465.59476434712701</v>
      </c>
      <c r="O445">
        <v>460.99079719219202</v>
      </c>
      <c r="P445">
        <v>1108.37667347714</v>
      </c>
      <c r="Q445">
        <v>2387.9036524899302</v>
      </c>
      <c r="R445">
        <v>656.97516011807897</v>
      </c>
      <c r="S445">
        <v>349.086996183868</v>
      </c>
      <c r="T445">
        <v>227.79425185265899</v>
      </c>
      <c r="U445">
        <v>155.17433434727599</v>
      </c>
      <c r="V445">
        <v>132.12851374765501</v>
      </c>
      <c r="W445">
        <v>138.29032506477199</v>
      </c>
      <c r="X445">
        <v>132.21865729709299</v>
      </c>
      <c r="Y445">
        <v>638.15120498149395</v>
      </c>
      <c r="Z445">
        <v>213.11425241816099</v>
      </c>
      <c r="AA445">
        <v>809.51910263946604</v>
      </c>
      <c r="AB445">
        <v>781.47758105445905</v>
      </c>
      <c r="AC445">
        <v>398.13150128870399</v>
      </c>
      <c r="AD445">
        <v>750.01789882297101</v>
      </c>
      <c r="AE445">
        <v>199.939566161172</v>
      </c>
      <c r="AF445">
        <v>457.45107469175701</v>
      </c>
      <c r="AG445">
        <v>903.51565913073898</v>
      </c>
    </row>
    <row r="446" spans="1:33" x14ac:dyDescent="0.25">
      <c r="A446" s="1">
        <v>44497</v>
      </c>
      <c r="B446">
        <v>14368.1464267298</v>
      </c>
      <c r="C446">
        <v>2203.9525216841898</v>
      </c>
      <c r="D446">
        <v>11823.520285065601</v>
      </c>
      <c r="E446">
        <v>13835.0117478845</v>
      </c>
      <c r="F446">
        <v>6302.8850711512196</v>
      </c>
      <c r="G446">
        <v>3197.5815191065499</v>
      </c>
      <c r="H446">
        <v>17376.934497314898</v>
      </c>
      <c r="I446">
        <v>18794.385125709599</v>
      </c>
      <c r="J446">
        <v>1727.9362523836401</v>
      </c>
      <c r="K446">
        <v>2012.1834528724701</v>
      </c>
      <c r="L446">
        <v>740.560901262887</v>
      </c>
      <c r="M446">
        <v>2697.71896473076</v>
      </c>
      <c r="N446">
        <v>266.934203170194</v>
      </c>
      <c r="O446">
        <v>439.40351137737599</v>
      </c>
      <c r="P446">
        <v>963.31963913350398</v>
      </c>
      <c r="Q446">
        <v>1466.2100739110799</v>
      </c>
      <c r="R446">
        <v>612.39663935790202</v>
      </c>
      <c r="S446">
        <v>371.54900974189201</v>
      </c>
      <c r="T446">
        <v>218.78265916837901</v>
      </c>
      <c r="U446">
        <v>163.50534363045</v>
      </c>
      <c r="V446">
        <v>143.11055678699401</v>
      </c>
      <c r="W446">
        <v>130.26915472491899</v>
      </c>
      <c r="X446">
        <v>142.87290159083699</v>
      </c>
      <c r="Y446">
        <v>665.66179352314305</v>
      </c>
      <c r="Z446">
        <v>235.56700601763799</v>
      </c>
      <c r="AA446">
        <v>745.50894314557502</v>
      </c>
      <c r="AB446">
        <v>864.85464899477597</v>
      </c>
      <c r="AC446">
        <v>376.08197987375098</v>
      </c>
      <c r="AD446">
        <v>658.91754936773395</v>
      </c>
      <c r="AE446">
        <v>234.54818863163001</v>
      </c>
      <c r="AF446">
        <v>524.57553902694099</v>
      </c>
      <c r="AG446">
        <v>868.81935132051501</v>
      </c>
    </row>
    <row r="447" spans="1:33" x14ac:dyDescent="0.25">
      <c r="A447" s="1">
        <v>44498</v>
      </c>
      <c r="B447">
        <v>13942.215115167101</v>
      </c>
      <c r="C447">
        <v>1207.6071179364201</v>
      </c>
      <c r="D447">
        <v>10266.161534787299</v>
      </c>
      <c r="E447">
        <v>13479.1367829232</v>
      </c>
      <c r="F447">
        <v>5046.7739995494203</v>
      </c>
      <c r="G447">
        <v>2986.8944168010198</v>
      </c>
      <c r="H447">
        <v>18150.263843855901</v>
      </c>
      <c r="I447">
        <v>16793.4777135029</v>
      </c>
      <c r="J447">
        <v>1601.9010517571801</v>
      </c>
      <c r="K447">
        <v>1892.7349600344</v>
      </c>
      <c r="L447">
        <v>677.031911416875</v>
      </c>
      <c r="M447">
        <v>2374.1434388651101</v>
      </c>
      <c r="N447">
        <v>250.84372046482</v>
      </c>
      <c r="O447">
        <v>452.78801092723</v>
      </c>
      <c r="P447">
        <v>867.51287360854701</v>
      </c>
      <c r="Q447">
        <v>1336.9485258552099</v>
      </c>
      <c r="R447">
        <v>617.97316251208099</v>
      </c>
      <c r="S447">
        <v>375.06683054095998</v>
      </c>
      <c r="T447">
        <v>206.11292953951499</v>
      </c>
      <c r="U447">
        <v>164.07276691618901</v>
      </c>
      <c r="V447">
        <v>121.065917698871</v>
      </c>
      <c r="W447">
        <v>110.071064356478</v>
      </c>
      <c r="X447">
        <v>120.283748687786</v>
      </c>
      <c r="Y447">
        <v>621.14872846480296</v>
      </c>
      <c r="Z447">
        <v>223.844444688972</v>
      </c>
      <c r="AA447">
        <v>707.20225283946297</v>
      </c>
      <c r="AB447">
        <v>956.39913842664305</v>
      </c>
      <c r="AC447">
        <v>381.30074114881103</v>
      </c>
      <c r="AD447">
        <v>602.84846818783501</v>
      </c>
      <c r="AE447">
        <v>233.463138956303</v>
      </c>
      <c r="AF447">
        <v>521.12938781467005</v>
      </c>
      <c r="AG447">
        <v>820.58193183439596</v>
      </c>
    </row>
    <row r="448" spans="1:33" x14ac:dyDescent="0.25">
      <c r="A448" s="1">
        <v>44499</v>
      </c>
      <c r="B448">
        <v>13302.557816033601</v>
      </c>
      <c r="C448">
        <v>1017.95121861108</v>
      </c>
      <c r="D448">
        <v>8633.0942178763398</v>
      </c>
      <c r="E448">
        <v>12860.191950259999</v>
      </c>
      <c r="F448">
        <v>4702.3656754747999</v>
      </c>
      <c r="G448">
        <v>3419.20956584037</v>
      </c>
      <c r="H448">
        <v>18908.076256092001</v>
      </c>
      <c r="I448">
        <v>14956.575083322899</v>
      </c>
      <c r="J448">
        <v>1495.48794535206</v>
      </c>
      <c r="K448">
        <v>1760.22252275304</v>
      </c>
      <c r="L448">
        <v>658.06972383786399</v>
      </c>
      <c r="M448">
        <v>2572.5027690198799</v>
      </c>
      <c r="N448">
        <v>232.22688971308699</v>
      </c>
      <c r="O448">
        <v>514.95003930173095</v>
      </c>
      <c r="P448">
        <v>775.95701302582302</v>
      </c>
      <c r="Q448">
        <v>1469.30325308631</v>
      </c>
      <c r="R448">
        <v>657.20310770447304</v>
      </c>
      <c r="S448">
        <v>375.756126235696</v>
      </c>
      <c r="T448">
        <v>189.73742047954599</v>
      </c>
      <c r="U448">
        <v>176.076490577849</v>
      </c>
      <c r="V448">
        <v>108.753016919738</v>
      </c>
      <c r="W448">
        <v>118.05465777495</v>
      </c>
      <c r="X448">
        <v>108.493192626728</v>
      </c>
      <c r="Y448">
        <v>655.02017385192801</v>
      </c>
      <c r="Z448">
        <v>205.55475702498299</v>
      </c>
      <c r="AA448">
        <v>662.24919005780805</v>
      </c>
      <c r="AB448">
        <v>947.57080129737699</v>
      </c>
      <c r="AC448">
        <v>382.766639510696</v>
      </c>
      <c r="AD448">
        <v>580.49982095272696</v>
      </c>
      <c r="AE448">
        <v>247.084928420387</v>
      </c>
      <c r="AF448">
        <v>499.55819722239602</v>
      </c>
      <c r="AG448">
        <v>801.41058816992802</v>
      </c>
    </row>
    <row r="449" spans="1:33" x14ac:dyDescent="0.25">
      <c r="A449" s="1">
        <v>44500</v>
      </c>
      <c r="B449">
        <v>12649.422385845101</v>
      </c>
      <c r="C449">
        <v>1289.35332954973</v>
      </c>
      <c r="D449">
        <v>6891.1578370855896</v>
      </c>
      <c r="E449">
        <v>12113.473380896099</v>
      </c>
      <c r="F449">
        <v>4848.26803599307</v>
      </c>
      <c r="G449">
        <v>3735.0297715875699</v>
      </c>
      <c r="H449">
        <v>18169.838746261201</v>
      </c>
      <c r="I449">
        <v>11971.300685018199</v>
      </c>
      <c r="J449">
        <v>1393.48276813435</v>
      </c>
      <c r="K449">
        <v>1670.01314329707</v>
      </c>
      <c r="L449">
        <v>665.92473910972296</v>
      </c>
      <c r="M449">
        <v>2787.9554315223099</v>
      </c>
      <c r="N449">
        <v>220.05099643403699</v>
      </c>
      <c r="O449">
        <v>529.46310684258697</v>
      </c>
      <c r="P449">
        <v>764.653672672384</v>
      </c>
      <c r="Q449">
        <v>1528.01709700468</v>
      </c>
      <c r="R449">
        <v>664.78400114108001</v>
      </c>
      <c r="S449">
        <v>375.02691340365101</v>
      </c>
      <c r="T449">
        <v>182.379428283832</v>
      </c>
      <c r="U449">
        <v>184.034819525914</v>
      </c>
      <c r="V449">
        <v>118.990043557148</v>
      </c>
      <c r="W449">
        <v>137.71240384751201</v>
      </c>
      <c r="X449">
        <v>118.865736053615</v>
      </c>
      <c r="Y449">
        <v>574.33299165742199</v>
      </c>
      <c r="Z449">
        <v>194.66928015836999</v>
      </c>
      <c r="AA449">
        <v>610.65673304284098</v>
      </c>
      <c r="AB449">
        <v>885.90726224402204</v>
      </c>
      <c r="AC449">
        <v>378.18934831723999</v>
      </c>
      <c r="AD449">
        <v>573.31733548676004</v>
      </c>
      <c r="AE449">
        <v>223.92604317978399</v>
      </c>
      <c r="AF449">
        <v>477.84493308029499</v>
      </c>
      <c r="AG449">
        <v>748.828981341548</v>
      </c>
    </row>
    <row r="450" spans="1:33" x14ac:dyDescent="0.25">
      <c r="A450" s="1">
        <v>44501</v>
      </c>
      <c r="B450">
        <v>11861.897200850701</v>
      </c>
      <c r="C450">
        <v>1407.4997038306401</v>
      </c>
      <c r="D450">
        <v>5679.6543494465504</v>
      </c>
      <c r="E450">
        <v>11109.341826558501</v>
      </c>
      <c r="F450">
        <v>5519.7495407759898</v>
      </c>
      <c r="G450">
        <v>4953.8383684425298</v>
      </c>
      <c r="H450">
        <v>19127.3555379967</v>
      </c>
      <c r="I450">
        <v>10209.7074180731</v>
      </c>
      <c r="J450">
        <v>1259.2451165206301</v>
      </c>
      <c r="K450">
        <v>1559.8655826679999</v>
      </c>
      <c r="L450">
        <v>664.60832784531897</v>
      </c>
      <c r="M450">
        <v>3816.9061602464399</v>
      </c>
      <c r="N450">
        <v>266.07815178848301</v>
      </c>
      <c r="O450">
        <v>568.54908280422796</v>
      </c>
      <c r="P450">
        <v>777.95967724893399</v>
      </c>
      <c r="Q450">
        <v>2219.7826638404399</v>
      </c>
      <c r="R450">
        <v>666.29140737522698</v>
      </c>
      <c r="S450">
        <v>374.708080984069</v>
      </c>
      <c r="T450">
        <v>179.31176758118801</v>
      </c>
      <c r="U450">
        <v>223.32934490268099</v>
      </c>
      <c r="V450">
        <v>135.60553829245299</v>
      </c>
      <c r="W450">
        <v>159.943002352376</v>
      </c>
      <c r="X450">
        <v>131.57680922999799</v>
      </c>
      <c r="Y450">
        <v>517.159796987606</v>
      </c>
      <c r="Z450">
        <v>183.41257362827</v>
      </c>
      <c r="AA450">
        <v>567.60825544354702</v>
      </c>
      <c r="AB450">
        <v>807.19851152384103</v>
      </c>
      <c r="AC450">
        <v>374.88885975411301</v>
      </c>
      <c r="AD450">
        <v>583.15427751626498</v>
      </c>
      <c r="AE450">
        <v>197.890615941786</v>
      </c>
      <c r="AF450">
        <v>456.46954616147298</v>
      </c>
      <c r="AG450">
        <v>672.09572932524702</v>
      </c>
    </row>
    <row r="451" spans="1:33" x14ac:dyDescent="0.25">
      <c r="A451" s="1">
        <v>44502</v>
      </c>
      <c r="B451">
        <v>10935.314770238299</v>
      </c>
      <c r="C451">
        <v>2020.5301517302601</v>
      </c>
      <c r="D451">
        <v>4526.5595329391499</v>
      </c>
      <c r="E451">
        <v>10157.3159354297</v>
      </c>
      <c r="F451">
        <v>6596.0582655114604</v>
      </c>
      <c r="G451">
        <v>5801.6456601940099</v>
      </c>
      <c r="H451">
        <v>19017.5959781165</v>
      </c>
      <c r="I451">
        <v>9749.1605740326795</v>
      </c>
      <c r="J451">
        <v>1190.09704763134</v>
      </c>
      <c r="K451">
        <v>1457.3341821811</v>
      </c>
      <c r="L451">
        <v>659.26529806875601</v>
      </c>
      <c r="M451">
        <v>4494.9925728374401</v>
      </c>
      <c r="N451">
        <v>338.58773518657699</v>
      </c>
      <c r="O451">
        <v>560.14850707086703</v>
      </c>
      <c r="P451">
        <v>751.79494930591898</v>
      </c>
      <c r="Q451">
        <v>2865.2024731828701</v>
      </c>
      <c r="R451">
        <v>652.63898901182699</v>
      </c>
      <c r="S451">
        <v>372.41718178164001</v>
      </c>
      <c r="T451">
        <v>182.20118054559001</v>
      </c>
      <c r="U451">
        <v>215.934963013165</v>
      </c>
      <c r="V451">
        <v>156.548026797462</v>
      </c>
      <c r="W451">
        <v>162.117491174988</v>
      </c>
      <c r="X451">
        <v>154.36792274268899</v>
      </c>
      <c r="Y451">
        <v>512.46455190554605</v>
      </c>
      <c r="Z451">
        <v>170.34646931685799</v>
      </c>
      <c r="AA451">
        <v>541.79177334532005</v>
      </c>
      <c r="AB451">
        <v>726.41485530284501</v>
      </c>
      <c r="AC451">
        <v>362.12612254996799</v>
      </c>
      <c r="AD451">
        <v>582.438851912936</v>
      </c>
      <c r="AE451">
        <v>212.29916604994</v>
      </c>
      <c r="AF451">
        <v>430.59734165845299</v>
      </c>
      <c r="AG451">
        <v>610.66735764273403</v>
      </c>
    </row>
    <row r="452" spans="1:33" x14ac:dyDescent="0.25">
      <c r="A452" s="1">
        <v>44503</v>
      </c>
      <c r="B452">
        <v>9621.0225033050701</v>
      </c>
      <c r="C452">
        <v>2440.6230712912802</v>
      </c>
      <c r="D452">
        <v>4005.5127476504599</v>
      </c>
      <c r="E452">
        <v>9000.3119261766296</v>
      </c>
      <c r="F452">
        <v>7387.5949616744501</v>
      </c>
      <c r="G452">
        <v>7105.2296316870497</v>
      </c>
      <c r="H452">
        <v>20044.6122291992</v>
      </c>
      <c r="I452">
        <v>9785.2887049090605</v>
      </c>
      <c r="J452">
        <v>1122.2968349704799</v>
      </c>
      <c r="K452">
        <v>1371.72430217173</v>
      </c>
      <c r="L452">
        <v>645.76091842548101</v>
      </c>
      <c r="M452">
        <v>5581.0482366023798</v>
      </c>
      <c r="N452">
        <v>554.75333821396998</v>
      </c>
      <c r="O452">
        <v>572.43120189456999</v>
      </c>
      <c r="P452">
        <v>733.88910292154401</v>
      </c>
      <c r="Q452">
        <v>3857.7084242358201</v>
      </c>
      <c r="R452">
        <v>645.74313617842301</v>
      </c>
      <c r="S452">
        <v>368.22257918834998</v>
      </c>
      <c r="T452">
        <v>186.364684572405</v>
      </c>
      <c r="U452">
        <v>211.49839377592801</v>
      </c>
      <c r="V452">
        <v>169.704158168183</v>
      </c>
      <c r="W452">
        <v>160.36622077904099</v>
      </c>
      <c r="X452">
        <v>163.011325006839</v>
      </c>
      <c r="Y452">
        <v>547.74162388357297</v>
      </c>
      <c r="Z452">
        <v>168.97683163701001</v>
      </c>
      <c r="AA452">
        <v>527.39890837393602</v>
      </c>
      <c r="AB452">
        <v>718.20647890727298</v>
      </c>
      <c r="AC452">
        <v>347.90995690171002</v>
      </c>
      <c r="AD452">
        <v>574.65341603641502</v>
      </c>
      <c r="AE452">
        <v>258.65693694809102</v>
      </c>
      <c r="AF452">
        <v>410.088607640953</v>
      </c>
      <c r="AG452">
        <v>577.80206818641102</v>
      </c>
    </row>
    <row r="453" spans="1:33" x14ac:dyDescent="0.25">
      <c r="A453" s="1">
        <v>44504</v>
      </c>
      <c r="B453">
        <v>8586.9542965731107</v>
      </c>
      <c r="C453">
        <v>3239.20989413798</v>
      </c>
      <c r="D453">
        <v>3772.0617992249499</v>
      </c>
      <c r="E453">
        <v>8039.9962424217601</v>
      </c>
      <c r="F453">
        <v>8564.6614696673405</v>
      </c>
      <c r="G453">
        <v>8448.5763947702308</v>
      </c>
      <c r="H453">
        <v>21231.208570012601</v>
      </c>
      <c r="I453">
        <v>10151.2027940116</v>
      </c>
      <c r="J453">
        <v>1063.79064397314</v>
      </c>
      <c r="K453">
        <v>1295.03507119817</v>
      </c>
      <c r="L453">
        <v>642.93425120971494</v>
      </c>
      <c r="M453">
        <v>6858.9484396278203</v>
      </c>
      <c r="N453">
        <v>975.35963049659404</v>
      </c>
      <c r="O453">
        <v>582.292148943298</v>
      </c>
      <c r="P453">
        <v>734.21582916340503</v>
      </c>
      <c r="Q453">
        <v>4980.4510752284996</v>
      </c>
      <c r="R453">
        <v>641.65538662305698</v>
      </c>
      <c r="S453">
        <v>359.29388816381203</v>
      </c>
      <c r="T453">
        <v>192.79809289165399</v>
      </c>
      <c r="U453">
        <v>219.31333415769001</v>
      </c>
      <c r="V453">
        <v>181.667495612767</v>
      </c>
      <c r="W453">
        <v>165.368518316641</v>
      </c>
      <c r="X453">
        <v>166.95159623793299</v>
      </c>
      <c r="Y453">
        <v>586.02415550906801</v>
      </c>
      <c r="Z453">
        <v>170.434078453377</v>
      </c>
      <c r="AA453">
        <v>529.38805691714799</v>
      </c>
      <c r="AB453">
        <v>702.56246666032303</v>
      </c>
      <c r="AC453">
        <v>350.43999655226497</v>
      </c>
      <c r="AD453">
        <v>573.82841997249295</v>
      </c>
      <c r="AE453">
        <v>276.40749831126698</v>
      </c>
      <c r="AF453">
        <v>403.07923471399903</v>
      </c>
      <c r="AG453">
        <v>567.99156695658905</v>
      </c>
    </row>
    <row r="454" spans="1:33" x14ac:dyDescent="0.25">
      <c r="A454" s="1">
        <v>44505</v>
      </c>
      <c r="B454">
        <v>7846.1111332013497</v>
      </c>
      <c r="C454">
        <v>3947.8398668186701</v>
      </c>
      <c r="D454">
        <v>3643.7928007473802</v>
      </c>
      <c r="E454">
        <v>7445.3715096312999</v>
      </c>
      <c r="F454">
        <v>9094.6713101767691</v>
      </c>
      <c r="G454">
        <v>8908.0129040204793</v>
      </c>
      <c r="H454">
        <v>21513.004716426502</v>
      </c>
      <c r="I454">
        <v>10678.7080657892</v>
      </c>
      <c r="J454">
        <v>1014.77147368539</v>
      </c>
      <c r="K454">
        <v>1209.0231436121901</v>
      </c>
      <c r="L454">
        <v>641.24762337671405</v>
      </c>
      <c r="M454">
        <v>7344.4463763441399</v>
      </c>
      <c r="N454">
        <v>1250.1038966702099</v>
      </c>
      <c r="O454">
        <v>567.02264901749197</v>
      </c>
      <c r="P454">
        <v>749.31988044639797</v>
      </c>
      <c r="Q454">
        <v>5526.3016562323301</v>
      </c>
      <c r="R454">
        <v>630.64639175274795</v>
      </c>
      <c r="S454">
        <v>351.85060957928903</v>
      </c>
      <c r="T454">
        <v>204.58366672058</v>
      </c>
      <c r="U454">
        <v>189.70592273969399</v>
      </c>
      <c r="V454">
        <v>201.02630858237001</v>
      </c>
      <c r="W454">
        <v>161.413257522061</v>
      </c>
      <c r="X454">
        <v>173.909444168405</v>
      </c>
      <c r="Y454">
        <v>574.87311116917999</v>
      </c>
      <c r="Z454">
        <v>183.50649558736399</v>
      </c>
      <c r="AA454">
        <v>528.61418358988203</v>
      </c>
      <c r="AB454">
        <v>689.85861784854103</v>
      </c>
      <c r="AC454">
        <v>367.30535118781199</v>
      </c>
      <c r="AD454">
        <v>569.26927653190205</v>
      </c>
      <c r="AE454">
        <v>326.80618475138198</v>
      </c>
      <c r="AF454">
        <v>396.38809498863702</v>
      </c>
      <c r="AG454">
        <v>563.55170539867197</v>
      </c>
    </row>
    <row r="455" spans="1:33" x14ac:dyDescent="0.25">
      <c r="A455" s="1">
        <v>44506</v>
      </c>
      <c r="B455">
        <v>7255.5218058043602</v>
      </c>
      <c r="C455">
        <v>4510.73221279062</v>
      </c>
      <c r="D455">
        <v>3677.54167380026</v>
      </c>
      <c r="E455">
        <v>7096.0905297872596</v>
      </c>
      <c r="F455">
        <v>9575.8822443633708</v>
      </c>
      <c r="G455">
        <v>9130.5228303015992</v>
      </c>
      <c r="H455">
        <v>21317.908185575499</v>
      </c>
      <c r="I455">
        <v>11213.254862203799</v>
      </c>
      <c r="J455">
        <v>981.52261310996096</v>
      </c>
      <c r="K455">
        <v>1148.8852870681301</v>
      </c>
      <c r="L455">
        <v>645.52742985334896</v>
      </c>
      <c r="M455">
        <v>7649.4541476811601</v>
      </c>
      <c r="N455">
        <v>1454.4084969865</v>
      </c>
      <c r="O455">
        <v>529.95732396578103</v>
      </c>
      <c r="P455">
        <v>772.64534948311302</v>
      </c>
      <c r="Q455">
        <v>5924.8040275283902</v>
      </c>
      <c r="R455">
        <v>620.20564153693704</v>
      </c>
      <c r="S455">
        <v>345.63143106981403</v>
      </c>
      <c r="T455">
        <v>218.56768852931501</v>
      </c>
      <c r="U455">
        <v>167.70875084678499</v>
      </c>
      <c r="V455">
        <v>225.5965043027</v>
      </c>
      <c r="W455">
        <v>172.73676619662299</v>
      </c>
      <c r="X455">
        <v>185.46382873807801</v>
      </c>
      <c r="Y455">
        <v>517.47024829888505</v>
      </c>
      <c r="Z455">
        <v>211.856501890369</v>
      </c>
      <c r="AA455">
        <v>522.57689373154994</v>
      </c>
      <c r="AB455">
        <v>676.45071091078796</v>
      </c>
      <c r="AC455">
        <v>377.42445851443699</v>
      </c>
      <c r="AD455">
        <v>560.04806119973705</v>
      </c>
      <c r="AE455">
        <v>382.57340542273897</v>
      </c>
      <c r="AF455">
        <v>392.74349643288502</v>
      </c>
      <c r="AG455">
        <v>558.12581804185004</v>
      </c>
    </row>
    <row r="456" spans="1:33" x14ac:dyDescent="0.25">
      <c r="A456" s="1">
        <v>44507</v>
      </c>
      <c r="B456">
        <v>6824.5887678606096</v>
      </c>
      <c r="C456">
        <v>4845.2384103296099</v>
      </c>
      <c r="D456">
        <v>3913.7096342607801</v>
      </c>
      <c r="E456">
        <v>7036.1018081071297</v>
      </c>
      <c r="F456">
        <v>9640.8157838931293</v>
      </c>
      <c r="G456">
        <v>9259.4135644645794</v>
      </c>
      <c r="H456">
        <v>21517.206350116299</v>
      </c>
      <c r="I456">
        <v>11631.9685782421</v>
      </c>
      <c r="J456">
        <v>951.98886525370403</v>
      </c>
      <c r="K456">
        <v>1098.6180626941</v>
      </c>
      <c r="L456">
        <v>627.31012131493901</v>
      </c>
      <c r="M456">
        <v>7850.1511693669599</v>
      </c>
      <c r="N456">
        <v>1680.9186490193699</v>
      </c>
      <c r="O456">
        <v>517.13878899061103</v>
      </c>
      <c r="P456">
        <v>827.22924597999997</v>
      </c>
      <c r="Q456">
        <v>6183.41435983048</v>
      </c>
      <c r="R456">
        <v>610.32929476597496</v>
      </c>
      <c r="S456">
        <v>342.635651810534</v>
      </c>
      <c r="T456">
        <v>237.73283825096499</v>
      </c>
      <c r="U456">
        <v>173.67632574914199</v>
      </c>
      <c r="V456">
        <v>249.862578968702</v>
      </c>
      <c r="W456">
        <v>166.76097583459301</v>
      </c>
      <c r="X456">
        <v>192.204386889327</v>
      </c>
      <c r="Y456">
        <v>530.88102922265398</v>
      </c>
      <c r="Z456">
        <v>221.93060942495799</v>
      </c>
      <c r="AA456">
        <v>518.95414845072003</v>
      </c>
      <c r="AB456">
        <v>667.35603185855302</v>
      </c>
      <c r="AC456">
        <v>383.651891231506</v>
      </c>
      <c r="AD456">
        <v>550.94248550211205</v>
      </c>
      <c r="AE456">
        <v>437.400011908865</v>
      </c>
      <c r="AF456">
        <v>387.65247691119401</v>
      </c>
      <c r="AG456">
        <v>546.80183020722302</v>
      </c>
    </row>
    <row r="457" spans="1:33" x14ac:dyDescent="0.25">
      <c r="A457" s="1">
        <v>44508</v>
      </c>
      <c r="B457">
        <v>6577.5435114784796</v>
      </c>
      <c r="C457">
        <v>5430.6070414081096</v>
      </c>
      <c r="D457">
        <v>4291.5401922390902</v>
      </c>
      <c r="E457">
        <v>7141.6800783870804</v>
      </c>
      <c r="F457">
        <v>10120.300919810599</v>
      </c>
      <c r="G457">
        <v>9949.7156373035705</v>
      </c>
      <c r="H457">
        <v>22135.6608740173</v>
      </c>
      <c r="I457">
        <v>11960.116546662201</v>
      </c>
      <c r="J457">
        <v>925.41697534229797</v>
      </c>
      <c r="K457">
        <v>1080.8196941625399</v>
      </c>
      <c r="L457">
        <v>615.05544039459005</v>
      </c>
      <c r="M457">
        <v>8665.8545376367601</v>
      </c>
      <c r="N457">
        <v>2148.2113596245499</v>
      </c>
      <c r="O457">
        <v>517.791000523143</v>
      </c>
      <c r="P457">
        <v>940.38742947048604</v>
      </c>
      <c r="Q457">
        <v>6846.0378938268605</v>
      </c>
      <c r="R457">
        <v>617.919405692385</v>
      </c>
      <c r="S457">
        <v>337.35689083629001</v>
      </c>
      <c r="T457">
        <v>281.58875791397298</v>
      </c>
      <c r="U457">
        <v>168.31929337905601</v>
      </c>
      <c r="V457">
        <v>312.16403283305999</v>
      </c>
      <c r="W457">
        <v>162.42279709181699</v>
      </c>
      <c r="X457">
        <v>224.84670186925001</v>
      </c>
      <c r="Y457">
        <v>554.04785245889104</v>
      </c>
      <c r="Z457">
        <v>201.47146924199501</v>
      </c>
      <c r="AA457">
        <v>517.669068302813</v>
      </c>
      <c r="AB457">
        <v>663.01440097015097</v>
      </c>
      <c r="AC457">
        <v>404.137573218618</v>
      </c>
      <c r="AD457">
        <v>550.06379096839203</v>
      </c>
      <c r="AE457">
        <v>489.03420401024499</v>
      </c>
      <c r="AF457">
        <v>382.60062646323001</v>
      </c>
      <c r="AG457">
        <v>541.90349939826694</v>
      </c>
    </row>
    <row r="458" spans="1:33" x14ac:dyDescent="0.25">
      <c r="A458" s="1">
        <v>44509</v>
      </c>
      <c r="B458">
        <v>6490.0598945615202</v>
      </c>
      <c r="C458">
        <v>5965.4432581794699</v>
      </c>
      <c r="D458">
        <v>4397.8776404690898</v>
      </c>
      <c r="E458">
        <v>7082.4145675511299</v>
      </c>
      <c r="F458">
        <v>11372.4876592663</v>
      </c>
      <c r="G458">
        <v>11372.172729519199</v>
      </c>
      <c r="H458">
        <v>23657.8966740414</v>
      </c>
      <c r="I458">
        <v>12532.636019305801</v>
      </c>
      <c r="J458">
        <v>926.40047883154102</v>
      </c>
      <c r="K458">
        <v>1033.6339101446199</v>
      </c>
      <c r="L458">
        <v>617.42667905154201</v>
      </c>
      <c r="M458">
        <v>10070.4175114102</v>
      </c>
      <c r="N458">
        <v>2775.0087532185898</v>
      </c>
      <c r="O458">
        <v>531.03379199865105</v>
      </c>
      <c r="P458">
        <v>1098.7242186047599</v>
      </c>
      <c r="Q458">
        <v>7791.1743187579796</v>
      </c>
      <c r="R458">
        <v>638.04786696142605</v>
      </c>
      <c r="S458">
        <v>314.06194001027001</v>
      </c>
      <c r="T458">
        <v>304.28293298205</v>
      </c>
      <c r="U458">
        <v>162.35118416517</v>
      </c>
      <c r="V458">
        <v>351.87238199868102</v>
      </c>
      <c r="W458">
        <v>163.156325242257</v>
      </c>
      <c r="X458">
        <v>235.129378665818</v>
      </c>
      <c r="Y458">
        <v>548.55740547040295</v>
      </c>
      <c r="Z458">
        <v>198.17636008823999</v>
      </c>
      <c r="AA458">
        <v>517.74904168285195</v>
      </c>
      <c r="AB458">
        <v>641.06376636853895</v>
      </c>
      <c r="AC458">
        <v>424.654706552829</v>
      </c>
      <c r="AD458">
        <v>562.383860206397</v>
      </c>
      <c r="AE458">
        <v>541.07901376328198</v>
      </c>
      <c r="AF458">
        <v>380.38794140968298</v>
      </c>
      <c r="AG458">
        <v>552.56503766718902</v>
      </c>
    </row>
    <row r="459" spans="1:33" x14ac:dyDescent="0.25">
      <c r="A459" s="1">
        <v>44510</v>
      </c>
      <c r="B459">
        <v>6559.3212250368397</v>
      </c>
      <c r="C459">
        <v>6806.9582243018904</v>
      </c>
      <c r="D459">
        <v>4582.0662995085004</v>
      </c>
      <c r="E459">
        <v>6769.3658869578303</v>
      </c>
      <c r="F459">
        <v>11135.186075883499</v>
      </c>
      <c r="G459">
        <v>10235.7071924871</v>
      </c>
      <c r="H459">
        <v>21804.649086389101</v>
      </c>
      <c r="I459">
        <v>12758.3213445411</v>
      </c>
      <c r="J459">
        <v>954.69906185398304</v>
      </c>
      <c r="K459">
        <v>1019.97278236667</v>
      </c>
      <c r="L459">
        <v>610.41685188088798</v>
      </c>
      <c r="M459">
        <v>8839.1614832443993</v>
      </c>
      <c r="N459">
        <v>2040.5718521638601</v>
      </c>
      <c r="O459">
        <v>477.86704534721298</v>
      </c>
      <c r="P459">
        <v>1050.33212838232</v>
      </c>
      <c r="Q459">
        <v>6855.2043858459801</v>
      </c>
      <c r="R459">
        <v>614.83745867819596</v>
      </c>
      <c r="S459">
        <v>323.09906002719202</v>
      </c>
      <c r="T459">
        <v>255.690046443581</v>
      </c>
      <c r="U459">
        <v>163.123485328648</v>
      </c>
      <c r="V459">
        <v>256.16016793118803</v>
      </c>
      <c r="W459">
        <v>163.784986667933</v>
      </c>
      <c r="X459">
        <v>183.48079415698601</v>
      </c>
      <c r="Y459">
        <v>483.44781215405601</v>
      </c>
      <c r="Z459">
        <v>178.56721325666601</v>
      </c>
      <c r="AA459">
        <v>515.53936427051406</v>
      </c>
      <c r="AB459">
        <v>588.02150356832999</v>
      </c>
      <c r="AC459">
        <v>447.06677605951899</v>
      </c>
      <c r="AD459">
        <v>537.95835565023003</v>
      </c>
      <c r="AE459">
        <v>528.06526181350898</v>
      </c>
      <c r="AF459">
        <v>378.65706734495399</v>
      </c>
      <c r="AG459">
        <v>540.82471021557399</v>
      </c>
    </row>
    <row r="460" spans="1:33" x14ac:dyDescent="0.25">
      <c r="A460" s="1">
        <v>44511</v>
      </c>
      <c r="B460">
        <v>6486.9806219349703</v>
      </c>
      <c r="C460">
        <v>6643.3247613290396</v>
      </c>
      <c r="D460">
        <v>4908.3862589220998</v>
      </c>
      <c r="E460">
        <v>6835.9281843970402</v>
      </c>
      <c r="F460">
        <v>10709.6314433158</v>
      </c>
      <c r="G460">
        <v>9634.9265346192406</v>
      </c>
      <c r="H460">
        <v>21472.5138666899</v>
      </c>
      <c r="I460">
        <v>12784.6087976011</v>
      </c>
      <c r="J460">
        <v>969.992178334448</v>
      </c>
      <c r="K460">
        <v>1010.39482118638</v>
      </c>
      <c r="L460">
        <v>594.41103858920906</v>
      </c>
      <c r="M460">
        <v>8190.4800557173103</v>
      </c>
      <c r="N460">
        <v>1792.20301735413</v>
      </c>
      <c r="O460">
        <v>457.29983281838901</v>
      </c>
      <c r="P460">
        <v>1041.34058903448</v>
      </c>
      <c r="Q460">
        <v>6286.8639276792101</v>
      </c>
      <c r="R460">
        <v>601.02408569289196</v>
      </c>
      <c r="S460">
        <v>322.82731009563298</v>
      </c>
      <c r="T460">
        <v>240.38263889048301</v>
      </c>
      <c r="U460">
        <v>165.16490985978999</v>
      </c>
      <c r="V460">
        <v>242.24653264196701</v>
      </c>
      <c r="W460">
        <v>166.557331403186</v>
      </c>
      <c r="X460">
        <v>181.16836660016401</v>
      </c>
      <c r="Y460">
        <v>476.882277536402</v>
      </c>
      <c r="Z460">
        <v>177.70291008351199</v>
      </c>
      <c r="AA460">
        <v>508.26186606316497</v>
      </c>
      <c r="AB460">
        <v>585.99440897339502</v>
      </c>
      <c r="AC460">
        <v>459.32471132775402</v>
      </c>
      <c r="AD460">
        <v>520.28155325211503</v>
      </c>
      <c r="AE460">
        <v>452.44739744207197</v>
      </c>
      <c r="AF460">
        <v>375.569826744095</v>
      </c>
      <c r="AG460">
        <v>538.08082141434704</v>
      </c>
    </row>
    <row r="461" spans="1:33" x14ac:dyDescent="0.25">
      <c r="A461" s="1">
        <v>44512</v>
      </c>
      <c r="B461">
        <v>6451.4003464650104</v>
      </c>
      <c r="C461">
        <v>6386.7999109661896</v>
      </c>
      <c r="D461">
        <v>5280.9981632359404</v>
      </c>
      <c r="E461">
        <v>7127.7910876455899</v>
      </c>
      <c r="F461">
        <v>10634.725914733101</v>
      </c>
      <c r="G461">
        <v>9742.5188806440292</v>
      </c>
      <c r="H461">
        <v>21768.839747437502</v>
      </c>
      <c r="I461">
        <v>12826.720132573</v>
      </c>
      <c r="J461">
        <v>983.408534586933</v>
      </c>
      <c r="K461">
        <v>1007.69233528707</v>
      </c>
      <c r="L461">
        <v>585.59156844607003</v>
      </c>
      <c r="M461">
        <v>8268.2513508579104</v>
      </c>
      <c r="N461">
        <v>1690.9734267519</v>
      </c>
      <c r="O461">
        <v>444.41524106023297</v>
      </c>
      <c r="P461">
        <v>1077.6450250376699</v>
      </c>
      <c r="Q461">
        <v>6317.4126461846599</v>
      </c>
      <c r="R461">
        <v>602.70671801741901</v>
      </c>
      <c r="S461">
        <v>316.914141897403</v>
      </c>
      <c r="T461">
        <v>233.20944781199799</v>
      </c>
      <c r="U461">
        <v>168.85842591452399</v>
      </c>
      <c r="V461">
        <v>220.854376107485</v>
      </c>
      <c r="W461">
        <v>172.723244249869</v>
      </c>
      <c r="X461">
        <v>176.93422355863001</v>
      </c>
      <c r="Y461">
        <v>507.29954347883802</v>
      </c>
      <c r="Z461">
        <v>176.87046024358401</v>
      </c>
      <c r="AA461">
        <v>502.383571233738</v>
      </c>
      <c r="AB461">
        <v>578.07126149155397</v>
      </c>
      <c r="AC461">
        <v>466.26041156379603</v>
      </c>
      <c r="AD461">
        <v>512.02603933036198</v>
      </c>
      <c r="AE461">
        <v>442.65560298312602</v>
      </c>
      <c r="AF461">
        <v>374.79895450959401</v>
      </c>
      <c r="AG461">
        <v>526.70612960180404</v>
      </c>
    </row>
    <row r="462" spans="1:33" x14ac:dyDescent="0.25">
      <c r="A462" s="1">
        <v>44513</v>
      </c>
      <c r="B462">
        <v>6666.1706243000099</v>
      </c>
      <c r="C462">
        <v>6309.8813044202197</v>
      </c>
      <c r="D462">
        <v>5620.6185320334498</v>
      </c>
      <c r="E462">
        <v>7452.3935009373699</v>
      </c>
      <c r="F462">
        <v>10705.563550622801</v>
      </c>
      <c r="G462">
        <v>9875.6090294536298</v>
      </c>
      <c r="H462">
        <v>22131.523264854899</v>
      </c>
      <c r="I462">
        <v>12893.428202449801</v>
      </c>
      <c r="J462">
        <v>1001.13750874855</v>
      </c>
      <c r="K462">
        <v>996.074789772543</v>
      </c>
      <c r="L462">
        <v>579.65053919985098</v>
      </c>
      <c r="M462">
        <v>8374.0565333487702</v>
      </c>
      <c r="N462">
        <v>1569.72478967402</v>
      </c>
      <c r="O462">
        <v>448.48303894153599</v>
      </c>
      <c r="P462">
        <v>1123.76570919904</v>
      </c>
      <c r="Q462">
        <v>6292.3216944824799</v>
      </c>
      <c r="R462">
        <v>605.30969249610803</v>
      </c>
      <c r="S462">
        <v>311.93172300199899</v>
      </c>
      <c r="T462">
        <v>224.116061562022</v>
      </c>
      <c r="U462">
        <v>168.86057258265399</v>
      </c>
      <c r="V462">
        <v>190.86540223343499</v>
      </c>
      <c r="W462">
        <v>162.02087692957099</v>
      </c>
      <c r="X462">
        <v>171.59037653502401</v>
      </c>
      <c r="Y462">
        <v>496.25277074746799</v>
      </c>
      <c r="Z462">
        <v>171.83908879759699</v>
      </c>
      <c r="AA462">
        <v>497.130231174301</v>
      </c>
      <c r="AB462">
        <v>588.55581623389003</v>
      </c>
      <c r="AC462">
        <v>470.313699544283</v>
      </c>
      <c r="AD462">
        <v>504.63515584640402</v>
      </c>
      <c r="AE462">
        <v>443.486192338759</v>
      </c>
      <c r="AF462">
        <v>375.29872534728497</v>
      </c>
      <c r="AG462">
        <v>516.86766889743399</v>
      </c>
    </row>
    <row r="463" spans="1:33" x14ac:dyDescent="0.25">
      <c r="A463" s="1">
        <v>44514</v>
      </c>
      <c r="B463">
        <v>7146.1564571668396</v>
      </c>
      <c r="C463">
        <v>6292.9346891195501</v>
      </c>
      <c r="D463">
        <v>5932.2566094207104</v>
      </c>
      <c r="E463">
        <v>7847.1283182147399</v>
      </c>
      <c r="F463">
        <v>10985.3116253468</v>
      </c>
      <c r="G463">
        <v>10214.303454511901</v>
      </c>
      <c r="H463">
        <v>22367.819680249799</v>
      </c>
      <c r="I463">
        <v>13030.778957615899</v>
      </c>
      <c r="J463">
        <v>1025.9980498689399</v>
      </c>
      <c r="K463">
        <v>997.03341635345203</v>
      </c>
      <c r="L463">
        <v>591.51717660561405</v>
      </c>
      <c r="M463">
        <v>8671.5262079245404</v>
      </c>
      <c r="N463">
        <v>1507.6079285086801</v>
      </c>
      <c r="O463">
        <v>527.57970636811399</v>
      </c>
      <c r="P463">
        <v>1188.7739856411399</v>
      </c>
      <c r="Q463">
        <v>6394.38771457653</v>
      </c>
      <c r="R463">
        <v>654.35787256235699</v>
      </c>
      <c r="S463">
        <v>305.01873362555301</v>
      </c>
      <c r="T463">
        <v>215.46217918816001</v>
      </c>
      <c r="U463">
        <v>166.18127655607699</v>
      </c>
      <c r="V463">
        <v>181.98223724825101</v>
      </c>
      <c r="W463">
        <v>166.18268042716701</v>
      </c>
      <c r="X463">
        <v>168.09151338606401</v>
      </c>
      <c r="Y463">
        <v>512.51294637991805</v>
      </c>
      <c r="Z463">
        <v>170.44597702530001</v>
      </c>
      <c r="AA463">
        <v>492.76369103819201</v>
      </c>
      <c r="AB463">
        <v>576.15806794889397</v>
      </c>
      <c r="AC463">
        <v>470.12763724981102</v>
      </c>
      <c r="AD463">
        <v>514.837613415443</v>
      </c>
      <c r="AE463">
        <v>454.802267377134</v>
      </c>
      <c r="AF463">
        <v>376.79165168198398</v>
      </c>
      <c r="AG463">
        <v>508.76452641885902</v>
      </c>
    </row>
    <row r="464" spans="1:33" x14ac:dyDescent="0.25">
      <c r="A464" s="1">
        <v>44515</v>
      </c>
      <c r="B464">
        <v>7712.11977448785</v>
      </c>
      <c r="C464">
        <v>6303.43433359759</v>
      </c>
      <c r="D464">
        <v>6499.1343272902895</v>
      </c>
      <c r="E464">
        <v>8468.6184206365706</v>
      </c>
      <c r="F464">
        <v>11608.770575803799</v>
      </c>
      <c r="G464">
        <v>11393.740579925699</v>
      </c>
      <c r="H464">
        <v>24064.0448204192</v>
      </c>
      <c r="I464">
        <v>13297.174988728601</v>
      </c>
      <c r="J464">
        <v>1072.0605926025901</v>
      </c>
      <c r="K464">
        <v>993.43406498356205</v>
      </c>
      <c r="L464">
        <v>632.785546124603</v>
      </c>
      <c r="M464">
        <v>9585.0834724953802</v>
      </c>
      <c r="N464">
        <v>1751.46448009184</v>
      </c>
      <c r="O464">
        <v>617.89116809106804</v>
      </c>
      <c r="P464">
        <v>1303.2674957561701</v>
      </c>
      <c r="Q464">
        <v>7445.4424370880497</v>
      </c>
      <c r="R464">
        <v>728.72207105295195</v>
      </c>
      <c r="S464">
        <v>295.36251656037098</v>
      </c>
      <c r="T464">
        <v>213.02240914295299</v>
      </c>
      <c r="U464">
        <v>169.993750881323</v>
      </c>
      <c r="V464">
        <v>199.057604963247</v>
      </c>
      <c r="W464">
        <v>160.65552352438399</v>
      </c>
      <c r="X464">
        <v>170.192969389956</v>
      </c>
      <c r="Y464">
        <v>530.87080720582696</v>
      </c>
      <c r="Z464">
        <v>171.46868218898101</v>
      </c>
      <c r="AA464">
        <v>487.92966895785401</v>
      </c>
      <c r="AB464">
        <v>565.769418192839</v>
      </c>
      <c r="AC464">
        <v>466.69537248735202</v>
      </c>
      <c r="AD464">
        <v>550.42953761105696</v>
      </c>
      <c r="AE464">
        <v>482.10709959467903</v>
      </c>
      <c r="AF464">
        <v>380.03497035247699</v>
      </c>
      <c r="AG464">
        <v>503.44684218678901</v>
      </c>
    </row>
    <row r="465" spans="1:33" x14ac:dyDescent="0.25">
      <c r="A465" s="1">
        <v>44516</v>
      </c>
      <c r="B465">
        <v>8251.77030563273</v>
      </c>
      <c r="C465">
        <v>6353.0916129675797</v>
      </c>
      <c r="D465">
        <v>6959.6186686627598</v>
      </c>
      <c r="E465">
        <v>8975.2569897676094</v>
      </c>
      <c r="F465">
        <v>12663.925782863</v>
      </c>
      <c r="G465">
        <v>12369.979572406801</v>
      </c>
      <c r="H465">
        <v>24928.587356322099</v>
      </c>
      <c r="I465">
        <v>13735.049956537599</v>
      </c>
      <c r="J465">
        <v>1129.5845034618801</v>
      </c>
      <c r="K465">
        <v>989.2852691178</v>
      </c>
      <c r="L465">
        <v>684.06799116700995</v>
      </c>
      <c r="M465">
        <v>10478.9650691762</v>
      </c>
      <c r="N465">
        <v>2111.9869737641702</v>
      </c>
      <c r="O465">
        <v>691.73749523819504</v>
      </c>
      <c r="P465">
        <v>1425.4092159439899</v>
      </c>
      <c r="Q465">
        <v>8430.4870162831303</v>
      </c>
      <c r="R465">
        <v>798.84424458828096</v>
      </c>
      <c r="S465">
        <v>287.18106179621401</v>
      </c>
      <c r="T465">
        <v>215.18208543691</v>
      </c>
      <c r="U465">
        <v>167.90912458315199</v>
      </c>
      <c r="V465">
        <v>207.039277251741</v>
      </c>
      <c r="W465">
        <v>154.49067937433</v>
      </c>
      <c r="X465">
        <v>172.286148796822</v>
      </c>
      <c r="Y465">
        <v>531.94292079582397</v>
      </c>
      <c r="Z465">
        <v>172.94744018678</v>
      </c>
      <c r="AA465">
        <v>481.08472764728498</v>
      </c>
      <c r="AB465">
        <v>570.89693695623498</v>
      </c>
      <c r="AC465">
        <v>460.309410446605</v>
      </c>
      <c r="AD465">
        <v>593.53251093965298</v>
      </c>
      <c r="AE465">
        <v>490.49822408889099</v>
      </c>
      <c r="AF465">
        <v>384.92118459659599</v>
      </c>
      <c r="AG465">
        <v>498.45859932830098</v>
      </c>
    </row>
    <row r="466" spans="1:33" x14ac:dyDescent="0.25">
      <c r="A466" s="1">
        <v>44517</v>
      </c>
      <c r="B466">
        <v>8652.6558101278697</v>
      </c>
      <c r="C466">
        <v>6520.60889739922</v>
      </c>
      <c r="D466">
        <v>7444.5736218434404</v>
      </c>
      <c r="E466">
        <v>9496.2318211900001</v>
      </c>
      <c r="F466">
        <v>13377.6434444274</v>
      </c>
      <c r="G466">
        <v>13189.2209771245</v>
      </c>
      <c r="H466">
        <v>25400.808012715799</v>
      </c>
      <c r="I466">
        <v>14372.263813236599</v>
      </c>
      <c r="J466">
        <v>1180.5193510594099</v>
      </c>
      <c r="K466">
        <v>1009.57789717538</v>
      </c>
      <c r="L466">
        <v>716.44769900594304</v>
      </c>
      <c r="M466">
        <v>11258.324655484201</v>
      </c>
      <c r="N466">
        <v>2548.6153277765802</v>
      </c>
      <c r="O466">
        <v>728.11928936689799</v>
      </c>
      <c r="P466">
        <v>1525.2406799688499</v>
      </c>
      <c r="Q466">
        <v>9206.1385124858298</v>
      </c>
      <c r="R466">
        <v>843.35589294726901</v>
      </c>
      <c r="S466">
        <v>281.08440655074799</v>
      </c>
      <c r="T466">
        <v>227.34011962547601</v>
      </c>
      <c r="U466">
        <v>170.506573354355</v>
      </c>
      <c r="V466">
        <v>230.111703562325</v>
      </c>
      <c r="W466">
        <v>150.05518020704301</v>
      </c>
      <c r="X466">
        <v>172.300653939726</v>
      </c>
      <c r="Y466">
        <v>525.18524395771897</v>
      </c>
      <c r="Z466">
        <v>174.23649173663301</v>
      </c>
      <c r="AA466">
        <v>477.19777983549102</v>
      </c>
      <c r="AB466">
        <v>567.19842757293895</v>
      </c>
      <c r="AC466">
        <v>456.75595571099097</v>
      </c>
      <c r="AD466">
        <v>627.22227627310997</v>
      </c>
      <c r="AE466">
        <v>501.92867630229199</v>
      </c>
      <c r="AF466">
        <v>387.366485115079</v>
      </c>
      <c r="AG466">
        <v>495.69228613374997</v>
      </c>
    </row>
    <row r="467" spans="1:33" x14ac:dyDescent="0.25">
      <c r="A467" s="1">
        <v>44518</v>
      </c>
      <c r="B467">
        <v>9066.0179952931194</v>
      </c>
      <c r="C467">
        <v>6809.3359600657805</v>
      </c>
      <c r="D467">
        <v>7968.0528816309798</v>
      </c>
      <c r="E467">
        <v>10107.1468902088</v>
      </c>
      <c r="F467">
        <v>13906.238029164801</v>
      </c>
      <c r="G467">
        <v>13885.1508896998</v>
      </c>
      <c r="H467">
        <v>26200.6784464876</v>
      </c>
      <c r="I467">
        <v>15022.597578655001</v>
      </c>
      <c r="J467">
        <v>1236.6877995096399</v>
      </c>
      <c r="K467">
        <v>1027.41000482716</v>
      </c>
      <c r="L467">
        <v>746.56034594471396</v>
      </c>
      <c r="M467">
        <v>11944.7261180677</v>
      </c>
      <c r="N467">
        <v>3128.0996473905898</v>
      </c>
      <c r="O467">
        <v>769.218832053401</v>
      </c>
      <c r="P467">
        <v>1640.2860628646699</v>
      </c>
      <c r="Q467">
        <v>9960.7714759806204</v>
      </c>
      <c r="R467">
        <v>882.18733388675503</v>
      </c>
      <c r="S467">
        <v>274.61436496408999</v>
      </c>
      <c r="T467">
        <v>263.64236902305299</v>
      </c>
      <c r="U467">
        <v>169.762893899625</v>
      </c>
      <c r="V467">
        <v>282.77958944205801</v>
      </c>
      <c r="W467">
        <v>145.81634167773299</v>
      </c>
      <c r="X467">
        <v>185.05362901620501</v>
      </c>
      <c r="Y467">
        <v>526.96572291784196</v>
      </c>
      <c r="Z467">
        <v>175.33438673791099</v>
      </c>
      <c r="AA467">
        <v>473.405354005672</v>
      </c>
      <c r="AB467">
        <v>559.95242921560896</v>
      </c>
      <c r="AC467">
        <v>456.03786566790001</v>
      </c>
      <c r="AD467">
        <v>656.24109898321501</v>
      </c>
      <c r="AE467">
        <v>518.63920049439298</v>
      </c>
      <c r="AF467">
        <v>390.14277730515801</v>
      </c>
      <c r="AG467">
        <v>494.69706152658301</v>
      </c>
    </row>
    <row r="468" spans="1:33" x14ac:dyDescent="0.25">
      <c r="A468" s="1">
        <v>44519</v>
      </c>
      <c r="B468">
        <v>9501.4009003380907</v>
      </c>
      <c r="C468">
        <v>7132.3752879085496</v>
      </c>
      <c r="D468">
        <v>8396.7253855138406</v>
      </c>
      <c r="E468">
        <v>10658.327422725801</v>
      </c>
      <c r="F468">
        <v>14451.9421820234</v>
      </c>
      <c r="G468">
        <v>14309.922437987299</v>
      </c>
      <c r="H468">
        <v>26591.792564608098</v>
      </c>
      <c r="I468">
        <v>15560.9517070283</v>
      </c>
      <c r="J468">
        <v>1288.5229645381901</v>
      </c>
      <c r="K468">
        <v>1042.53056465906</v>
      </c>
      <c r="L468">
        <v>779.51844756146795</v>
      </c>
      <c r="M468">
        <v>12515.767818505299</v>
      </c>
      <c r="N468">
        <v>3655.21500937567</v>
      </c>
      <c r="O468">
        <v>794.13107803695198</v>
      </c>
      <c r="P468">
        <v>1751.65959137551</v>
      </c>
      <c r="Q468">
        <v>10553.5959931458</v>
      </c>
      <c r="R468">
        <v>920.88447513440804</v>
      </c>
      <c r="S468">
        <v>269.030896345732</v>
      </c>
      <c r="T468">
        <v>315.87898596382399</v>
      </c>
      <c r="U468">
        <v>157.09976478874199</v>
      </c>
      <c r="V468">
        <v>353.11024578981602</v>
      </c>
      <c r="W468">
        <v>151.07419219689399</v>
      </c>
      <c r="X468">
        <v>216.320769188105</v>
      </c>
      <c r="Y468">
        <v>528.71491410205397</v>
      </c>
      <c r="Z468">
        <v>175.50417652537899</v>
      </c>
      <c r="AA468">
        <v>469.93685022229897</v>
      </c>
      <c r="AB468">
        <v>556.18269536333298</v>
      </c>
      <c r="AC468">
        <v>456.50474795022802</v>
      </c>
      <c r="AD468">
        <v>683.425391920435</v>
      </c>
      <c r="AE468">
        <v>527.20940860983706</v>
      </c>
      <c r="AF468">
        <v>392.623894703818</v>
      </c>
      <c r="AG468">
        <v>494.02743210671201</v>
      </c>
    </row>
    <row r="469" spans="1:33" x14ac:dyDescent="0.25">
      <c r="A469" s="1">
        <v>44520</v>
      </c>
      <c r="B469">
        <v>9796.4606053179996</v>
      </c>
      <c r="C469">
        <v>7641.6290259611897</v>
      </c>
      <c r="D469">
        <v>8523.7491798039991</v>
      </c>
      <c r="E469">
        <v>10939.403812938701</v>
      </c>
      <c r="F469">
        <v>14544.087064695001</v>
      </c>
      <c r="G469">
        <v>14010.629966565501</v>
      </c>
      <c r="H469">
        <v>25875.081666349699</v>
      </c>
      <c r="I469">
        <v>16084.890224098701</v>
      </c>
      <c r="J469">
        <v>1318.1601747981899</v>
      </c>
      <c r="K469">
        <v>1054.31614102203</v>
      </c>
      <c r="L469">
        <v>781.23609469658004</v>
      </c>
      <c r="M469">
        <v>12344.3961444086</v>
      </c>
      <c r="N469">
        <v>3623.2295641172</v>
      </c>
      <c r="O469">
        <v>764.40197138551105</v>
      </c>
      <c r="P469">
        <v>1747.1643076575599</v>
      </c>
      <c r="Q469">
        <v>10339.237514927199</v>
      </c>
      <c r="R469">
        <v>915.76576315493901</v>
      </c>
      <c r="S469">
        <v>267.32495268462401</v>
      </c>
      <c r="T469">
        <v>341.10755104448401</v>
      </c>
      <c r="U469">
        <v>153.402386216678</v>
      </c>
      <c r="V469">
        <v>396.28752374334198</v>
      </c>
      <c r="W469">
        <v>161.53381924325001</v>
      </c>
      <c r="X469">
        <v>234.44817843178399</v>
      </c>
      <c r="Y469">
        <v>523.84023601414003</v>
      </c>
      <c r="Z469">
        <v>174.358428935554</v>
      </c>
      <c r="AA469">
        <v>467.28915086957301</v>
      </c>
      <c r="AB469">
        <v>550.74541007289395</v>
      </c>
      <c r="AC469">
        <v>460.29917277290002</v>
      </c>
      <c r="AD469">
        <v>678.93854074245905</v>
      </c>
      <c r="AE469">
        <v>539.57469658111404</v>
      </c>
      <c r="AF469">
        <v>392.65611839174898</v>
      </c>
      <c r="AG469">
        <v>493.39712417647701</v>
      </c>
    </row>
    <row r="470" spans="1:33" x14ac:dyDescent="0.25">
      <c r="A470" s="1">
        <v>44521</v>
      </c>
      <c r="B470">
        <v>10079.2983202049</v>
      </c>
      <c r="C470">
        <v>8159.1491292657201</v>
      </c>
      <c r="D470">
        <v>8755.5919381720105</v>
      </c>
      <c r="E470">
        <v>11214.0176904125</v>
      </c>
      <c r="F470">
        <v>14366.360012052301</v>
      </c>
      <c r="G470">
        <v>13881.723359171299</v>
      </c>
      <c r="H470">
        <v>25352.310448298798</v>
      </c>
      <c r="I470">
        <v>16380.080669453801</v>
      </c>
      <c r="J470">
        <v>1336.6155501287201</v>
      </c>
      <c r="K470">
        <v>1076.3046330618399</v>
      </c>
      <c r="L470">
        <v>771.62773422234295</v>
      </c>
      <c r="M470">
        <v>12290.0696831563</v>
      </c>
      <c r="N470">
        <v>3674.23179033017</v>
      </c>
      <c r="O470">
        <v>714.97316456244801</v>
      </c>
      <c r="P470">
        <v>1745.47152236754</v>
      </c>
      <c r="Q470">
        <v>10123.4755570205</v>
      </c>
      <c r="R470">
        <v>892.44090559867004</v>
      </c>
      <c r="S470">
        <v>265.40682638814599</v>
      </c>
      <c r="T470">
        <v>353.62851159400401</v>
      </c>
      <c r="U470">
        <v>161.72841633479601</v>
      </c>
      <c r="V470">
        <v>413.23086777679202</v>
      </c>
      <c r="W470">
        <v>163.09608191879201</v>
      </c>
      <c r="X470">
        <v>238.27201213173299</v>
      </c>
      <c r="Y470">
        <v>525.19498140970302</v>
      </c>
      <c r="Z470">
        <v>173.413555466502</v>
      </c>
      <c r="AA470">
        <v>466.21959872815199</v>
      </c>
      <c r="AB470">
        <v>549.25900295799795</v>
      </c>
      <c r="AC470">
        <v>465.902258538073</v>
      </c>
      <c r="AD470">
        <v>668.00209923227203</v>
      </c>
      <c r="AE470">
        <v>542.96266516906701</v>
      </c>
      <c r="AF470">
        <v>392.06965802537201</v>
      </c>
      <c r="AG470">
        <v>493.13879865894597</v>
      </c>
    </row>
    <row r="471" spans="1:33" x14ac:dyDescent="0.25">
      <c r="A471" s="1">
        <v>44522</v>
      </c>
      <c r="B471">
        <v>10393.7437274943</v>
      </c>
      <c r="C471">
        <v>8714.31919654372</v>
      </c>
      <c r="D471">
        <v>9303.0688252104701</v>
      </c>
      <c r="E471">
        <v>11898.711931661701</v>
      </c>
      <c r="F471">
        <v>14326.856186151301</v>
      </c>
      <c r="G471">
        <v>14510.9500889435</v>
      </c>
      <c r="H471">
        <v>26590.729088401698</v>
      </c>
      <c r="I471">
        <v>16605.7895811946</v>
      </c>
      <c r="J471">
        <v>1369.4056644643499</v>
      </c>
      <c r="K471">
        <v>1114.83734411929</v>
      </c>
      <c r="L471">
        <v>791.82154563573999</v>
      </c>
      <c r="M471">
        <v>12907.8232026039</v>
      </c>
      <c r="N471">
        <v>4237.9198978493996</v>
      </c>
      <c r="O471">
        <v>730.85175985021499</v>
      </c>
      <c r="P471">
        <v>1898.7401935443399</v>
      </c>
      <c r="Q471">
        <v>10780.9248524786</v>
      </c>
      <c r="R471">
        <v>923.47308358738303</v>
      </c>
      <c r="S471">
        <v>261.97428476700298</v>
      </c>
      <c r="T471">
        <v>443.99179702756902</v>
      </c>
      <c r="U471">
        <v>163.30437499416499</v>
      </c>
      <c r="V471">
        <v>549.08088180934305</v>
      </c>
      <c r="W471">
        <v>162.30998374572999</v>
      </c>
      <c r="X471">
        <v>323.58910016654198</v>
      </c>
      <c r="Y471">
        <v>531.20659597940096</v>
      </c>
      <c r="Z471">
        <v>172.932316996048</v>
      </c>
      <c r="AA471">
        <v>465.44315654649898</v>
      </c>
      <c r="AB471">
        <v>551.823855927311</v>
      </c>
      <c r="AC471">
        <v>468.35936202818101</v>
      </c>
      <c r="AD471">
        <v>692.13318776814697</v>
      </c>
      <c r="AE471">
        <v>557.84455196786701</v>
      </c>
      <c r="AF471">
        <v>393.80783627810098</v>
      </c>
      <c r="AG471">
        <v>492.86681282027303</v>
      </c>
    </row>
    <row r="472" spans="1:33" x14ac:dyDescent="0.25">
      <c r="A472" s="1">
        <v>44523</v>
      </c>
      <c r="B472">
        <v>10844.859142964</v>
      </c>
      <c r="C472">
        <v>9169.7209105003803</v>
      </c>
      <c r="D472">
        <v>9641.0833627318807</v>
      </c>
      <c r="E472">
        <v>12325.4023220039</v>
      </c>
      <c r="F472">
        <v>14885.040488983401</v>
      </c>
      <c r="G472">
        <v>15072.610991699201</v>
      </c>
      <c r="H472">
        <v>27495.479389736902</v>
      </c>
      <c r="I472">
        <v>16808.8956112575</v>
      </c>
      <c r="J472">
        <v>1416.5695446345601</v>
      </c>
      <c r="K472">
        <v>1128.1826999924399</v>
      </c>
      <c r="L472">
        <v>813.770301320307</v>
      </c>
      <c r="M472">
        <v>13488.198740797699</v>
      </c>
      <c r="N472">
        <v>4618.9561233530203</v>
      </c>
      <c r="O472">
        <v>800.80230979162104</v>
      </c>
      <c r="P472">
        <v>2000.9324464282199</v>
      </c>
      <c r="Q472">
        <v>11260.146261404199</v>
      </c>
      <c r="R472">
        <v>992.75174592158498</v>
      </c>
      <c r="S472">
        <v>257.607170698495</v>
      </c>
      <c r="T472">
        <v>503.163079265242</v>
      </c>
      <c r="U472">
        <v>162.12374257868399</v>
      </c>
      <c r="V472">
        <v>592.17386489981595</v>
      </c>
      <c r="W472">
        <v>161.563337766096</v>
      </c>
      <c r="X472">
        <v>333.68998410371</v>
      </c>
      <c r="Y472">
        <v>535.88224179280303</v>
      </c>
      <c r="Z472">
        <v>173.290437293454</v>
      </c>
      <c r="AA472">
        <v>466.87327175285498</v>
      </c>
      <c r="AB472">
        <v>555.50635599090197</v>
      </c>
      <c r="AC472">
        <v>469.12990976548502</v>
      </c>
      <c r="AD472">
        <v>710.02822484377702</v>
      </c>
      <c r="AE472">
        <v>578.52327778168399</v>
      </c>
      <c r="AF472">
        <v>396.14321290967899</v>
      </c>
      <c r="AG472">
        <v>491.773354155172</v>
      </c>
    </row>
    <row r="473" spans="1:33" x14ac:dyDescent="0.25">
      <c r="A473" s="1">
        <v>44524</v>
      </c>
      <c r="B473">
        <v>11029.3938256277</v>
      </c>
      <c r="C473">
        <v>9652.0344622430403</v>
      </c>
      <c r="D473">
        <v>9550.2246308991598</v>
      </c>
      <c r="E473">
        <v>12274.298115646299</v>
      </c>
      <c r="F473">
        <v>14954.402509580201</v>
      </c>
      <c r="G473">
        <v>14431.8928245754</v>
      </c>
      <c r="H473">
        <v>26786.794121364201</v>
      </c>
      <c r="I473">
        <v>17299.949946083099</v>
      </c>
      <c r="J473">
        <v>1419.7149639116799</v>
      </c>
      <c r="K473">
        <v>1132.9138337050899</v>
      </c>
      <c r="L473">
        <v>803.60439002762496</v>
      </c>
      <c r="M473">
        <v>12840.6364792124</v>
      </c>
      <c r="N473">
        <v>4123.5608375009097</v>
      </c>
      <c r="O473">
        <v>787.35671703676701</v>
      </c>
      <c r="P473">
        <v>1993.8388331824201</v>
      </c>
      <c r="Q473">
        <v>10714.6598906814</v>
      </c>
      <c r="R473">
        <v>981.91373278208505</v>
      </c>
      <c r="S473">
        <v>253.74096730556701</v>
      </c>
      <c r="T473">
        <v>440.16863251379601</v>
      </c>
      <c r="U473">
        <v>162.10454170044599</v>
      </c>
      <c r="V473">
        <v>355.00130887913099</v>
      </c>
      <c r="W473">
        <v>174.79880278644299</v>
      </c>
      <c r="X473">
        <v>181.19357554565099</v>
      </c>
      <c r="Y473">
        <v>535.54229499512303</v>
      </c>
      <c r="Z473">
        <v>174.367843513547</v>
      </c>
      <c r="AA473">
        <v>471.18922830100797</v>
      </c>
      <c r="AB473">
        <v>556.22895480677505</v>
      </c>
      <c r="AC473">
        <v>474.360450501466</v>
      </c>
      <c r="AD473">
        <v>701.60204187535703</v>
      </c>
      <c r="AE473">
        <v>594.20266975008997</v>
      </c>
      <c r="AF473">
        <v>394.82393375749098</v>
      </c>
      <c r="AG473">
        <v>492.51373628556502</v>
      </c>
    </row>
    <row r="474" spans="1:33" x14ac:dyDescent="0.25">
      <c r="A474" s="1">
        <v>44525</v>
      </c>
      <c r="B474">
        <v>11211.914703103201</v>
      </c>
      <c r="C474">
        <v>10186.498390255399</v>
      </c>
      <c r="D474">
        <v>9464.33962854128</v>
      </c>
      <c r="E474">
        <v>12167.4826384476</v>
      </c>
      <c r="F474">
        <v>14335.825853320801</v>
      </c>
      <c r="G474">
        <v>13948.934596679601</v>
      </c>
      <c r="H474">
        <v>26376.4856248203</v>
      </c>
      <c r="I474">
        <v>17405.514313180502</v>
      </c>
      <c r="J474">
        <v>1416.5592590444201</v>
      </c>
      <c r="K474">
        <v>1171.3834376182999</v>
      </c>
      <c r="L474">
        <v>795.02482381115203</v>
      </c>
      <c r="M474">
        <v>12309.744212985701</v>
      </c>
      <c r="N474">
        <v>3567.60974834337</v>
      </c>
      <c r="O474">
        <v>760.17284957665299</v>
      </c>
      <c r="P474">
        <v>1884.48645705694</v>
      </c>
      <c r="Q474">
        <v>10051.198002859801</v>
      </c>
      <c r="R474">
        <v>948.97961942573204</v>
      </c>
      <c r="S474">
        <v>256.07028314666599</v>
      </c>
      <c r="T474">
        <v>360.28525659908598</v>
      </c>
      <c r="U474">
        <v>162.24577239778</v>
      </c>
      <c r="V474">
        <v>308.293653762014</v>
      </c>
      <c r="W474">
        <v>177.99585099822801</v>
      </c>
      <c r="X474">
        <v>178.48922143967999</v>
      </c>
      <c r="Y474">
        <v>534.07464944754997</v>
      </c>
      <c r="Z474">
        <v>172.569931303917</v>
      </c>
      <c r="AA474">
        <v>475.46416743913198</v>
      </c>
      <c r="AB474">
        <v>553.847261869205</v>
      </c>
      <c r="AC474">
        <v>479.72090176770098</v>
      </c>
      <c r="AD474">
        <v>695.89956665691398</v>
      </c>
      <c r="AE474">
        <v>585.39119421330497</v>
      </c>
      <c r="AF474">
        <v>393.34553309380902</v>
      </c>
      <c r="AG474">
        <v>494.99114923587803</v>
      </c>
    </row>
    <row r="475" spans="1:33" x14ac:dyDescent="0.25">
      <c r="A475" s="1">
        <v>44526</v>
      </c>
      <c r="B475">
        <v>11528.975145452499</v>
      </c>
      <c r="C475">
        <v>10484.1608189784</v>
      </c>
      <c r="D475">
        <v>9782.8239475672108</v>
      </c>
      <c r="E475">
        <v>12464.076034535799</v>
      </c>
      <c r="F475">
        <v>14153.8408285225</v>
      </c>
      <c r="G475">
        <v>14063.1601287883</v>
      </c>
      <c r="H475">
        <v>27095.103038416499</v>
      </c>
      <c r="I475">
        <v>17307.9538472608</v>
      </c>
      <c r="J475">
        <v>1425.5082993334299</v>
      </c>
      <c r="K475">
        <v>1195.23008200341</v>
      </c>
      <c r="L475">
        <v>804.31391159885595</v>
      </c>
      <c r="M475">
        <v>12370.9459164825</v>
      </c>
      <c r="N475">
        <v>3508.3012901382299</v>
      </c>
      <c r="O475">
        <v>771.780041971429</v>
      </c>
      <c r="P475">
        <v>1875.4257108558099</v>
      </c>
      <c r="Q475">
        <v>10047.1744727883</v>
      </c>
      <c r="R475">
        <v>950.67237664153004</v>
      </c>
      <c r="S475">
        <v>254.02568095580699</v>
      </c>
      <c r="T475">
        <v>351.79066687087499</v>
      </c>
      <c r="U475">
        <v>171.07055590178601</v>
      </c>
      <c r="V475">
        <v>393.02818711732402</v>
      </c>
      <c r="W475">
        <v>176.17475521827501</v>
      </c>
      <c r="X475">
        <v>223.30631877737301</v>
      </c>
      <c r="Y475">
        <v>537.71187638798096</v>
      </c>
      <c r="Z475">
        <v>168.30329415654799</v>
      </c>
      <c r="AA475">
        <v>478.87073682741902</v>
      </c>
      <c r="AB475">
        <v>557.78354163042195</v>
      </c>
      <c r="AC475">
        <v>484.00554987732897</v>
      </c>
      <c r="AD475">
        <v>703.89705107548104</v>
      </c>
      <c r="AE475">
        <v>589.90870121144599</v>
      </c>
      <c r="AF475">
        <v>393.50910213231498</v>
      </c>
      <c r="AG475">
        <v>498.76575392878499</v>
      </c>
    </row>
    <row r="476" spans="1:33" x14ac:dyDescent="0.25">
      <c r="A476" s="1">
        <v>44527</v>
      </c>
      <c r="B476">
        <v>11989.360348435401</v>
      </c>
      <c r="C476">
        <v>10466.232234011701</v>
      </c>
      <c r="D476">
        <v>10125.0546053052</v>
      </c>
      <c r="E476">
        <v>12665.528174700999</v>
      </c>
      <c r="F476">
        <v>14745.997710218</v>
      </c>
      <c r="G476">
        <v>14588.5408470865</v>
      </c>
      <c r="H476">
        <v>27579.2169774992</v>
      </c>
      <c r="I476">
        <v>17290.450005758499</v>
      </c>
      <c r="J476">
        <v>1441.6134378013601</v>
      </c>
      <c r="K476">
        <v>1209.79704234466</v>
      </c>
      <c r="L476">
        <v>806.023267693501</v>
      </c>
      <c r="M476">
        <v>12596.4457037675</v>
      </c>
      <c r="N476">
        <v>3533.8783006691801</v>
      </c>
      <c r="O476">
        <v>774.00381524651903</v>
      </c>
      <c r="P476">
        <v>1873.95125256715</v>
      </c>
      <c r="Q476">
        <v>10507.167629337</v>
      </c>
      <c r="R476">
        <v>952.63920425357105</v>
      </c>
      <c r="S476">
        <v>250.33107362923499</v>
      </c>
      <c r="T476">
        <v>358.205523093701</v>
      </c>
      <c r="U476">
        <v>177.890009409718</v>
      </c>
      <c r="V476">
        <v>435.453467581876</v>
      </c>
      <c r="W476">
        <v>182.82668006711799</v>
      </c>
      <c r="X476">
        <v>271.73168237238798</v>
      </c>
      <c r="Y476">
        <v>542.32393604861204</v>
      </c>
      <c r="Z476">
        <v>164.69609454882101</v>
      </c>
      <c r="AA476">
        <v>481.93325105052003</v>
      </c>
      <c r="AB476">
        <v>562.76626055552504</v>
      </c>
      <c r="AC476">
        <v>489.51203133825902</v>
      </c>
      <c r="AD476">
        <v>699.33193304156703</v>
      </c>
      <c r="AE476">
        <v>588.67496604747998</v>
      </c>
      <c r="AF476">
        <v>393.85712793519798</v>
      </c>
      <c r="AG476">
        <v>503.40581542561802</v>
      </c>
    </row>
    <row r="477" spans="1:33" x14ac:dyDescent="0.25">
      <c r="A477" s="1">
        <v>44528</v>
      </c>
      <c r="B477">
        <v>12315.8089579931</v>
      </c>
      <c r="C477">
        <v>10352.862029907399</v>
      </c>
      <c r="D477">
        <v>10119.5204810706</v>
      </c>
      <c r="E477">
        <v>12580.0384871315</v>
      </c>
      <c r="F477">
        <v>15050.6168123754</v>
      </c>
      <c r="G477">
        <v>14438.7776466958</v>
      </c>
      <c r="H477">
        <v>26886.5850743013</v>
      </c>
      <c r="I477">
        <v>17377.3456803279</v>
      </c>
      <c r="J477">
        <v>1437.46226728085</v>
      </c>
      <c r="K477">
        <v>1225.6434440927201</v>
      </c>
      <c r="L477">
        <v>787.58862380790697</v>
      </c>
      <c r="M477">
        <v>12454.9344788332</v>
      </c>
      <c r="N477">
        <v>3302.4584995673599</v>
      </c>
      <c r="O477">
        <v>708.84141670410202</v>
      </c>
      <c r="P477">
        <v>1808.9956617293001</v>
      </c>
      <c r="Q477">
        <v>10343.411339336601</v>
      </c>
      <c r="R477">
        <v>917.08951378110805</v>
      </c>
      <c r="S477">
        <v>248.98294560002799</v>
      </c>
      <c r="T477">
        <v>344.00764208380201</v>
      </c>
      <c r="U477">
        <v>183.35338429318099</v>
      </c>
      <c r="V477">
        <v>395.27972314564403</v>
      </c>
      <c r="W477">
        <v>176.71478321434</v>
      </c>
      <c r="X477">
        <v>253.210557742379</v>
      </c>
      <c r="Y477">
        <v>539.95745520528897</v>
      </c>
      <c r="Z477">
        <v>163.40694184095801</v>
      </c>
      <c r="AA477">
        <v>487.90131488760602</v>
      </c>
      <c r="AB477">
        <v>563.50592395350498</v>
      </c>
      <c r="AC477">
        <v>501.91310902206999</v>
      </c>
      <c r="AD477">
        <v>682.07431525261995</v>
      </c>
      <c r="AE477">
        <v>600.30971001011903</v>
      </c>
      <c r="AF477">
        <v>394.05159782604801</v>
      </c>
      <c r="AG477">
        <v>506.46076769756098</v>
      </c>
    </row>
    <row r="478" spans="1:33" x14ac:dyDescent="0.25">
      <c r="A478" s="1">
        <v>44529</v>
      </c>
      <c r="B478">
        <v>12683.874944543601</v>
      </c>
      <c r="C478">
        <v>10293.3320869005</v>
      </c>
      <c r="D478">
        <v>10348.5709461346</v>
      </c>
      <c r="E478">
        <v>12825.7791457726</v>
      </c>
      <c r="F478">
        <v>15330.373934789901</v>
      </c>
      <c r="G478">
        <v>14910.079610647401</v>
      </c>
      <c r="H478">
        <v>27375.480875402201</v>
      </c>
      <c r="I478">
        <v>17546.252831293001</v>
      </c>
      <c r="J478">
        <v>1456.2888817774201</v>
      </c>
      <c r="K478">
        <v>1245.55469296614</v>
      </c>
      <c r="L478">
        <v>784.81362186360798</v>
      </c>
      <c r="M478">
        <v>12780.9305728292</v>
      </c>
      <c r="N478">
        <v>3541.0053484312002</v>
      </c>
      <c r="O478">
        <v>713.16563399351799</v>
      </c>
      <c r="P478">
        <v>1832.20256449201</v>
      </c>
      <c r="Q478">
        <v>10631.0271437999</v>
      </c>
      <c r="R478">
        <v>911.95571215574796</v>
      </c>
      <c r="S478">
        <v>247.50012569860999</v>
      </c>
      <c r="T478">
        <v>364.75648728714498</v>
      </c>
      <c r="U478">
        <v>177.80362532719101</v>
      </c>
      <c r="V478">
        <v>433.217762392655</v>
      </c>
      <c r="W478">
        <v>177.41189273715301</v>
      </c>
      <c r="X478">
        <v>272.38972290112901</v>
      </c>
      <c r="Y478">
        <v>543.05770548738701</v>
      </c>
      <c r="Z478">
        <v>164.05444736348201</v>
      </c>
      <c r="AA478">
        <v>493.30557684540901</v>
      </c>
      <c r="AB478">
        <v>569.27003026208502</v>
      </c>
      <c r="AC478">
        <v>512.60873103197002</v>
      </c>
      <c r="AD478">
        <v>681.25355751600205</v>
      </c>
      <c r="AE478">
        <v>607.84178022863796</v>
      </c>
      <c r="AF478">
        <v>395.02397661103998</v>
      </c>
      <c r="AG478">
        <v>507.35183749125002</v>
      </c>
    </row>
    <row r="479" spans="1:33" x14ac:dyDescent="0.25">
      <c r="A479" s="1">
        <v>44530</v>
      </c>
      <c r="B479">
        <v>12976.8098364004</v>
      </c>
      <c r="C479">
        <v>10691.3913244009</v>
      </c>
      <c r="D479">
        <v>9824.7945767580295</v>
      </c>
      <c r="E479">
        <v>13029.235096316799</v>
      </c>
      <c r="F479">
        <v>15936.1769264374</v>
      </c>
      <c r="G479">
        <v>15586.4431153637</v>
      </c>
      <c r="H479">
        <v>27701.715051285701</v>
      </c>
      <c r="I479">
        <v>17819.072921167801</v>
      </c>
      <c r="J479">
        <v>1496.4307474192101</v>
      </c>
      <c r="K479">
        <v>1259.8607494954399</v>
      </c>
      <c r="L479">
        <v>798.56490204609895</v>
      </c>
      <c r="M479">
        <v>13457.2099256929</v>
      </c>
      <c r="N479">
        <v>4072.3438060815402</v>
      </c>
      <c r="O479">
        <v>756.40292256320799</v>
      </c>
      <c r="P479">
        <v>1926.9961125837001</v>
      </c>
      <c r="Q479">
        <v>11247.1944343265</v>
      </c>
      <c r="R479">
        <v>944.26560175622706</v>
      </c>
      <c r="S479">
        <v>245.73693556216401</v>
      </c>
      <c r="T479">
        <v>419.69553246017199</v>
      </c>
      <c r="U479">
        <v>177.08531149169801</v>
      </c>
      <c r="V479">
        <v>496.70869174832399</v>
      </c>
      <c r="W479">
        <v>175.438912381016</v>
      </c>
      <c r="X479">
        <v>299.73273972937398</v>
      </c>
      <c r="Y479">
        <v>552.01937287712406</v>
      </c>
      <c r="Z479">
        <v>165.121127240281</v>
      </c>
      <c r="AA479">
        <v>498.27181515593003</v>
      </c>
      <c r="AB479">
        <v>576.62701145482094</v>
      </c>
      <c r="AC479">
        <v>520.35227634811599</v>
      </c>
      <c r="AD479">
        <v>694.24431609616295</v>
      </c>
      <c r="AE479">
        <v>614.42962630702004</v>
      </c>
      <c r="AF479">
        <v>396.40710920541198</v>
      </c>
      <c r="AG479">
        <v>507.4002725533</v>
      </c>
    </row>
    <row r="480" spans="1:33" x14ac:dyDescent="0.25">
      <c r="A480" s="1">
        <v>44531</v>
      </c>
      <c r="B480">
        <v>12833.183585705199</v>
      </c>
      <c r="C480">
        <v>10583.3176788378</v>
      </c>
      <c r="D480">
        <v>9589.44697948262</v>
      </c>
      <c r="E480">
        <v>12971.842818904601</v>
      </c>
      <c r="F480">
        <v>16553.815443683699</v>
      </c>
      <c r="G480">
        <v>16203.978272291801</v>
      </c>
      <c r="H480">
        <v>27850.443905977001</v>
      </c>
      <c r="I480">
        <v>18283.681223642801</v>
      </c>
      <c r="J480">
        <v>1547.8710440888899</v>
      </c>
      <c r="K480">
        <v>1278.8309424228</v>
      </c>
      <c r="L480">
        <v>820.63198328511896</v>
      </c>
      <c r="M480">
        <v>14120.9351157196</v>
      </c>
      <c r="N480">
        <v>4555.5424534492604</v>
      </c>
      <c r="O480">
        <v>833.26766892188596</v>
      </c>
      <c r="P480">
        <v>2056.1635469123398</v>
      </c>
      <c r="Q480">
        <v>11970.239401127699</v>
      </c>
      <c r="R480">
        <v>992.35074620938894</v>
      </c>
      <c r="S480">
        <v>244.57063580220199</v>
      </c>
      <c r="T480">
        <v>477.72788427630798</v>
      </c>
      <c r="U480">
        <v>175.68912779118901</v>
      </c>
      <c r="V480">
        <v>527.04226366283694</v>
      </c>
      <c r="W480">
        <v>171.04417087024899</v>
      </c>
      <c r="X480">
        <v>286.639048102684</v>
      </c>
      <c r="Y480">
        <v>558.28129569639998</v>
      </c>
      <c r="Z480">
        <v>166.40250488109399</v>
      </c>
      <c r="AA480">
        <v>503.493077095807</v>
      </c>
      <c r="AB480">
        <v>582.36991452311702</v>
      </c>
      <c r="AC480">
        <v>527.33436212772199</v>
      </c>
      <c r="AD480">
        <v>713.10125066222702</v>
      </c>
      <c r="AE480">
        <v>594.12865118999503</v>
      </c>
      <c r="AF480">
        <v>397.93658253201102</v>
      </c>
      <c r="AG480">
        <v>508.75520472078199</v>
      </c>
    </row>
    <row r="481" spans="1:33" x14ac:dyDescent="0.25">
      <c r="A481" s="1">
        <v>44532</v>
      </c>
      <c r="B481">
        <v>12549.5298189527</v>
      </c>
      <c r="C481">
        <v>10917.8272295927</v>
      </c>
      <c r="D481">
        <v>9872.1640479431608</v>
      </c>
      <c r="E481">
        <v>12730.3441186573</v>
      </c>
      <c r="F481">
        <v>17261.164905009002</v>
      </c>
      <c r="G481">
        <v>17485.995971159999</v>
      </c>
      <c r="H481">
        <v>28790.517980795699</v>
      </c>
      <c r="I481">
        <v>18878.918422438001</v>
      </c>
      <c r="J481">
        <v>1645.4427102520899</v>
      </c>
      <c r="K481">
        <v>1302.98107219743</v>
      </c>
      <c r="L481">
        <v>878.53391360466696</v>
      </c>
      <c r="M481">
        <v>15327.7450207112</v>
      </c>
      <c r="N481">
        <v>5544.1935542540004</v>
      </c>
      <c r="O481">
        <v>940.71144943355</v>
      </c>
      <c r="P481">
        <v>2362.7252297867499</v>
      </c>
      <c r="Q481">
        <v>13324.395834843899</v>
      </c>
      <c r="R481">
        <v>1095.3776735414899</v>
      </c>
      <c r="S481">
        <v>243.56041727880401</v>
      </c>
      <c r="T481">
        <v>637.77148137822303</v>
      </c>
      <c r="U481">
        <v>175.76913115147499</v>
      </c>
      <c r="V481">
        <v>700.12986471258102</v>
      </c>
      <c r="W481">
        <v>169.959387379943</v>
      </c>
      <c r="X481">
        <v>385.38421895565301</v>
      </c>
      <c r="Y481">
        <v>566.95942254636304</v>
      </c>
      <c r="Z481">
        <v>171.18343748621899</v>
      </c>
      <c r="AA481">
        <v>507.24366410597003</v>
      </c>
      <c r="AB481">
        <v>587.57458824322305</v>
      </c>
      <c r="AC481">
        <v>529.52304986649006</v>
      </c>
      <c r="AD481">
        <v>770.37941443407306</v>
      </c>
      <c r="AE481">
        <v>562.69317485475301</v>
      </c>
      <c r="AF481">
        <v>399.98536678546799</v>
      </c>
      <c r="AG481">
        <v>513.30557633031901</v>
      </c>
    </row>
    <row r="482" spans="1:33" x14ac:dyDescent="0.25">
      <c r="A482" s="1">
        <v>44533</v>
      </c>
      <c r="B482">
        <v>11863.018298356899</v>
      </c>
      <c r="C482">
        <v>11917.5582399492</v>
      </c>
      <c r="D482">
        <v>10216.963811838301</v>
      </c>
      <c r="E482">
        <v>12674.551537421599</v>
      </c>
      <c r="F482">
        <v>18315.2916435691</v>
      </c>
      <c r="G482">
        <v>18724.604085667601</v>
      </c>
      <c r="H482">
        <v>30104.695135920301</v>
      </c>
      <c r="I482">
        <v>19398.6787897053</v>
      </c>
      <c r="J482">
        <v>1796.9906655763</v>
      </c>
      <c r="K482">
        <v>1337.7307314909301</v>
      </c>
      <c r="L482">
        <v>967.52039145700496</v>
      </c>
      <c r="M482">
        <v>16648.873487589201</v>
      </c>
      <c r="N482">
        <v>6841.7114279576399</v>
      </c>
      <c r="O482">
        <v>1065.54298587828</v>
      </c>
      <c r="P482">
        <v>2782.1348615871798</v>
      </c>
      <c r="Q482">
        <v>14708.954835045501</v>
      </c>
      <c r="R482">
        <v>1232.54974293329</v>
      </c>
      <c r="S482">
        <v>244.53318057938299</v>
      </c>
      <c r="T482">
        <v>946.82210865857303</v>
      </c>
      <c r="U482">
        <v>175.860702981174</v>
      </c>
      <c r="V482">
        <v>976.07322695771597</v>
      </c>
      <c r="W482">
        <v>170.37604374417299</v>
      </c>
      <c r="X482">
        <v>528.84349698409403</v>
      </c>
      <c r="Y482">
        <v>573.31635910594798</v>
      </c>
      <c r="Z482">
        <v>181.16887556909299</v>
      </c>
      <c r="AA482">
        <v>512.25026872095395</v>
      </c>
      <c r="AB482">
        <v>590.15406641930304</v>
      </c>
      <c r="AC482">
        <v>529.50925794323905</v>
      </c>
      <c r="AD482">
        <v>850.21894851639797</v>
      </c>
      <c r="AE482">
        <v>556.44640423062197</v>
      </c>
      <c r="AF482">
        <v>402.48874505703901</v>
      </c>
      <c r="AG482">
        <v>520.62468890093396</v>
      </c>
    </row>
    <row r="483" spans="1:33" x14ac:dyDescent="0.25">
      <c r="A483" s="1">
        <v>44534</v>
      </c>
      <c r="B483">
        <v>11742.706082599499</v>
      </c>
      <c r="C483">
        <v>13373.9673912497</v>
      </c>
      <c r="D483">
        <v>10590.5964366676</v>
      </c>
      <c r="E483">
        <v>12753.8684311202</v>
      </c>
      <c r="F483">
        <v>18854.894147753701</v>
      </c>
      <c r="G483">
        <v>18602.483937955301</v>
      </c>
      <c r="H483">
        <v>29762.262081287299</v>
      </c>
      <c r="I483">
        <v>20117.118619176101</v>
      </c>
      <c r="J483">
        <v>1885.4571931473599</v>
      </c>
      <c r="K483">
        <v>1377.09078989514</v>
      </c>
      <c r="L483">
        <v>1010.52169926406</v>
      </c>
      <c r="M483">
        <v>16752.738331269</v>
      </c>
      <c r="N483">
        <v>7136.0444605732</v>
      </c>
      <c r="O483">
        <v>1108.41605711736</v>
      </c>
      <c r="P483">
        <v>2929.8508236008001</v>
      </c>
      <c r="Q483">
        <v>14849.31977145</v>
      </c>
      <c r="R483">
        <v>1279.51134850171</v>
      </c>
      <c r="S483">
        <v>247.70675669881999</v>
      </c>
      <c r="T483">
        <v>1027.1186370026001</v>
      </c>
      <c r="U483">
        <v>175.86611232558599</v>
      </c>
      <c r="V483">
        <v>972.72870999666804</v>
      </c>
      <c r="W483">
        <v>169.90980942160499</v>
      </c>
      <c r="X483">
        <v>500.82096734897402</v>
      </c>
      <c r="Y483">
        <v>577.39809715915305</v>
      </c>
      <c r="Z483">
        <v>190.162830898869</v>
      </c>
      <c r="AA483">
        <v>520.30819007335299</v>
      </c>
      <c r="AB483">
        <v>591.33753525146903</v>
      </c>
      <c r="AC483">
        <v>535.40535775371495</v>
      </c>
      <c r="AD483">
        <v>882.63606854691602</v>
      </c>
      <c r="AE483">
        <v>551.638602393989</v>
      </c>
      <c r="AF483">
        <v>404.35197514586099</v>
      </c>
      <c r="AG483">
        <v>526.563894551972</v>
      </c>
    </row>
    <row r="484" spans="1:33" x14ac:dyDescent="0.25">
      <c r="A484" s="1">
        <v>44535</v>
      </c>
      <c r="B484">
        <v>11633.679828367</v>
      </c>
      <c r="C484">
        <v>13291.5087752009</v>
      </c>
      <c r="D484">
        <v>11093.4474448776</v>
      </c>
      <c r="E484">
        <v>12796.864142812001</v>
      </c>
      <c r="F484">
        <v>18264.620636900301</v>
      </c>
      <c r="G484">
        <v>17740.799536010501</v>
      </c>
      <c r="H484">
        <v>28692.110543938601</v>
      </c>
      <c r="I484">
        <v>20646.982509442802</v>
      </c>
      <c r="J484">
        <v>1916.43054908404</v>
      </c>
      <c r="K484">
        <v>1433.2788017339101</v>
      </c>
      <c r="L484">
        <v>998.55605101342906</v>
      </c>
      <c r="M484">
        <v>15957.781563382599</v>
      </c>
      <c r="N484">
        <v>6451.2133000231697</v>
      </c>
      <c r="O484">
        <v>1050.0968324553</v>
      </c>
      <c r="P484">
        <v>2839.5245354568901</v>
      </c>
      <c r="Q484">
        <v>13992.413886975401</v>
      </c>
      <c r="R484">
        <v>1236.66063038983</v>
      </c>
      <c r="S484">
        <v>251.816176103207</v>
      </c>
      <c r="T484">
        <v>916.71637284098199</v>
      </c>
      <c r="U484">
        <v>175.63172414891801</v>
      </c>
      <c r="V484">
        <v>854.19598682420701</v>
      </c>
      <c r="W484">
        <v>165.42779459299899</v>
      </c>
      <c r="X484">
        <v>449.678776858314</v>
      </c>
      <c r="Y484">
        <v>575.06821429434603</v>
      </c>
      <c r="Z484">
        <v>198.89686163662401</v>
      </c>
      <c r="AA484">
        <v>527.26771134027001</v>
      </c>
      <c r="AB484">
        <v>588.908143515284</v>
      </c>
      <c r="AC484">
        <v>541.13524283071604</v>
      </c>
      <c r="AD484">
        <v>872.68665419776005</v>
      </c>
      <c r="AE484">
        <v>560.98762383228404</v>
      </c>
      <c r="AF484">
        <v>405.66558209504001</v>
      </c>
      <c r="AG484">
        <v>532.264196168735</v>
      </c>
    </row>
    <row r="485" spans="1:33" x14ac:dyDescent="0.25">
      <c r="A485" s="1">
        <v>44536</v>
      </c>
      <c r="B485">
        <v>11754.2002239471</v>
      </c>
      <c r="C485">
        <v>12454.616525638499</v>
      </c>
      <c r="D485">
        <v>11693.338811662299</v>
      </c>
      <c r="E485">
        <v>13117.6019799633</v>
      </c>
      <c r="F485">
        <v>17725.654130477102</v>
      </c>
      <c r="G485">
        <v>17333.752111946698</v>
      </c>
      <c r="H485">
        <v>28361.388429030001</v>
      </c>
      <c r="I485">
        <v>20663.362487847</v>
      </c>
      <c r="J485">
        <v>1943.03007371729</v>
      </c>
      <c r="K485">
        <v>1483.4602656827101</v>
      </c>
      <c r="L485">
        <v>1007.27600276336</v>
      </c>
      <c r="M485">
        <v>15607.256266459101</v>
      </c>
      <c r="N485">
        <v>6135.4164821340501</v>
      </c>
      <c r="O485">
        <v>1030.02721009313</v>
      </c>
      <c r="P485">
        <v>2825.01346604015</v>
      </c>
      <c r="Q485">
        <v>13504.2953740597</v>
      </c>
      <c r="R485">
        <v>1231.42839415201</v>
      </c>
      <c r="S485">
        <v>257.2483101903</v>
      </c>
      <c r="T485">
        <v>890.65807247573105</v>
      </c>
      <c r="U485">
        <v>174.10741821283801</v>
      </c>
      <c r="V485">
        <v>841.50448085584605</v>
      </c>
      <c r="W485">
        <v>168.296726360186</v>
      </c>
      <c r="X485">
        <v>444.29917958153601</v>
      </c>
      <c r="Y485">
        <v>577.11417813703099</v>
      </c>
      <c r="Z485">
        <v>207.68681904335699</v>
      </c>
      <c r="AA485">
        <v>532.34859599910601</v>
      </c>
      <c r="AB485">
        <v>589.50672534494402</v>
      </c>
      <c r="AC485">
        <v>537.20150973903003</v>
      </c>
      <c r="AD485">
        <v>881.64322211551405</v>
      </c>
      <c r="AE485">
        <v>577.20421122820096</v>
      </c>
      <c r="AF485">
        <v>407.93572440469899</v>
      </c>
      <c r="AG485">
        <v>539.90501904542305</v>
      </c>
    </row>
    <row r="486" spans="1:33" x14ac:dyDescent="0.25">
      <c r="A486" s="1">
        <v>44537</v>
      </c>
      <c r="B486">
        <v>12044.364027711799</v>
      </c>
      <c r="C486">
        <v>12271.8030778012</v>
      </c>
      <c r="D486">
        <v>12120.8802995023</v>
      </c>
      <c r="E486">
        <v>13572.1899187708</v>
      </c>
      <c r="F486">
        <v>17771.675854280798</v>
      </c>
      <c r="G486">
        <v>17569.282325302702</v>
      </c>
      <c r="H486">
        <v>28695.846003929699</v>
      </c>
      <c r="I486">
        <v>20634.323206070199</v>
      </c>
      <c r="J486">
        <v>1986.5015422342301</v>
      </c>
      <c r="K486">
        <v>1520.1107669665801</v>
      </c>
      <c r="L486">
        <v>1044.55835403587</v>
      </c>
      <c r="M486">
        <v>15846.872048940801</v>
      </c>
      <c r="N486">
        <v>6280.1397434624796</v>
      </c>
      <c r="O486">
        <v>1072.93969258127</v>
      </c>
      <c r="P486">
        <v>2923.2759353566298</v>
      </c>
      <c r="Q486">
        <v>13666.075021826</v>
      </c>
      <c r="R486">
        <v>1284.21441936468</v>
      </c>
      <c r="S486">
        <v>263.21034446346198</v>
      </c>
      <c r="T486">
        <v>931.70319951511897</v>
      </c>
      <c r="U486">
        <v>173.22499183536101</v>
      </c>
      <c r="V486">
        <v>900.99374611953203</v>
      </c>
      <c r="W486">
        <v>170.81033430714999</v>
      </c>
      <c r="X486">
        <v>459.60200342605498</v>
      </c>
      <c r="Y486">
        <v>582.45120839979097</v>
      </c>
      <c r="Z486">
        <v>217.00634413906999</v>
      </c>
      <c r="AA486">
        <v>535.50285976185603</v>
      </c>
      <c r="AB486">
        <v>592.86469090402295</v>
      </c>
      <c r="AC486">
        <v>529.28573020384704</v>
      </c>
      <c r="AD486">
        <v>909.39892694346804</v>
      </c>
      <c r="AE486">
        <v>581.40000903196903</v>
      </c>
      <c r="AF486">
        <v>409.750985861711</v>
      </c>
      <c r="AG486">
        <v>549.36812096599101</v>
      </c>
    </row>
    <row r="487" spans="1:33" x14ac:dyDescent="0.25">
      <c r="A487" s="1">
        <v>44538</v>
      </c>
      <c r="B487">
        <v>12373.399549510201</v>
      </c>
      <c r="C487">
        <v>12533.4545567594</v>
      </c>
      <c r="D487">
        <v>12274.704879355901</v>
      </c>
      <c r="E487">
        <v>13842.645609035601</v>
      </c>
      <c r="F487">
        <v>17882.3543235494</v>
      </c>
      <c r="G487">
        <v>17674.795061069901</v>
      </c>
      <c r="H487">
        <v>29077.769397978602</v>
      </c>
      <c r="I487">
        <v>20703.5744594036</v>
      </c>
      <c r="J487">
        <v>2024.94429923958</v>
      </c>
      <c r="K487">
        <v>1563.79549389116</v>
      </c>
      <c r="L487">
        <v>1070.6444880107899</v>
      </c>
      <c r="M487">
        <v>15957.1121726364</v>
      </c>
      <c r="N487">
        <v>6303.2023566777498</v>
      </c>
      <c r="O487">
        <v>1103.8808907549001</v>
      </c>
      <c r="P487">
        <v>2959.7808776490301</v>
      </c>
      <c r="Q487">
        <v>13691.2190935454</v>
      </c>
      <c r="R487">
        <v>1324.0967917611199</v>
      </c>
      <c r="S487">
        <v>270.57187835340102</v>
      </c>
      <c r="T487">
        <v>908.47688051789498</v>
      </c>
      <c r="U487">
        <v>172.37342782457799</v>
      </c>
      <c r="V487">
        <v>868.47739069484203</v>
      </c>
      <c r="W487">
        <v>166.683747845548</v>
      </c>
      <c r="X487">
        <v>404.638399893957</v>
      </c>
      <c r="Y487">
        <v>585.34390727270295</v>
      </c>
      <c r="Z487">
        <v>218.12068740214599</v>
      </c>
      <c r="AA487">
        <v>539.95646702196905</v>
      </c>
      <c r="AB487">
        <v>595.97149038469297</v>
      </c>
      <c r="AC487">
        <v>521.03408968489703</v>
      </c>
      <c r="AD487">
        <v>926.84146100145006</v>
      </c>
      <c r="AE487">
        <v>575.25414147466597</v>
      </c>
      <c r="AF487">
        <v>411.66428127904697</v>
      </c>
      <c r="AG487">
        <v>557.92085555998801</v>
      </c>
    </row>
    <row r="488" spans="1:33" x14ac:dyDescent="0.25">
      <c r="A488" s="1">
        <v>44539</v>
      </c>
      <c r="B488">
        <v>12691.850902623901</v>
      </c>
      <c r="C488">
        <v>12731.806163501</v>
      </c>
      <c r="D488">
        <v>12190.732074986599</v>
      </c>
      <c r="E488">
        <v>13608.1737140435</v>
      </c>
      <c r="F488">
        <v>17945.9585485145</v>
      </c>
      <c r="G488">
        <v>17352.2469598563</v>
      </c>
      <c r="H488">
        <v>28739.123449106901</v>
      </c>
      <c r="I488">
        <v>20711.9835838828</v>
      </c>
      <c r="J488">
        <v>2040.1930450838099</v>
      </c>
      <c r="K488">
        <v>1590.1061644163699</v>
      </c>
      <c r="L488">
        <v>1062.10461408623</v>
      </c>
      <c r="M488">
        <v>15429.770450763001</v>
      </c>
      <c r="N488">
        <v>5690.7455054353204</v>
      </c>
      <c r="O488">
        <v>1105.12090006371</v>
      </c>
      <c r="P488">
        <v>2787.2738885764302</v>
      </c>
      <c r="Q488">
        <v>13219.2799645537</v>
      </c>
      <c r="R488">
        <v>1319.5362981851699</v>
      </c>
      <c r="S488">
        <v>276.814341079131</v>
      </c>
      <c r="T488">
        <v>757.89281163828298</v>
      </c>
      <c r="U488">
        <v>172.82250162340301</v>
      </c>
      <c r="V488">
        <v>618.45337444417203</v>
      </c>
      <c r="W488">
        <v>160.50452844050099</v>
      </c>
      <c r="X488">
        <v>265.00442708661001</v>
      </c>
      <c r="Y488">
        <v>586.65146995988198</v>
      </c>
      <c r="Z488">
        <v>205.91539347584299</v>
      </c>
      <c r="AA488">
        <v>545.91439013240404</v>
      </c>
      <c r="AB488">
        <v>597.57411169234797</v>
      </c>
      <c r="AC488">
        <v>513.86958287922198</v>
      </c>
      <c r="AD488">
        <v>916.16760697445704</v>
      </c>
      <c r="AE488">
        <v>566.92142446850005</v>
      </c>
      <c r="AF488">
        <v>414.03963487572202</v>
      </c>
      <c r="AG488">
        <v>566.91686763933899</v>
      </c>
    </row>
    <row r="489" spans="1:33" x14ac:dyDescent="0.25">
      <c r="A489" s="1">
        <v>44540</v>
      </c>
      <c r="B489">
        <v>12819.131959456899</v>
      </c>
      <c r="C489">
        <v>12742.9216424117</v>
      </c>
      <c r="D489">
        <v>12159.1727572973</v>
      </c>
      <c r="E489">
        <v>13338.813179799999</v>
      </c>
      <c r="F489">
        <v>16875.666839031299</v>
      </c>
      <c r="G489">
        <v>15734.4314201422</v>
      </c>
      <c r="H489">
        <v>26681.7230183957</v>
      </c>
      <c r="I489">
        <v>20528.302249204</v>
      </c>
      <c r="J489">
        <v>1953.59155436221</v>
      </c>
      <c r="K489">
        <v>1597.66138151834</v>
      </c>
      <c r="L489">
        <v>992.72961174468503</v>
      </c>
      <c r="M489">
        <v>13812.7415899718</v>
      </c>
      <c r="N489">
        <v>4340.9649304963896</v>
      </c>
      <c r="O489">
        <v>976.00117703540297</v>
      </c>
      <c r="P489">
        <v>2458.7722723631</v>
      </c>
      <c r="Q489">
        <v>11560.024275834299</v>
      </c>
      <c r="R489">
        <v>1187.94581381083</v>
      </c>
      <c r="S489">
        <v>278.92632005768797</v>
      </c>
      <c r="T489">
        <v>566.57291797939502</v>
      </c>
      <c r="U489">
        <v>172.70056759046301</v>
      </c>
      <c r="V489">
        <v>419.92724980041697</v>
      </c>
      <c r="W489">
        <v>154.92508214446201</v>
      </c>
      <c r="X489">
        <v>221.21177308464999</v>
      </c>
      <c r="Y489">
        <v>579.56549067927006</v>
      </c>
      <c r="Z489">
        <v>197.34612248312001</v>
      </c>
      <c r="AA489">
        <v>553.63143877513005</v>
      </c>
      <c r="AB489">
        <v>593.66665332855302</v>
      </c>
      <c r="AC489">
        <v>513.56042081351904</v>
      </c>
      <c r="AD489">
        <v>859.67230190518603</v>
      </c>
      <c r="AE489">
        <v>581.11101414370103</v>
      </c>
      <c r="AF489">
        <v>418.40619884082702</v>
      </c>
      <c r="AG489">
        <v>574.01885199322305</v>
      </c>
    </row>
    <row r="490" spans="1:33" x14ac:dyDescent="0.25">
      <c r="A490" s="1">
        <v>44541</v>
      </c>
      <c r="B490">
        <v>12978.945404967701</v>
      </c>
      <c r="C490">
        <v>11205.2516968707</v>
      </c>
      <c r="D490">
        <v>12283.2510724843</v>
      </c>
      <c r="E490">
        <v>13487.840536691399</v>
      </c>
      <c r="F490">
        <v>16379.7033163655</v>
      </c>
      <c r="G490">
        <v>15424.6173156606</v>
      </c>
      <c r="H490">
        <v>26742.6509698665</v>
      </c>
      <c r="I490">
        <v>20289.813250081701</v>
      </c>
      <c r="J490">
        <v>1922.0561826708099</v>
      </c>
      <c r="K490">
        <v>1636.4763129152</v>
      </c>
      <c r="L490">
        <v>969.989363683546</v>
      </c>
      <c r="M490">
        <v>13524.9493621195</v>
      </c>
      <c r="N490">
        <v>4048.5970703837202</v>
      </c>
      <c r="O490">
        <v>945.37676376765398</v>
      </c>
      <c r="P490">
        <v>2365.5625577666401</v>
      </c>
      <c r="Q490">
        <v>11222.198519317501</v>
      </c>
      <c r="R490">
        <v>1147.8943373212101</v>
      </c>
      <c r="S490">
        <v>285.87349871746397</v>
      </c>
      <c r="T490">
        <v>523.29730092503098</v>
      </c>
      <c r="U490">
        <v>170.907134488612</v>
      </c>
      <c r="V490">
        <v>440.29349963742402</v>
      </c>
      <c r="W490">
        <v>156.02256210284199</v>
      </c>
      <c r="X490">
        <v>247.55323642884599</v>
      </c>
      <c r="Y490">
        <v>573.57260758010898</v>
      </c>
      <c r="Z490">
        <v>199.26466732020401</v>
      </c>
      <c r="AA490">
        <v>556.36800851000396</v>
      </c>
      <c r="AB490">
        <v>592.22348967318703</v>
      </c>
      <c r="AC490">
        <v>522.89137664569205</v>
      </c>
      <c r="AD490">
        <v>850.96344524654899</v>
      </c>
      <c r="AE490">
        <v>581.77913811510598</v>
      </c>
      <c r="AF490">
        <v>423.768824318702</v>
      </c>
      <c r="AG490">
        <v>580.63715373300397</v>
      </c>
    </row>
    <row r="491" spans="1:33" x14ac:dyDescent="0.25">
      <c r="A491" s="1">
        <v>44542</v>
      </c>
      <c r="B491">
        <v>13219.253138526899</v>
      </c>
      <c r="C491">
        <v>10724.8735071354</v>
      </c>
      <c r="D491">
        <v>12488.758601179499</v>
      </c>
      <c r="E491">
        <v>14152.755830186699</v>
      </c>
      <c r="F491">
        <v>17192.389883584201</v>
      </c>
      <c r="G491">
        <v>17292.818179055801</v>
      </c>
      <c r="H491">
        <v>29191.376260729499</v>
      </c>
      <c r="I491">
        <v>20026.599944249301</v>
      </c>
      <c r="J491">
        <v>2005.73446063454</v>
      </c>
      <c r="K491">
        <v>1679.21755841609</v>
      </c>
      <c r="L491">
        <v>1043.31527113629</v>
      </c>
      <c r="M491">
        <v>15469.7539128811</v>
      </c>
      <c r="N491">
        <v>5384.3282809516704</v>
      </c>
      <c r="O491">
        <v>1089.8519661036901</v>
      </c>
      <c r="P491">
        <v>2706.73498087797</v>
      </c>
      <c r="Q491">
        <v>13045.052100205799</v>
      </c>
      <c r="R491">
        <v>1272.7762728898299</v>
      </c>
      <c r="S491">
        <v>301.00834659574502</v>
      </c>
      <c r="T491">
        <v>650.40999327056795</v>
      </c>
      <c r="U491">
        <v>171.097831322285</v>
      </c>
      <c r="V491">
        <v>642.016900037249</v>
      </c>
      <c r="W491">
        <v>169.986321702769</v>
      </c>
      <c r="X491">
        <v>386.92050355125201</v>
      </c>
      <c r="Y491">
        <v>587.22674840272202</v>
      </c>
      <c r="Z491">
        <v>209.546094423196</v>
      </c>
      <c r="AA491">
        <v>557.79433315830602</v>
      </c>
      <c r="AB491">
        <v>608.35632365435401</v>
      </c>
      <c r="AC491">
        <v>528.34957806258603</v>
      </c>
      <c r="AD491">
        <v>932.75140351286802</v>
      </c>
      <c r="AE491">
        <v>616.19036748221697</v>
      </c>
      <c r="AF491">
        <v>426.47243026268097</v>
      </c>
      <c r="AG491">
        <v>590.45431715149596</v>
      </c>
    </row>
    <row r="492" spans="1:33" x14ac:dyDescent="0.25">
      <c r="A492" s="1">
        <v>44543</v>
      </c>
      <c r="B492">
        <v>12796.361907577601</v>
      </c>
      <c r="C492">
        <v>11950.367658569099</v>
      </c>
      <c r="D492">
        <v>12160.413810284501</v>
      </c>
      <c r="E492">
        <v>14161.3874432544</v>
      </c>
      <c r="F492">
        <v>18302.5045173699</v>
      </c>
      <c r="G492">
        <v>18327.303257920699</v>
      </c>
      <c r="H492">
        <v>29585.088333915701</v>
      </c>
      <c r="I492">
        <v>20073.521740758901</v>
      </c>
      <c r="J492">
        <v>2068.3314199573401</v>
      </c>
      <c r="K492">
        <v>1648.3701476204701</v>
      </c>
      <c r="L492">
        <v>1114.9748599766999</v>
      </c>
      <c r="M492">
        <v>16361.8188963148</v>
      </c>
      <c r="N492">
        <v>6162.3357032112099</v>
      </c>
      <c r="O492">
        <v>1118.8677485124199</v>
      </c>
      <c r="P492">
        <v>2934.5386063075498</v>
      </c>
      <c r="Q492">
        <v>13907.961280577099</v>
      </c>
      <c r="R492">
        <v>1366.6164464895</v>
      </c>
      <c r="S492">
        <v>310.068262397973</v>
      </c>
      <c r="T492">
        <v>750.04319524112202</v>
      </c>
      <c r="U492">
        <v>170.21095079405799</v>
      </c>
      <c r="V492">
        <v>653.90780293877401</v>
      </c>
      <c r="W492">
        <v>180.155160385502</v>
      </c>
      <c r="X492">
        <v>363.00452371020901</v>
      </c>
      <c r="Y492">
        <v>600.09367390947898</v>
      </c>
      <c r="Z492">
        <v>222.83288846711201</v>
      </c>
      <c r="AA492">
        <v>568.65010353497701</v>
      </c>
      <c r="AB492">
        <v>623.37856652738003</v>
      </c>
      <c r="AC492">
        <v>535.839586611713</v>
      </c>
      <c r="AD492">
        <v>1001.09346714387</v>
      </c>
      <c r="AE492">
        <v>606.55623729450099</v>
      </c>
      <c r="AF492">
        <v>436.77389604595601</v>
      </c>
      <c r="AG492">
        <v>624.95141074313597</v>
      </c>
    </row>
    <row r="493" spans="1:33" x14ac:dyDescent="0.25">
      <c r="A493" s="1">
        <v>44544</v>
      </c>
      <c r="B493">
        <v>12405.5267253082</v>
      </c>
      <c r="C493">
        <v>12900.351947047</v>
      </c>
      <c r="D493">
        <v>11552.2622649083</v>
      </c>
      <c r="E493">
        <v>13458.0490005915</v>
      </c>
      <c r="F493">
        <v>18026.151806309201</v>
      </c>
      <c r="G493">
        <v>16476.181598297298</v>
      </c>
      <c r="H493">
        <v>27383.812879872199</v>
      </c>
      <c r="I493">
        <v>20216.8145820795</v>
      </c>
      <c r="J493">
        <v>2020.6534583190901</v>
      </c>
      <c r="K493">
        <v>1640.4637236066501</v>
      </c>
      <c r="L493">
        <v>1084.3775538105499</v>
      </c>
      <c r="M493">
        <v>14251.8435604066</v>
      </c>
      <c r="N493">
        <v>4081.86991570075</v>
      </c>
      <c r="O493">
        <v>871.34854590543296</v>
      </c>
      <c r="P493">
        <v>2622.85262352265</v>
      </c>
      <c r="Q493">
        <v>12003.652714432401</v>
      </c>
      <c r="R493">
        <v>1239.4210368279901</v>
      </c>
      <c r="S493">
        <v>310.12812331863898</v>
      </c>
      <c r="T493">
        <v>476.59213661585801</v>
      </c>
      <c r="U493">
        <v>170.544650336508</v>
      </c>
      <c r="V493">
        <v>245.15961084618701</v>
      </c>
      <c r="W493">
        <v>198.57520378538601</v>
      </c>
      <c r="X493">
        <v>175.57359556874499</v>
      </c>
      <c r="Y493">
        <v>611.88233197689101</v>
      </c>
      <c r="Z493">
        <v>237.07796316649899</v>
      </c>
      <c r="AA493">
        <v>580.81869401132599</v>
      </c>
      <c r="AB493">
        <v>632.83911611891301</v>
      </c>
      <c r="AC493">
        <v>543.30378310695005</v>
      </c>
      <c r="AD493">
        <v>922.05431073132502</v>
      </c>
      <c r="AE493">
        <v>535.23695321447894</v>
      </c>
      <c r="AF493">
        <v>449.22830254681099</v>
      </c>
      <c r="AG493">
        <v>670.12292759508603</v>
      </c>
    </row>
    <row r="494" spans="1:33" x14ac:dyDescent="0.25">
      <c r="A494" s="1">
        <v>44545</v>
      </c>
      <c r="B494">
        <v>12326.8841695791</v>
      </c>
      <c r="C494">
        <v>10732.590739806201</v>
      </c>
      <c r="D494">
        <v>11541.9004931777</v>
      </c>
      <c r="E494">
        <v>13295.171982747601</v>
      </c>
      <c r="F494">
        <v>15858.5173578265</v>
      </c>
      <c r="G494">
        <v>14197.9189531106</v>
      </c>
      <c r="H494">
        <v>25664.983269939701</v>
      </c>
      <c r="I494">
        <v>20517.0662238974</v>
      </c>
      <c r="J494">
        <v>1960.0461203114601</v>
      </c>
      <c r="K494">
        <v>1685.67058000358</v>
      </c>
      <c r="L494">
        <v>944.77224931691705</v>
      </c>
      <c r="M494">
        <v>12546.8829520939</v>
      </c>
      <c r="N494">
        <v>2407.0386655715301</v>
      </c>
      <c r="O494">
        <v>658.78991467918104</v>
      </c>
      <c r="P494">
        <v>2250.5242594625201</v>
      </c>
      <c r="Q494">
        <v>9791.0920224885995</v>
      </c>
      <c r="R494">
        <v>979.67745743115699</v>
      </c>
      <c r="S494">
        <v>348.05920773420098</v>
      </c>
      <c r="T494">
        <v>348.20934445892902</v>
      </c>
      <c r="U494">
        <v>178.763318998448</v>
      </c>
      <c r="V494">
        <v>199.734019084019</v>
      </c>
      <c r="W494">
        <v>184.35665202341201</v>
      </c>
      <c r="X494">
        <v>200.36283466776399</v>
      </c>
      <c r="Y494">
        <v>649.40867523050599</v>
      </c>
      <c r="Z494">
        <v>245.820199487422</v>
      </c>
      <c r="AA494">
        <v>595.39763719602604</v>
      </c>
      <c r="AB494">
        <v>673.73081653556903</v>
      </c>
      <c r="AC494">
        <v>566.168284002218</v>
      </c>
      <c r="AD494">
        <v>834.07665886423695</v>
      </c>
      <c r="AE494">
        <v>390.55410255174502</v>
      </c>
      <c r="AF494">
        <v>459.52991054485301</v>
      </c>
      <c r="AG494">
        <v>715.34729489604194</v>
      </c>
    </row>
    <row r="495" spans="1:33" x14ac:dyDescent="0.25">
      <c r="A495" s="1">
        <v>44546</v>
      </c>
      <c r="B495">
        <v>12177.9107131087</v>
      </c>
      <c r="C495">
        <v>8640.2076029957698</v>
      </c>
      <c r="D495">
        <v>11681.345047766399</v>
      </c>
      <c r="E495">
        <v>13309.927477802399</v>
      </c>
      <c r="F495">
        <v>15062.533339661401</v>
      </c>
      <c r="G495">
        <v>12333.743647151499</v>
      </c>
      <c r="H495">
        <v>24640.673667110201</v>
      </c>
      <c r="I495">
        <v>20224.4250184927</v>
      </c>
      <c r="J495">
        <v>1944.27674246736</v>
      </c>
      <c r="K495">
        <v>1658.8042281517</v>
      </c>
      <c r="L495">
        <v>942.13012862091102</v>
      </c>
      <c r="M495">
        <v>10659.3994683239</v>
      </c>
      <c r="N495">
        <v>1386.1450025849499</v>
      </c>
      <c r="O495">
        <v>616.78404139094596</v>
      </c>
      <c r="P495">
        <v>2058.31616608891</v>
      </c>
      <c r="Q495">
        <v>7867.5355367529701</v>
      </c>
      <c r="R495">
        <v>977.39377300746298</v>
      </c>
      <c r="S495">
        <v>336.47876340502597</v>
      </c>
      <c r="T495">
        <v>295.89910017429003</v>
      </c>
      <c r="U495">
        <v>194.09073222650699</v>
      </c>
      <c r="V495">
        <v>183.46140240673199</v>
      </c>
      <c r="W495">
        <v>171.79857629415099</v>
      </c>
      <c r="X495">
        <v>182.554414082877</v>
      </c>
      <c r="Y495">
        <v>693.00025158076005</v>
      </c>
      <c r="Z495">
        <v>257.24518466734702</v>
      </c>
      <c r="AA495">
        <v>622.62991867900496</v>
      </c>
      <c r="AB495">
        <v>719.70894425561096</v>
      </c>
      <c r="AC495">
        <v>584.75497934956297</v>
      </c>
      <c r="AD495">
        <v>802.40837009561403</v>
      </c>
      <c r="AE495">
        <v>421.51327352418298</v>
      </c>
      <c r="AF495">
        <v>486.43098348951901</v>
      </c>
      <c r="AG495">
        <v>718.01904279391704</v>
      </c>
    </row>
    <row r="496" spans="1:33" x14ac:dyDescent="0.25">
      <c r="A496" s="1">
        <v>44547</v>
      </c>
      <c r="B496">
        <v>12175.2006061882</v>
      </c>
      <c r="C496">
        <v>5532.1068605362298</v>
      </c>
      <c r="D496">
        <v>11383.0987913017</v>
      </c>
      <c r="E496">
        <v>13022.969523654499</v>
      </c>
      <c r="F496">
        <v>11277.311031343899</v>
      </c>
      <c r="G496">
        <v>8362.9539617789196</v>
      </c>
      <c r="H496">
        <v>21224.847959960502</v>
      </c>
      <c r="I496">
        <v>19473.4057984436</v>
      </c>
      <c r="J496">
        <v>1812.6129906706201</v>
      </c>
      <c r="K496">
        <v>1642.30529741595</v>
      </c>
      <c r="L496">
        <v>837.37866345864995</v>
      </c>
      <c r="M496">
        <v>7096.2165899347501</v>
      </c>
      <c r="N496">
        <v>616.79551564394603</v>
      </c>
      <c r="O496">
        <v>584.79323078834796</v>
      </c>
      <c r="P496">
        <v>1649.6367904553299</v>
      </c>
      <c r="Q496">
        <v>4591.0214370138901</v>
      </c>
      <c r="R496">
        <v>843.800374917932</v>
      </c>
      <c r="S496">
        <v>343.54921758769501</v>
      </c>
      <c r="T496">
        <v>262.23428589974401</v>
      </c>
      <c r="U496">
        <v>202.328793052203</v>
      </c>
      <c r="V496">
        <v>173.68153996206101</v>
      </c>
      <c r="W496">
        <v>157.22441258258701</v>
      </c>
      <c r="X496">
        <v>173.51591200870701</v>
      </c>
      <c r="Y496">
        <v>688.98848605884496</v>
      </c>
      <c r="Z496">
        <v>258.81602277263102</v>
      </c>
      <c r="AA496">
        <v>648.44212271973595</v>
      </c>
      <c r="AB496">
        <v>730.11317076560704</v>
      </c>
      <c r="AC496">
        <v>593.23706760155596</v>
      </c>
      <c r="AD496">
        <v>728.53595286397001</v>
      </c>
      <c r="AE496">
        <v>468.95584057409798</v>
      </c>
      <c r="AF496">
        <v>491.00466407966599</v>
      </c>
      <c r="AG496">
        <v>699.41248364369505</v>
      </c>
    </row>
    <row r="497" spans="1:33" x14ac:dyDescent="0.25">
      <c r="A497" s="1">
        <v>44548</v>
      </c>
      <c r="B497">
        <v>12496.2647040256</v>
      </c>
      <c r="C497">
        <v>3220.3540590034299</v>
      </c>
      <c r="D497">
        <v>10345.7908688392</v>
      </c>
      <c r="E497">
        <v>12865.495906053</v>
      </c>
      <c r="F497">
        <v>9127.7265507545308</v>
      </c>
      <c r="G497">
        <v>6334.4655562170201</v>
      </c>
      <c r="H497">
        <v>19577.4244666054</v>
      </c>
      <c r="I497">
        <v>17145.636025279498</v>
      </c>
      <c r="J497">
        <v>1711.1321435151101</v>
      </c>
      <c r="K497">
        <v>1627.2157094377601</v>
      </c>
      <c r="L497">
        <v>798.99554661387401</v>
      </c>
      <c r="M497">
        <v>5409.6004683630899</v>
      </c>
      <c r="N497">
        <v>472.84526095248299</v>
      </c>
      <c r="O497">
        <v>600.24664057278903</v>
      </c>
      <c r="P497">
        <v>1468.3401143240701</v>
      </c>
      <c r="Q497">
        <v>3384.9610414994199</v>
      </c>
      <c r="R497">
        <v>830.06636532153095</v>
      </c>
      <c r="S497">
        <v>363.85150094773599</v>
      </c>
      <c r="T497">
        <v>241.36207273145999</v>
      </c>
      <c r="U497">
        <v>216.41518931613001</v>
      </c>
      <c r="V497">
        <v>151.014587621863</v>
      </c>
      <c r="W497">
        <v>133.417159418431</v>
      </c>
      <c r="X497">
        <v>150.21831314949401</v>
      </c>
      <c r="Y497">
        <v>657.03390439181601</v>
      </c>
      <c r="Z497">
        <v>248.90756500651099</v>
      </c>
      <c r="AA497">
        <v>662.25705826424303</v>
      </c>
      <c r="AB497">
        <v>724.50227703748101</v>
      </c>
      <c r="AC497">
        <v>591.11674449224097</v>
      </c>
      <c r="AD497">
        <v>698.42954157929</v>
      </c>
      <c r="AE497">
        <v>486.76332727041699</v>
      </c>
      <c r="AF497">
        <v>496.55448356554098</v>
      </c>
      <c r="AG497">
        <v>705.02915272970404</v>
      </c>
    </row>
    <row r="498" spans="1:33" x14ac:dyDescent="0.25">
      <c r="A498" s="1">
        <v>44549</v>
      </c>
      <c r="B498">
        <v>12625.4877678675</v>
      </c>
      <c r="C498">
        <v>2356.12257652365</v>
      </c>
      <c r="D498">
        <v>9245.1984523440005</v>
      </c>
      <c r="E498">
        <v>12522.3348500969</v>
      </c>
      <c r="F498">
        <v>7953.5458410806004</v>
      </c>
      <c r="G498">
        <v>6354.0829789412301</v>
      </c>
      <c r="H498">
        <v>20240.2960114899</v>
      </c>
      <c r="I498">
        <v>14751.576167020799</v>
      </c>
      <c r="J498">
        <v>1575.9633643338</v>
      </c>
      <c r="K498">
        <v>1579.35642722586</v>
      </c>
      <c r="L498">
        <v>825.45685435735697</v>
      </c>
      <c r="M498">
        <v>5306.6500162982002</v>
      </c>
      <c r="N498">
        <v>511.63595942015598</v>
      </c>
      <c r="O498">
        <v>669.29582749772305</v>
      </c>
      <c r="P498">
        <v>1424.8274756687699</v>
      </c>
      <c r="Q498">
        <v>3423.1658989078001</v>
      </c>
      <c r="R498">
        <v>878.10571256860203</v>
      </c>
      <c r="S498">
        <v>417.34742503997097</v>
      </c>
      <c r="T498">
        <v>218.337543814279</v>
      </c>
      <c r="U498">
        <v>219.12437517030901</v>
      </c>
      <c r="V498">
        <v>132.950308579737</v>
      </c>
      <c r="W498">
        <v>134.70570468657999</v>
      </c>
      <c r="X498">
        <v>132.90793355234601</v>
      </c>
      <c r="Y498">
        <v>584.71202956740603</v>
      </c>
      <c r="Z498">
        <v>240.675931847789</v>
      </c>
      <c r="AA498">
        <v>661.78206784192298</v>
      </c>
      <c r="AB498">
        <v>738.59693557633</v>
      </c>
      <c r="AC498">
        <v>609.23310421946303</v>
      </c>
      <c r="AD498">
        <v>727.65771780303896</v>
      </c>
      <c r="AE498">
        <v>484.65353547974701</v>
      </c>
      <c r="AF498">
        <v>499.593540876009</v>
      </c>
      <c r="AG498">
        <v>707.49896122272503</v>
      </c>
    </row>
    <row r="499" spans="1:33" x14ac:dyDescent="0.25">
      <c r="A499" s="1">
        <v>44550</v>
      </c>
      <c r="B499">
        <v>12441.3864568631</v>
      </c>
      <c r="C499">
        <v>2304.8379046200398</v>
      </c>
      <c r="D499">
        <v>7793.0048728166803</v>
      </c>
      <c r="E499">
        <v>12009.1183586774</v>
      </c>
      <c r="F499">
        <v>7685.4109152845203</v>
      </c>
      <c r="G499">
        <v>6026.2128297692097</v>
      </c>
      <c r="H499">
        <v>19759.973115391698</v>
      </c>
      <c r="I499">
        <v>13640.662893373201</v>
      </c>
      <c r="J499">
        <v>1497.97051686594</v>
      </c>
      <c r="K499">
        <v>1532.3547556927699</v>
      </c>
      <c r="L499">
        <v>824.69962628174903</v>
      </c>
      <c r="M499">
        <v>5026.1591032441002</v>
      </c>
      <c r="N499">
        <v>471.97788528570698</v>
      </c>
      <c r="O499">
        <v>663.04896150668105</v>
      </c>
      <c r="P499">
        <v>1287.55319977252</v>
      </c>
      <c r="Q499">
        <v>3116.9588959379998</v>
      </c>
      <c r="R499">
        <v>870.28863064812003</v>
      </c>
      <c r="S499">
        <v>433.61763158523598</v>
      </c>
      <c r="T499">
        <v>203.71602143778699</v>
      </c>
      <c r="U499">
        <v>230.56386261026901</v>
      </c>
      <c r="V499">
        <v>136.05519560864201</v>
      </c>
      <c r="W499">
        <v>128.383917023431</v>
      </c>
      <c r="X499">
        <v>135.80538288994001</v>
      </c>
      <c r="Y499">
        <v>656.34021119963302</v>
      </c>
      <c r="Z499">
        <v>226.51327659249699</v>
      </c>
      <c r="AA499">
        <v>664.32119445434103</v>
      </c>
      <c r="AB499">
        <v>720.03282714559396</v>
      </c>
      <c r="AC499">
        <v>620.98342367211796</v>
      </c>
      <c r="AD499">
        <v>723.07684249392503</v>
      </c>
      <c r="AE499">
        <v>518.41899947544005</v>
      </c>
      <c r="AF499">
        <v>501.14030680465299</v>
      </c>
      <c r="AG499">
        <v>698.68154944004095</v>
      </c>
    </row>
    <row r="500" spans="1:33" x14ac:dyDescent="0.25">
      <c r="A500" s="1">
        <v>44551</v>
      </c>
      <c r="B500">
        <v>12061.658227813199</v>
      </c>
      <c r="C500">
        <v>2261.1591416646902</v>
      </c>
      <c r="D500">
        <v>6320.8024441632997</v>
      </c>
      <c r="E500">
        <v>11287.808298308801</v>
      </c>
      <c r="F500">
        <v>6912.3589807808203</v>
      </c>
      <c r="G500">
        <v>5273.4689999955499</v>
      </c>
      <c r="H500">
        <v>18791.108644619198</v>
      </c>
      <c r="I500">
        <v>12657.9758197151</v>
      </c>
      <c r="J500">
        <v>1435.3259135932501</v>
      </c>
      <c r="K500">
        <v>1458.51269744459</v>
      </c>
      <c r="L500">
        <v>774.76189229031195</v>
      </c>
      <c r="M500">
        <v>4371.4524161593999</v>
      </c>
      <c r="N500">
        <v>430.62688021319002</v>
      </c>
      <c r="O500">
        <v>597.70770960026698</v>
      </c>
      <c r="P500">
        <v>1132.8112836329899</v>
      </c>
      <c r="Q500">
        <v>2530.5329213622799</v>
      </c>
      <c r="R500">
        <v>797.20064508559597</v>
      </c>
      <c r="S500">
        <v>444.370270784882</v>
      </c>
      <c r="T500">
        <v>197.04313345040501</v>
      </c>
      <c r="U500">
        <v>241.73415228364101</v>
      </c>
      <c r="V500">
        <v>128.31196941263099</v>
      </c>
      <c r="W500">
        <v>126.39189218208401</v>
      </c>
      <c r="X500">
        <v>128.263392502969</v>
      </c>
      <c r="Y500">
        <v>671.74401459901901</v>
      </c>
      <c r="Z500">
        <v>212.10231577267101</v>
      </c>
      <c r="AA500">
        <v>671.18465519614597</v>
      </c>
      <c r="AB500">
        <v>732.81349497004305</v>
      </c>
      <c r="AC500">
        <v>548.90840251107295</v>
      </c>
      <c r="AD500">
        <v>682.21089440277296</v>
      </c>
      <c r="AE500">
        <v>541.06053037863603</v>
      </c>
      <c r="AF500">
        <v>504.38074272273599</v>
      </c>
      <c r="AG500">
        <v>709.779371023576</v>
      </c>
    </row>
    <row r="501" spans="1:33" x14ac:dyDescent="0.25">
      <c r="A501" s="1">
        <v>44552</v>
      </c>
      <c r="B501">
        <v>11617.440656988399</v>
      </c>
      <c r="C501">
        <v>1469.2791754167199</v>
      </c>
      <c r="D501">
        <v>6285.3254556080001</v>
      </c>
      <c r="E501">
        <v>10432.9837553343</v>
      </c>
      <c r="F501">
        <v>6454.4269774690702</v>
      </c>
      <c r="G501">
        <v>5834.4451406817298</v>
      </c>
      <c r="H501">
        <v>20428.926864666901</v>
      </c>
      <c r="I501">
        <v>11709.417190304601</v>
      </c>
      <c r="J501">
        <v>1326.5289036342001</v>
      </c>
      <c r="K501">
        <v>1382.58816159703</v>
      </c>
      <c r="L501">
        <v>754.81309176202899</v>
      </c>
      <c r="M501">
        <v>4730.3141517916501</v>
      </c>
      <c r="N501">
        <v>502.58943799384502</v>
      </c>
      <c r="O501">
        <v>598.37859747870505</v>
      </c>
      <c r="P501">
        <v>1066.1922411102501</v>
      </c>
      <c r="Q501">
        <v>2909.15691919546</v>
      </c>
      <c r="R501">
        <v>781.02788795878405</v>
      </c>
      <c r="S501">
        <v>449.37134534955499</v>
      </c>
      <c r="T501">
        <v>196.220541117235</v>
      </c>
      <c r="U501">
        <v>282.79843972712899</v>
      </c>
      <c r="V501">
        <v>127.031860512591</v>
      </c>
      <c r="W501">
        <v>143.39922006047701</v>
      </c>
      <c r="X501">
        <v>126.498557203307</v>
      </c>
      <c r="Y501">
        <v>671.72000328027002</v>
      </c>
      <c r="Z501">
        <v>206.055992756781</v>
      </c>
      <c r="AA501">
        <v>669.52921110967202</v>
      </c>
      <c r="AB501">
        <v>742.77185936258604</v>
      </c>
      <c r="AC501">
        <v>495.398503259184</v>
      </c>
      <c r="AD501">
        <v>678.63622661376201</v>
      </c>
      <c r="AE501">
        <v>568.453476888159</v>
      </c>
      <c r="AF501">
        <v>512.86431467862496</v>
      </c>
      <c r="AG501">
        <v>723.63440671855005</v>
      </c>
    </row>
    <row r="502" spans="1:33" x14ac:dyDescent="0.25">
      <c r="A502" s="1">
        <v>44553</v>
      </c>
      <c r="B502">
        <v>11387.6886802723</v>
      </c>
      <c r="C502">
        <v>1471.0207047296999</v>
      </c>
      <c r="D502">
        <v>6618.0490465419798</v>
      </c>
      <c r="E502">
        <v>9891.2452192893998</v>
      </c>
      <c r="F502">
        <v>7112.6122648212504</v>
      </c>
      <c r="G502">
        <v>6940.5732158129204</v>
      </c>
      <c r="H502">
        <v>22358.6185408905</v>
      </c>
      <c r="I502">
        <v>11389.0717244143</v>
      </c>
      <c r="J502">
        <v>1230.98734189879</v>
      </c>
      <c r="K502">
        <v>1319.64009030695</v>
      </c>
      <c r="L502">
        <v>748.86538134608998</v>
      </c>
      <c r="M502">
        <v>5546.7240157075003</v>
      </c>
      <c r="N502">
        <v>590.28745375526205</v>
      </c>
      <c r="O502">
        <v>598.108165161221</v>
      </c>
      <c r="P502">
        <v>996.18854928573103</v>
      </c>
      <c r="Q502">
        <v>3498.61534581656</v>
      </c>
      <c r="R502">
        <v>777.11903573122697</v>
      </c>
      <c r="S502">
        <v>441.94811299417199</v>
      </c>
      <c r="T502">
        <v>201.12620918109999</v>
      </c>
      <c r="U502">
        <v>259.770952482626</v>
      </c>
      <c r="V502">
        <v>144.13900937258299</v>
      </c>
      <c r="W502">
        <v>164.32120212292</v>
      </c>
      <c r="X502">
        <v>142.79004460233401</v>
      </c>
      <c r="Y502">
        <v>696.57055476940002</v>
      </c>
      <c r="Z502">
        <v>213.29647525772799</v>
      </c>
      <c r="AA502">
        <v>666.30630353485606</v>
      </c>
      <c r="AB502">
        <v>746.82969666812699</v>
      </c>
      <c r="AC502">
        <v>499.62937034559798</v>
      </c>
      <c r="AD502">
        <v>670.87589656061698</v>
      </c>
      <c r="AE502">
        <v>616.48384421078697</v>
      </c>
      <c r="AF502">
        <v>522.79225654554898</v>
      </c>
      <c r="AG502">
        <v>760.66016392126505</v>
      </c>
    </row>
    <row r="503" spans="1:33" x14ac:dyDescent="0.25">
      <c r="A503" s="1">
        <v>44554</v>
      </c>
      <c r="B503">
        <v>11592.8412534579</v>
      </c>
      <c r="C503">
        <v>2010.17365681056</v>
      </c>
      <c r="D503">
        <v>5949.4677552718304</v>
      </c>
      <c r="E503">
        <v>9439.8969327248105</v>
      </c>
      <c r="F503">
        <v>7119.2959903167302</v>
      </c>
      <c r="G503">
        <v>5308.5976212165897</v>
      </c>
      <c r="H503">
        <v>20419.845479471998</v>
      </c>
      <c r="I503">
        <v>11567.4108376692</v>
      </c>
      <c r="J503">
        <v>1222.9090576645799</v>
      </c>
      <c r="K503">
        <v>1263.8119159897201</v>
      </c>
      <c r="L503">
        <v>683.01207359165801</v>
      </c>
      <c r="M503">
        <v>4219.4064339094202</v>
      </c>
      <c r="N503">
        <v>412.83165632649298</v>
      </c>
      <c r="O503">
        <v>472.136216232126</v>
      </c>
      <c r="P503">
        <v>866.18389022570204</v>
      </c>
      <c r="Q503">
        <v>2614.59827842098</v>
      </c>
      <c r="R503">
        <v>666.56168291780398</v>
      </c>
      <c r="S503">
        <v>442.23142859523301</v>
      </c>
      <c r="T503">
        <v>196.675490813506</v>
      </c>
      <c r="U503">
        <v>266.50465634160201</v>
      </c>
      <c r="V503">
        <v>163.64963788677201</v>
      </c>
      <c r="W503">
        <v>174.227873988726</v>
      </c>
      <c r="X503">
        <v>165.02180397816301</v>
      </c>
      <c r="Y503">
        <v>677.18518071205199</v>
      </c>
      <c r="Z503">
        <v>243.11482078600801</v>
      </c>
      <c r="AA503">
        <v>670.88367235138696</v>
      </c>
      <c r="AB503">
        <v>733.56102820884905</v>
      </c>
      <c r="AC503">
        <v>515.79374161125395</v>
      </c>
      <c r="AD503">
        <v>604.79754405542201</v>
      </c>
      <c r="AE503">
        <v>637.08668794147695</v>
      </c>
      <c r="AF503">
        <v>533.42556869226496</v>
      </c>
      <c r="AG503">
        <v>787.08988813011604</v>
      </c>
    </row>
    <row r="504" spans="1:33" x14ac:dyDescent="0.25">
      <c r="A504" s="1">
        <v>44555</v>
      </c>
      <c r="B504">
        <v>11666.726420744501</v>
      </c>
      <c r="C504">
        <v>2608.0466016467499</v>
      </c>
      <c r="D504">
        <v>5641.2847011759404</v>
      </c>
      <c r="E504">
        <v>9000.3427727042999</v>
      </c>
      <c r="F504">
        <v>5880.9869713095004</v>
      </c>
      <c r="G504">
        <v>3580.8089558459101</v>
      </c>
      <c r="H504">
        <v>17828.5273881393</v>
      </c>
      <c r="I504">
        <v>11024.5175595039</v>
      </c>
      <c r="J504">
        <v>1181.5543898707399</v>
      </c>
      <c r="K504">
        <v>1218.77382035762</v>
      </c>
      <c r="L504">
        <v>629.85831356128995</v>
      </c>
      <c r="M504">
        <v>2865.5692802694098</v>
      </c>
      <c r="N504">
        <v>309.68425230365</v>
      </c>
      <c r="O504">
        <v>401.25433815608699</v>
      </c>
      <c r="P504">
        <v>813.84711414582898</v>
      </c>
      <c r="Q504">
        <v>1648.6227564533599</v>
      </c>
      <c r="R504">
        <v>544.26994392227596</v>
      </c>
      <c r="S504">
        <v>436.21889224185799</v>
      </c>
      <c r="T504">
        <v>201.953884194485</v>
      </c>
      <c r="U504">
        <v>267.49300179727101</v>
      </c>
      <c r="V504">
        <v>179.21607056321599</v>
      </c>
      <c r="W504">
        <v>184.314871907677</v>
      </c>
      <c r="X504">
        <v>179.91138829934701</v>
      </c>
      <c r="Y504">
        <v>629.08781434341995</v>
      </c>
      <c r="Z504">
        <v>218.90355215237099</v>
      </c>
      <c r="AA504">
        <v>677.89137128971902</v>
      </c>
      <c r="AB504">
        <v>690.86028321886795</v>
      </c>
      <c r="AC504">
        <v>536.68506072811203</v>
      </c>
      <c r="AD504">
        <v>562.60764947050404</v>
      </c>
      <c r="AE504">
        <v>522.00041840713595</v>
      </c>
      <c r="AF504">
        <v>550.21783587373</v>
      </c>
      <c r="AG504">
        <v>862.70250323612504</v>
      </c>
    </row>
    <row r="505" spans="1:33" x14ac:dyDescent="0.25">
      <c r="A505" s="1">
        <v>44556</v>
      </c>
      <c r="B505">
        <v>11741.066244949199</v>
      </c>
      <c r="C505">
        <v>2462.5720042446601</v>
      </c>
      <c r="D505">
        <v>4853.9685203008303</v>
      </c>
      <c r="E505">
        <v>8675.4355737451006</v>
      </c>
      <c r="F505">
        <v>4079.9049672302099</v>
      </c>
      <c r="G505">
        <v>1652.6868211757901</v>
      </c>
      <c r="H505">
        <v>13118.6099844906</v>
      </c>
      <c r="I505">
        <v>10518.568818809799</v>
      </c>
      <c r="J505">
        <v>1161.4598793124001</v>
      </c>
      <c r="K505">
        <v>1154.13819387841</v>
      </c>
      <c r="L505">
        <v>608.76114588203302</v>
      </c>
      <c r="M505">
        <v>1417.8199985424999</v>
      </c>
      <c r="N505">
        <v>247.20882860387101</v>
      </c>
      <c r="O505">
        <v>303.40089248825501</v>
      </c>
      <c r="P505">
        <v>745.91525181478801</v>
      </c>
      <c r="Q505">
        <v>795.45785855909105</v>
      </c>
      <c r="R505">
        <v>462.31898885059599</v>
      </c>
      <c r="S505">
        <v>449.64245986588003</v>
      </c>
      <c r="T505">
        <v>208.591138218168</v>
      </c>
      <c r="U505">
        <v>267.89358325949399</v>
      </c>
      <c r="V505">
        <v>190.34242561385199</v>
      </c>
      <c r="W505">
        <v>177.10817460004199</v>
      </c>
      <c r="X505">
        <v>190.243800318003</v>
      </c>
      <c r="Y505">
        <v>639.86545971472503</v>
      </c>
      <c r="Z505">
        <v>219.69621186933301</v>
      </c>
      <c r="AA505">
        <v>682.13078764055695</v>
      </c>
      <c r="AB505">
        <v>683.45582058066805</v>
      </c>
      <c r="AC505">
        <v>533.23312549859804</v>
      </c>
      <c r="AD505">
        <v>526.70109850513597</v>
      </c>
      <c r="AE505">
        <v>481.59503000783701</v>
      </c>
      <c r="AF505">
        <v>575.98567269245405</v>
      </c>
      <c r="AG505">
        <v>921.66441420552303</v>
      </c>
    </row>
    <row r="506" spans="1:33" x14ac:dyDescent="0.25">
      <c r="A506" s="1">
        <v>44557</v>
      </c>
      <c r="B506">
        <v>11680.6628576317</v>
      </c>
      <c r="C506">
        <v>1835.2722275528299</v>
      </c>
      <c r="D506">
        <v>4607.25461314106</v>
      </c>
      <c r="E506">
        <v>8376.4491079109903</v>
      </c>
      <c r="F506">
        <v>2693.6090661533699</v>
      </c>
      <c r="G506">
        <v>1010.28304337715</v>
      </c>
      <c r="H506">
        <v>11109.8831285218</v>
      </c>
      <c r="I506">
        <v>9468.8567046370008</v>
      </c>
      <c r="J506">
        <v>1110.55479990862</v>
      </c>
      <c r="K506">
        <v>1104.21708915816</v>
      </c>
      <c r="L506">
        <v>579.58408187592795</v>
      </c>
      <c r="M506">
        <v>941.30644812563003</v>
      </c>
      <c r="N506">
        <v>228.71943703157299</v>
      </c>
      <c r="O506">
        <v>300.51252431462899</v>
      </c>
      <c r="P506">
        <v>665.26133721145197</v>
      </c>
      <c r="Q506">
        <v>567.50006021810805</v>
      </c>
      <c r="R506">
        <v>413.55997962675298</v>
      </c>
      <c r="S506">
        <v>456.02654251872298</v>
      </c>
      <c r="T506">
        <v>208.47472907416699</v>
      </c>
      <c r="U506">
        <v>263.30467048504801</v>
      </c>
      <c r="V506">
        <v>160.262135080809</v>
      </c>
      <c r="W506">
        <v>136.12080109804899</v>
      </c>
      <c r="X506">
        <v>159.07550837911299</v>
      </c>
      <c r="Y506">
        <v>674.97903213285701</v>
      </c>
      <c r="Z506">
        <v>222.763173322386</v>
      </c>
      <c r="AA506">
        <v>686.06327095633696</v>
      </c>
      <c r="AB506">
        <v>713.36538111438301</v>
      </c>
      <c r="AC506">
        <v>490.90292486963801</v>
      </c>
      <c r="AD506">
        <v>500.26900879281197</v>
      </c>
      <c r="AE506">
        <v>418.60023591373499</v>
      </c>
      <c r="AF506">
        <v>597.57671962782695</v>
      </c>
      <c r="AG506">
        <v>925.75412354453704</v>
      </c>
    </row>
    <row r="507" spans="1:33" x14ac:dyDescent="0.25">
      <c r="A507" s="1">
        <v>44558</v>
      </c>
      <c r="B507">
        <v>11575.639595070201</v>
      </c>
      <c r="C507">
        <v>1031.9423873330099</v>
      </c>
      <c r="D507">
        <v>4337.2009342584697</v>
      </c>
      <c r="E507">
        <v>8044.3759453232897</v>
      </c>
      <c r="F507">
        <v>1941.09552702212</v>
      </c>
      <c r="G507">
        <v>672.28199713685399</v>
      </c>
      <c r="H507">
        <v>9139.7239320707304</v>
      </c>
      <c r="I507">
        <v>7868.1134220395797</v>
      </c>
      <c r="J507">
        <v>1071.83226359735</v>
      </c>
      <c r="K507">
        <v>1059.6711327487999</v>
      </c>
      <c r="L507">
        <v>533.72068275428398</v>
      </c>
      <c r="M507">
        <v>743.93992155864203</v>
      </c>
      <c r="N507">
        <v>214.356542741174</v>
      </c>
      <c r="O507">
        <v>266.60389571170299</v>
      </c>
      <c r="P507">
        <v>594.71968067754096</v>
      </c>
      <c r="Q507">
        <v>404.77023695685398</v>
      </c>
      <c r="R507">
        <v>373.92183288834502</v>
      </c>
      <c r="S507">
        <v>467.24396800938001</v>
      </c>
      <c r="T507">
        <v>194.40104367744701</v>
      </c>
      <c r="U507">
        <v>297.64184813256298</v>
      </c>
      <c r="V507">
        <v>125.850687080193</v>
      </c>
      <c r="W507">
        <v>114.01105767719</v>
      </c>
      <c r="X507">
        <v>125.43416282511301</v>
      </c>
      <c r="Y507">
        <v>674.28986983619995</v>
      </c>
      <c r="Z507">
        <v>217.91425648608799</v>
      </c>
      <c r="AA507">
        <v>688.64800160873904</v>
      </c>
      <c r="AB507">
        <v>727.34100447981302</v>
      </c>
      <c r="AC507">
        <v>456.71351659175798</v>
      </c>
      <c r="AD507">
        <v>468.36714135863502</v>
      </c>
      <c r="AE507">
        <v>325.44561016951502</v>
      </c>
      <c r="AF507">
        <v>600.20102817419104</v>
      </c>
      <c r="AG507">
        <v>921.67422090606203</v>
      </c>
    </row>
    <row r="508" spans="1:33" x14ac:dyDescent="0.25">
      <c r="A508" s="1">
        <v>44559</v>
      </c>
      <c r="B508">
        <v>11198.8218237909</v>
      </c>
      <c r="C508">
        <v>819.17150185443302</v>
      </c>
      <c r="D508">
        <v>4411.9391357039603</v>
      </c>
      <c r="E508">
        <v>7543.6736258118199</v>
      </c>
      <c r="F508">
        <v>1329.83706300209</v>
      </c>
      <c r="G508">
        <v>698.03827832945899</v>
      </c>
      <c r="H508">
        <v>10128.4280886375</v>
      </c>
      <c r="I508">
        <v>6467.7814814676103</v>
      </c>
      <c r="J508">
        <v>1019.33453014263</v>
      </c>
      <c r="K508">
        <v>969.84209091411105</v>
      </c>
      <c r="L508">
        <v>483.78555441527499</v>
      </c>
      <c r="M508">
        <v>703.86405074635604</v>
      </c>
      <c r="N508">
        <v>194.27294857044899</v>
      </c>
      <c r="O508">
        <v>255.37538564037899</v>
      </c>
      <c r="P508">
        <v>546.87908156847197</v>
      </c>
      <c r="Q508">
        <v>367.56564863209599</v>
      </c>
      <c r="R508">
        <v>366.28085411316698</v>
      </c>
      <c r="S508">
        <v>475.68104952392201</v>
      </c>
      <c r="T508">
        <v>175.81589668438201</v>
      </c>
      <c r="U508">
        <v>289.36743436557799</v>
      </c>
      <c r="V508">
        <v>117.869465478507</v>
      </c>
      <c r="W508">
        <v>125.31653603252801</v>
      </c>
      <c r="X508">
        <v>117.448715374975</v>
      </c>
      <c r="Y508">
        <v>655.81997698632802</v>
      </c>
      <c r="Z508">
        <v>221.09685759424801</v>
      </c>
      <c r="AA508">
        <v>690.58960433058905</v>
      </c>
      <c r="AB508">
        <v>739.05419716927895</v>
      </c>
      <c r="AC508">
        <v>428.01064941833101</v>
      </c>
      <c r="AD508">
        <v>435.090535300363</v>
      </c>
      <c r="AE508">
        <v>297.46812972858402</v>
      </c>
      <c r="AF508">
        <v>597.90586030199495</v>
      </c>
      <c r="AG508">
        <v>911.77676720748195</v>
      </c>
    </row>
    <row r="509" spans="1:33" x14ac:dyDescent="0.25">
      <c r="A509" s="1">
        <v>44560</v>
      </c>
      <c r="B509">
        <v>9685.8744718018897</v>
      </c>
      <c r="C509">
        <v>634.73391466807902</v>
      </c>
      <c r="D509">
        <v>4409.07782626069</v>
      </c>
      <c r="E509">
        <v>7020.33026904083</v>
      </c>
      <c r="F509">
        <v>1114.7382654599101</v>
      </c>
      <c r="G509">
        <v>924.99556049645105</v>
      </c>
      <c r="H509">
        <v>10928.222086665</v>
      </c>
      <c r="I509">
        <v>5667.7903748375102</v>
      </c>
      <c r="J509">
        <v>954.248497512477</v>
      </c>
      <c r="K509">
        <v>885.90243376051706</v>
      </c>
      <c r="L509">
        <v>445.29660569599099</v>
      </c>
      <c r="M509">
        <v>712.689096742532</v>
      </c>
      <c r="N509">
        <v>184.67294270680699</v>
      </c>
      <c r="O509">
        <v>275.850489845222</v>
      </c>
      <c r="P509">
        <v>508.34183436033999</v>
      </c>
      <c r="Q509">
        <v>381.93604843938499</v>
      </c>
      <c r="R509">
        <v>369.38142745164402</v>
      </c>
      <c r="S509">
        <v>488.23415762735999</v>
      </c>
      <c r="T509">
        <v>180.15616110432899</v>
      </c>
      <c r="U509">
        <v>287.88405051108901</v>
      </c>
      <c r="V509">
        <v>129.51508077968299</v>
      </c>
      <c r="W509">
        <v>122.164296904624</v>
      </c>
      <c r="X509">
        <v>128.73574904892601</v>
      </c>
      <c r="Y509">
        <v>623.55875829187903</v>
      </c>
      <c r="Z509">
        <v>198.59236261043199</v>
      </c>
      <c r="AA509">
        <v>692.84988422969195</v>
      </c>
      <c r="AB509">
        <v>726.43795908577204</v>
      </c>
      <c r="AC509">
        <v>459.01941647407801</v>
      </c>
      <c r="AD509">
        <v>413.78902500520098</v>
      </c>
      <c r="AE509">
        <v>278.70391225599002</v>
      </c>
      <c r="AF509">
        <v>570.94754961354602</v>
      </c>
      <c r="AG509">
        <v>860.20938030982495</v>
      </c>
    </row>
    <row r="510" spans="1:33" x14ac:dyDescent="0.25">
      <c r="A510" s="1">
        <v>44561</v>
      </c>
      <c r="B510">
        <v>8229.2241178511194</v>
      </c>
      <c r="C510">
        <v>503.71860798070298</v>
      </c>
      <c r="D510">
        <v>4392.5778877540997</v>
      </c>
      <c r="E510">
        <v>6289.5738044037498</v>
      </c>
      <c r="F510">
        <v>1307.54764382691</v>
      </c>
      <c r="G510">
        <v>1013.65594631541</v>
      </c>
      <c r="H510">
        <v>11574.860944935001</v>
      </c>
      <c r="I510">
        <v>5109.60824319106</v>
      </c>
      <c r="J510">
        <v>896.927934369117</v>
      </c>
      <c r="K510">
        <v>856.06597663809703</v>
      </c>
      <c r="L510">
        <v>425.09128749007101</v>
      </c>
      <c r="M510">
        <v>785.68350391930801</v>
      </c>
      <c r="N510">
        <v>185.60553120289401</v>
      </c>
      <c r="O510">
        <v>296.00181440163499</v>
      </c>
      <c r="P510">
        <v>476.29370545542002</v>
      </c>
      <c r="Q510">
        <v>422.70367434600399</v>
      </c>
      <c r="R510">
        <v>379.21067831405998</v>
      </c>
      <c r="S510">
        <v>497.34714855247501</v>
      </c>
      <c r="T510">
        <v>179.48397285691999</v>
      </c>
      <c r="U510">
        <v>294.00239805622601</v>
      </c>
      <c r="V510">
        <v>119.804208269029</v>
      </c>
      <c r="W510">
        <v>122.232130572109</v>
      </c>
      <c r="X510">
        <v>119.134552551764</v>
      </c>
      <c r="Y510">
        <v>625.21436617444999</v>
      </c>
      <c r="Z510">
        <v>187.05230910999501</v>
      </c>
      <c r="AA510">
        <v>692.924922210918</v>
      </c>
      <c r="AB510">
        <v>736.75916505683301</v>
      </c>
      <c r="AC510">
        <v>500.07002548384997</v>
      </c>
      <c r="AD510">
        <v>397.40869479628998</v>
      </c>
      <c r="AE510">
        <v>294.25866677773502</v>
      </c>
      <c r="AF510">
        <v>538.88715143547699</v>
      </c>
      <c r="AG510">
        <v>824.12937394984897</v>
      </c>
    </row>
    <row r="511" spans="1:33" x14ac:dyDescent="0.25">
      <c r="A511" s="1">
        <v>44562</v>
      </c>
      <c r="B511">
        <v>7364.3015890093802</v>
      </c>
      <c r="C511">
        <v>432.95499091972198</v>
      </c>
      <c r="D511">
        <v>4232.6147628233002</v>
      </c>
      <c r="E511">
        <v>5802.8582418872402</v>
      </c>
      <c r="F511">
        <v>1130.2777845242699</v>
      </c>
      <c r="G511">
        <v>880.93638191975799</v>
      </c>
      <c r="H511">
        <v>9813.2277307732202</v>
      </c>
      <c r="I511">
        <v>3862.3893149599198</v>
      </c>
      <c r="J511">
        <v>830.18393881158602</v>
      </c>
      <c r="K511">
        <v>830.53188176478898</v>
      </c>
      <c r="L511">
        <v>408.49490254041501</v>
      </c>
      <c r="M511">
        <v>709.55104601148105</v>
      </c>
      <c r="N511">
        <v>190.36536188378599</v>
      </c>
      <c r="O511">
        <v>297.35074884444202</v>
      </c>
      <c r="P511">
        <v>454.36102093341998</v>
      </c>
      <c r="Q511">
        <v>399.49869584395702</v>
      </c>
      <c r="R511">
        <v>367.09243151968298</v>
      </c>
      <c r="S511">
        <v>508.39621624136402</v>
      </c>
      <c r="T511">
        <v>176.564547803122</v>
      </c>
      <c r="U511">
        <v>297.239123121175</v>
      </c>
      <c r="V511">
        <v>127.44861948509499</v>
      </c>
      <c r="W511">
        <v>128.795642670744</v>
      </c>
      <c r="X511">
        <v>127.524459422002</v>
      </c>
      <c r="Y511">
        <v>636.60300939846104</v>
      </c>
      <c r="Z511">
        <v>184.94763655259001</v>
      </c>
      <c r="AA511">
        <v>690.89458001210403</v>
      </c>
      <c r="AB511">
        <v>738.524358199365</v>
      </c>
      <c r="AC511">
        <v>475.48949747539302</v>
      </c>
      <c r="AD511">
        <v>387.21735346181902</v>
      </c>
      <c r="AE511">
        <v>302.70967780955999</v>
      </c>
      <c r="AF511">
        <v>496.67088770431002</v>
      </c>
      <c r="AG511">
        <v>800.29690507758198</v>
      </c>
    </row>
    <row r="512" spans="1:33" x14ac:dyDescent="0.25">
      <c r="A512" t="s">
        <v>37</v>
      </c>
      <c r="B512">
        <f>COUNTIF(B$3:B$511,"&gt;=1000")</f>
        <v>509</v>
      </c>
      <c r="C512">
        <f t="shared" ref="C512:AG512" si="0">COUNTIF(C$3:C$511,"&gt;=1000")</f>
        <v>505</v>
      </c>
      <c r="D512">
        <f t="shared" si="0"/>
        <v>509</v>
      </c>
      <c r="E512">
        <f t="shared" si="0"/>
        <v>509</v>
      </c>
      <c r="F512">
        <f t="shared" si="0"/>
        <v>509</v>
      </c>
      <c r="G512">
        <f t="shared" si="0"/>
        <v>505</v>
      </c>
      <c r="H512">
        <f t="shared" si="0"/>
        <v>509</v>
      </c>
      <c r="I512">
        <f t="shared" si="0"/>
        <v>509</v>
      </c>
      <c r="J512">
        <f t="shared" si="0"/>
        <v>425</v>
      </c>
      <c r="K512">
        <f t="shared" si="0"/>
        <v>423</v>
      </c>
      <c r="L512">
        <f t="shared" si="0"/>
        <v>151</v>
      </c>
      <c r="M512">
        <f t="shared" si="0"/>
        <v>503</v>
      </c>
      <c r="N512">
        <f t="shared" si="0"/>
        <v>458</v>
      </c>
      <c r="O512">
        <f t="shared" si="0"/>
        <v>126</v>
      </c>
      <c r="P512">
        <f t="shared" si="0"/>
        <v>422</v>
      </c>
      <c r="Q512">
        <f t="shared" si="0"/>
        <v>502</v>
      </c>
      <c r="R512">
        <f t="shared" si="0"/>
        <v>268</v>
      </c>
      <c r="S512">
        <f t="shared" si="0"/>
        <v>0</v>
      </c>
      <c r="T512">
        <f t="shared" si="0"/>
        <v>37</v>
      </c>
      <c r="U512">
        <f t="shared" si="0"/>
        <v>0</v>
      </c>
      <c r="V512">
        <f t="shared" si="0"/>
        <v>28</v>
      </c>
      <c r="W512">
        <f t="shared" si="0"/>
        <v>0</v>
      </c>
      <c r="X512">
        <f t="shared" si="0"/>
        <v>0</v>
      </c>
      <c r="Y512">
        <f t="shared" si="0"/>
        <v>3</v>
      </c>
      <c r="Z512">
        <f t="shared" si="0"/>
        <v>0</v>
      </c>
      <c r="AA512">
        <f t="shared" si="0"/>
        <v>0</v>
      </c>
      <c r="AB512">
        <f t="shared" si="0"/>
        <v>31</v>
      </c>
      <c r="AC512">
        <f t="shared" si="0"/>
        <v>5</v>
      </c>
      <c r="AD512">
        <f t="shared" si="0"/>
        <v>53</v>
      </c>
      <c r="AE512">
        <f t="shared" si="0"/>
        <v>16</v>
      </c>
      <c r="AF512">
        <f t="shared" si="0"/>
        <v>0</v>
      </c>
      <c r="AG512">
        <f t="shared" si="0"/>
        <v>0</v>
      </c>
    </row>
    <row r="513" spans="1:57" x14ac:dyDescent="0.25">
      <c r="A513" t="s">
        <v>38</v>
      </c>
      <c r="B513">
        <f>COUNTIF(B$54:B$235,"&gt;=1000")</f>
        <v>182</v>
      </c>
      <c r="C513">
        <f t="shared" ref="C513:AG513" si="1">COUNTIF(C$54:C$235,"&gt;=1000")</f>
        <v>182</v>
      </c>
      <c r="D513">
        <f t="shared" si="1"/>
        <v>182</v>
      </c>
      <c r="E513">
        <f t="shared" si="1"/>
        <v>182</v>
      </c>
      <c r="F513">
        <f t="shared" si="1"/>
        <v>182</v>
      </c>
      <c r="G513">
        <f t="shared" si="1"/>
        <v>182</v>
      </c>
      <c r="H513">
        <f t="shared" si="1"/>
        <v>182</v>
      </c>
      <c r="I513">
        <f t="shared" si="1"/>
        <v>182</v>
      </c>
      <c r="J513">
        <f t="shared" si="1"/>
        <v>147</v>
      </c>
      <c r="K513">
        <f t="shared" si="1"/>
        <v>134</v>
      </c>
      <c r="L513">
        <f t="shared" si="1"/>
        <v>15</v>
      </c>
      <c r="M513">
        <f t="shared" si="1"/>
        <v>182</v>
      </c>
      <c r="N513">
        <f t="shared" si="1"/>
        <v>156</v>
      </c>
      <c r="O513">
        <f t="shared" si="1"/>
        <v>11</v>
      </c>
      <c r="P513">
        <f t="shared" si="1"/>
        <v>145</v>
      </c>
      <c r="Q513">
        <f t="shared" si="1"/>
        <v>182</v>
      </c>
      <c r="R513">
        <f t="shared" si="1"/>
        <v>88</v>
      </c>
      <c r="S513">
        <f t="shared" si="1"/>
        <v>0</v>
      </c>
      <c r="T513">
        <f t="shared" si="1"/>
        <v>0</v>
      </c>
      <c r="U513">
        <f t="shared" si="1"/>
        <v>0</v>
      </c>
      <c r="V513">
        <f t="shared" si="1"/>
        <v>0</v>
      </c>
      <c r="W513">
        <f t="shared" si="1"/>
        <v>0</v>
      </c>
      <c r="X513">
        <f t="shared" si="1"/>
        <v>0</v>
      </c>
      <c r="Y513">
        <f t="shared" si="1"/>
        <v>0</v>
      </c>
      <c r="Z513">
        <f t="shared" si="1"/>
        <v>0</v>
      </c>
      <c r="AA513">
        <f t="shared" si="1"/>
        <v>0</v>
      </c>
      <c r="AB513">
        <f t="shared" si="1"/>
        <v>0</v>
      </c>
      <c r="AC513">
        <f t="shared" si="1"/>
        <v>5</v>
      </c>
      <c r="AD513">
        <f t="shared" si="1"/>
        <v>0</v>
      </c>
      <c r="AE513">
        <f t="shared" si="1"/>
        <v>16</v>
      </c>
      <c r="AF513">
        <f t="shared" si="1"/>
        <v>0</v>
      </c>
      <c r="AG513">
        <f t="shared" si="1"/>
        <v>0</v>
      </c>
      <c r="AH513" t="s">
        <v>109</v>
      </c>
    </row>
    <row r="514" spans="1:57" x14ac:dyDescent="0.25">
      <c r="A514" t="s">
        <v>39</v>
      </c>
      <c r="B514">
        <f>COUNTIF(B$419:B$511,"&gt;=1000")</f>
        <v>93</v>
      </c>
      <c r="C514">
        <f t="shared" ref="C514:AG514" si="2">COUNTIF(C$419:C$511,"&gt;=1000")</f>
        <v>89</v>
      </c>
      <c r="D514">
        <f t="shared" si="2"/>
        <v>93</v>
      </c>
      <c r="E514">
        <f t="shared" si="2"/>
        <v>93</v>
      </c>
      <c r="F514">
        <f t="shared" si="2"/>
        <v>93</v>
      </c>
      <c r="G514">
        <f t="shared" si="2"/>
        <v>89</v>
      </c>
      <c r="H514">
        <f t="shared" si="2"/>
        <v>93</v>
      </c>
      <c r="I514">
        <f t="shared" si="2"/>
        <v>93</v>
      </c>
      <c r="J514">
        <f t="shared" si="2"/>
        <v>83</v>
      </c>
      <c r="K514">
        <f t="shared" si="2"/>
        <v>85</v>
      </c>
      <c r="L514">
        <f t="shared" si="2"/>
        <v>33</v>
      </c>
      <c r="M514">
        <f t="shared" si="2"/>
        <v>87</v>
      </c>
      <c r="N514">
        <f t="shared" si="2"/>
        <v>68</v>
      </c>
      <c r="O514">
        <f t="shared" si="2"/>
        <v>33</v>
      </c>
      <c r="P514">
        <f t="shared" si="2"/>
        <v>71</v>
      </c>
      <c r="Q514">
        <f t="shared" si="2"/>
        <v>86</v>
      </c>
      <c r="R514">
        <f t="shared" si="2"/>
        <v>38</v>
      </c>
      <c r="S514">
        <f t="shared" si="2"/>
        <v>0</v>
      </c>
      <c r="T514">
        <f t="shared" si="2"/>
        <v>2</v>
      </c>
      <c r="U514">
        <f t="shared" si="2"/>
        <v>0</v>
      </c>
      <c r="V514">
        <f t="shared" si="2"/>
        <v>1</v>
      </c>
      <c r="W514">
        <f t="shared" si="2"/>
        <v>0</v>
      </c>
      <c r="X514">
        <f t="shared" si="2"/>
        <v>0</v>
      </c>
      <c r="Y514">
        <f t="shared" si="2"/>
        <v>3</v>
      </c>
      <c r="Z514">
        <f t="shared" si="2"/>
        <v>0</v>
      </c>
      <c r="AA514">
        <f t="shared" si="2"/>
        <v>0</v>
      </c>
      <c r="AB514">
        <f t="shared" si="2"/>
        <v>16</v>
      </c>
      <c r="AC514">
        <f t="shared" si="2"/>
        <v>0</v>
      </c>
      <c r="AD514">
        <f t="shared" si="2"/>
        <v>25</v>
      </c>
      <c r="AE514">
        <f t="shared" si="2"/>
        <v>0</v>
      </c>
      <c r="AF514">
        <f t="shared" si="2"/>
        <v>0</v>
      </c>
      <c r="AG514">
        <f t="shared" si="2"/>
        <v>0</v>
      </c>
      <c r="AH514" t="s">
        <v>110</v>
      </c>
    </row>
    <row r="515" spans="1:57" x14ac:dyDescent="0.25">
      <c r="A515" t="s">
        <v>40</v>
      </c>
      <c r="B515">
        <f>COUNTIF(B$3:B$53,"&gt;=1000")</f>
        <v>51</v>
      </c>
      <c r="C515">
        <f t="shared" ref="C515:AG515" si="3">COUNTIF(C$3:C$53,"&gt;=1000")</f>
        <v>51</v>
      </c>
      <c r="D515">
        <f t="shared" si="3"/>
        <v>51</v>
      </c>
      <c r="E515">
        <f t="shared" si="3"/>
        <v>51</v>
      </c>
      <c r="F515">
        <f t="shared" si="3"/>
        <v>51</v>
      </c>
      <c r="G515">
        <f t="shared" si="3"/>
        <v>51</v>
      </c>
      <c r="H515">
        <f t="shared" si="3"/>
        <v>51</v>
      </c>
      <c r="I515">
        <f t="shared" si="3"/>
        <v>51</v>
      </c>
      <c r="J515">
        <f t="shared" si="3"/>
        <v>51</v>
      </c>
      <c r="K515">
        <f t="shared" si="3"/>
        <v>51</v>
      </c>
      <c r="L515">
        <f t="shared" si="3"/>
        <v>13</v>
      </c>
      <c r="M515">
        <f t="shared" si="3"/>
        <v>51</v>
      </c>
      <c r="N515">
        <f t="shared" si="3"/>
        <v>51</v>
      </c>
      <c r="O515">
        <f t="shared" si="3"/>
        <v>9</v>
      </c>
      <c r="P515">
        <f t="shared" si="3"/>
        <v>51</v>
      </c>
      <c r="Q515">
        <f t="shared" si="3"/>
        <v>51</v>
      </c>
      <c r="R515">
        <f t="shared" si="3"/>
        <v>24</v>
      </c>
      <c r="S515">
        <f t="shared" si="3"/>
        <v>0</v>
      </c>
      <c r="T515">
        <f t="shared" si="3"/>
        <v>0</v>
      </c>
      <c r="U515">
        <f t="shared" si="3"/>
        <v>0</v>
      </c>
      <c r="V515">
        <f t="shared" si="3"/>
        <v>0</v>
      </c>
      <c r="W515">
        <f t="shared" si="3"/>
        <v>0</v>
      </c>
      <c r="X515">
        <f t="shared" si="3"/>
        <v>0</v>
      </c>
      <c r="Y515">
        <f t="shared" si="3"/>
        <v>0</v>
      </c>
      <c r="Z515">
        <f t="shared" si="3"/>
        <v>0</v>
      </c>
      <c r="AA515">
        <f t="shared" si="3"/>
        <v>0</v>
      </c>
      <c r="AB515">
        <f t="shared" si="3"/>
        <v>15</v>
      </c>
      <c r="AC515">
        <f t="shared" si="3"/>
        <v>0</v>
      </c>
      <c r="AD515">
        <f t="shared" si="3"/>
        <v>1</v>
      </c>
      <c r="AE515">
        <f t="shared" si="3"/>
        <v>0</v>
      </c>
      <c r="AF515">
        <f t="shared" si="3"/>
        <v>0</v>
      </c>
      <c r="AG515">
        <f t="shared" si="3"/>
        <v>0</v>
      </c>
      <c r="AH515" t="s">
        <v>111</v>
      </c>
    </row>
    <row r="516" spans="1:57" x14ac:dyDescent="0.25">
      <c r="A516" t="s">
        <v>41</v>
      </c>
      <c r="B516">
        <f>COUNTIF(B$236:B$418,"&gt;=1000")</f>
        <v>183</v>
      </c>
      <c r="C516">
        <f t="shared" ref="C516:AG516" si="4">COUNTIF(C$236:C$418,"&gt;=1000")</f>
        <v>183</v>
      </c>
      <c r="D516">
        <f t="shared" si="4"/>
        <v>183</v>
      </c>
      <c r="E516">
        <f t="shared" si="4"/>
        <v>183</v>
      </c>
      <c r="F516">
        <f t="shared" si="4"/>
        <v>183</v>
      </c>
      <c r="G516">
        <f t="shared" si="4"/>
        <v>183</v>
      </c>
      <c r="H516">
        <f t="shared" si="4"/>
        <v>183</v>
      </c>
      <c r="I516">
        <f t="shared" si="4"/>
        <v>183</v>
      </c>
      <c r="J516">
        <f t="shared" si="4"/>
        <v>144</v>
      </c>
      <c r="K516">
        <f t="shared" si="4"/>
        <v>153</v>
      </c>
      <c r="L516">
        <f t="shared" si="4"/>
        <v>90</v>
      </c>
      <c r="M516">
        <f t="shared" si="4"/>
        <v>183</v>
      </c>
      <c r="N516">
        <f t="shared" si="4"/>
        <v>183</v>
      </c>
      <c r="O516">
        <f t="shared" si="4"/>
        <v>73</v>
      </c>
      <c r="P516">
        <f t="shared" si="4"/>
        <v>155</v>
      </c>
      <c r="Q516">
        <f t="shared" si="4"/>
        <v>183</v>
      </c>
      <c r="R516">
        <f t="shared" si="4"/>
        <v>118</v>
      </c>
      <c r="S516">
        <f t="shared" si="4"/>
        <v>0</v>
      </c>
      <c r="T516">
        <f t="shared" si="4"/>
        <v>35</v>
      </c>
      <c r="U516">
        <f t="shared" si="4"/>
        <v>0</v>
      </c>
      <c r="V516">
        <f t="shared" si="4"/>
        <v>27</v>
      </c>
      <c r="W516">
        <f t="shared" si="4"/>
        <v>0</v>
      </c>
      <c r="X516">
        <f t="shared" si="4"/>
        <v>0</v>
      </c>
      <c r="Y516">
        <f t="shared" si="4"/>
        <v>0</v>
      </c>
      <c r="Z516">
        <f t="shared" si="4"/>
        <v>0</v>
      </c>
      <c r="AA516">
        <f t="shared" si="4"/>
        <v>0</v>
      </c>
      <c r="AB516">
        <f t="shared" si="4"/>
        <v>0</v>
      </c>
      <c r="AC516">
        <f t="shared" si="4"/>
        <v>0</v>
      </c>
      <c r="AD516">
        <f t="shared" si="4"/>
        <v>27</v>
      </c>
      <c r="AE516">
        <f t="shared" si="4"/>
        <v>0</v>
      </c>
      <c r="AF516">
        <f t="shared" si="4"/>
        <v>0</v>
      </c>
      <c r="AG516">
        <f t="shared" si="4"/>
        <v>0</v>
      </c>
      <c r="AH516" t="s">
        <v>112</v>
      </c>
    </row>
    <row r="517" spans="1:57" x14ac:dyDescent="0.25">
      <c r="A517" t="s">
        <v>42</v>
      </c>
      <c r="B517">
        <f>SUM(B$513,B$514)</f>
        <v>275</v>
      </c>
      <c r="C517">
        <f t="shared" ref="C517:AG517" si="5">SUM(C$513,C$514)</f>
        <v>271</v>
      </c>
      <c r="D517">
        <f t="shared" si="5"/>
        <v>275</v>
      </c>
      <c r="E517">
        <f t="shared" si="5"/>
        <v>275</v>
      </c>
      <c r="F517">
        <f t="shared" si="5"/>
        <v>275</v>
      </c>
      <c r="G517">
        <f t="shared" si="5"/>
        <v>271</v>
      </c>
      <c r="H517">
        <f t="shared" si="5"/>
        <v>275</v>
      </c>
      <c r="I517">
        <f t="shared" si="5"/>
        <v>275</v>
      </c>
      <c r="J517">
        <f t="shared" si="5"/>
        <v>230</v>
      </c>
      <c r="K517">
        <f t="shared" si="5"/>
        <v>219</v>
      </c>
      <c r="L517">
        <f t="shared" si="5"/>
        <v>48</v>
      </c>
      <c r="M517">
        <f t="shared" si="5"/>
        <v>269</v>
      </c>
      <c r="N517">
        <f t="shared" si="5"/>
        <v>224</v>
      </c>
      <c r="O517">
        <f t="shared" si="5"/>
        <v>44</v>
      </c>
      <c r="P517">
        <f t="shared" si="5"/>
        <v>216</v>
      </c>
      <c r="Q517">
        <f t="shared" si="5"/>
        <v>268</v>
      </c>
      <c r="R517">
        <f t="shared" si="5"/>
        <v>126</v>
      </c>
      <c r="S517">
        <f t="shared" si="5"/>
        <v>0</v>
      </c>
      <c r="T517">
        <f t="shared" si="5"/>
        <v>2</v>
      </c>
      <c r="U517">
        <f t="shared" si="5"/>
        <v>0</v>
      </c>
      <c r="V517">
        <f t="shared" si="5"/>
        <v>1</v>
      </c>
      <c r="W517">
        <f t="shared" si="5"/>
        <v>0</v>
      </c>
      <c r="X517">
        <f t="shared" si="5"/>
        <v>0</v>
      </c>
      <c r="Y517">
        <f t="shared" si="5"/>
        <v>3</v>
      </c>
      <c r="Z517">
        <f t="shared" si="5"/>
        <v>0</v>
      </c>
      <c r="AA517">
        <f t="shared" si="5"/>
        <v>0</v>
      </c>
      <c r="AB517">
        <f t="shared" si="5"/>
        <v>16</v>
      </c>
      <c r="AC517">
        <f t="shared" si="5"/>
        <v>5</v>
      </c>
      <c r="AD517">
        <f t="shared" si="5"/>
        <v>25</v>
      </c>
      <c r="AE517">
        <f t="shared" si="5"/>
        <v>16</v>
      </c>
      <c r="AF517">
        <f t="shared" si="5"/>
        <v>0</v>
      </c>
      <c r="AG517">
        <f t="shared" si="5"/>
        <v>0</v>
      </c>
    </row>
    <row r="518" spans="1:57" x14ac:dyDescent="0.25">
      <c r="A518" t="s">
        <v>43</v>
      </c>
      <c r="B518">
        <f>SUM(B$515,B$516)</f>
        <v>234</v>
      </c>
      <c r="C518">
        <f t="shared" ref="C518:AG518" si="6">SUM(C$515,C$516)</f>
        <v>234</v>
      </c>
      <c r="D518">
        <f t="shared" si="6"/>
        <v>234</v>
      </c>
      <c r="E518">
        <f t="shared" si="6"/>
        <v>234</v>
      </c>
      <c r="F518">
        <f t="shared" si="6"/>
        <v>234</v>
      </c>
      <c r="G518">
        <f t="shared" si="6"/>
        <v>234</v>
      </c>
      <c r="H518">
        <f t="shared" si="6"/>
        <v>234</v>
      </c>
      <c r="I518">
        <f t="shared" si="6"/>
        <v>234</v>
      </c>
      <c r="J518">
        <f t="shared" si="6"/>
        <v>195</v>
      </c>
      <c r="K518">
        <f t="shared" si="6"/>
        <v>204</v>
      </c>
      <c r="L518">
        <f t="shared" si="6"/>
        <v>103</v>
      </c>
      <c r="M518">
        <f t="shared" si="6"/>
        <v>234</v>
      </c>
      <c r="N518">
        <f t="shared" si="6"/>
        <v>234</v>
      </c>
      <c r="O518">
        <f t="shared" si="6"/>
        <v>82</v>
      </c>
      <c r="P518">
        <f t="shared" si="6"/>
        <v>206</v>
      </c>
      <c r="Q518">
        <f t="shared" si="6"/>
        <v>234</v>
      </c>
      <c r="R518">
        <f t="shared" si="6"/>
        <v>142</v>
      </c>
      <c r="S518">
        <f t="shared" si="6"/>
        <v>0</v>
      </c>
      <c r="T518">
        <f t="shared" si="6"/>
        <v>35</v>
      </c>
      <c r="U518">
        <f t="shared" si="6"/>
        <v>0</v>
      </c>
      <c r="V518">
        <f t="shared" si="6"/>
        <v>27</v>
      </c>
      <c r="W518">
        <f t="shared" si="6"/>
        <v>0</v>
      </c>
      <c r="X518">
        <f t="shared" si="6"/>
        <v>0</v>
      </c>
      <c r="Y518">
        <f t="shared" si="6"/>
        <v>0</v>
      </c>
      <c r="Z518">
        <f t="shared" si="6"/>
        <v>0</v>
      </c>
      <c r="AA518">
        <f t="shared" si="6"/>
        <v>0</v>
      </c>
      <c r="AB518">
        <f t="shared" si="6"/>
        <v>15</v>
      </c>
      <c r="AC518">
        <f t="shared" si="6"/>
        <v>0</v>
      </c>
      <c r="AD518">
        <f t="shared" si="6"/>
        <v>28</v>
      </c>
      <c r="AE518">
        <f t="shared" si="6"/>
        <v>0</v>
      </c>
      <c r="AF518">
        <f t="shared" si="6"/>
        <v>0</v>
      </c>
      <c r="AG518">
        <f t="shared" si="6"/>
        <v>0</v>
      </c>
    </row>
    <row r="521" spans="1:57" x14ac:dyDescent="0.25">
      <c r="D521" t="s">
        <v>44</v>
      </c>
      <c r="F521" t="s">
        <v>45</v>
      </c>
      <c r="S521" t="s">
        <v>46</v>
      </c>
      <c r="AA521" t="s">
        <v>46</v>
      </c>
      <c r="AE521" t="s">
        <v>46</v>
      </c>
      <c r="AI521" t="s">
        <v>46</v>
      </c>
      <c r="AQ521" t="s">
        <v>46</v>
      </c>
      <c r="AY521" t="s">
        <v>46</v>
      </c>
    </row>
    <row r="522" spans="1:57" x14ac:dyDescent="0.25">
      <c r="F522" t="s">
        <v>47</v>
      </c>
      <c r="S522" t="s">
        <v>48</v>
      </c>
      <c r="AA522" t="s">
        <v>49</v>
      </c>
      <c r="AE522" t="s">
        <v>50</v>
      </c>
      <c r="AI522" t="s">
        <v>48</v>
      </c>
      <c r="AK522" t="s">
        <v>51</v>
      </c>
      <c r="AL522" t="s">
        <v>33</v>
      </c>
      <c r="AM522" t="s">
        <v>34</v>
      </c>
      <c r="AN522" t="s">
        <v>35</v>
      </c>
      <c r="AO522" t="s">
        <v>36</v>
      </c>
      <c r="AQ522" t="s">
        <v>49</v>
      </c>
      <c r="AS522" t="s">
        <v>51</v>
      </c>
      <c r="AT522" t="s">
        <v>33</v>
      </c>
      <c r="AU522" t="s">
        <v>34</v>
      </c>
      <c r="AV522" t="s">
        <v>35</v>
      </c>
      <c r="AW522" t="s">
        <v>36</v>
      </c>
      <c r="AY522" t="s">
        <v>50</v>
      </c>
      <c r="BA522" t="s">
        <v>51</v>
      </c>
      <c r="BB522" t="s">
        <v>33</v>
      </c>
      <c r="BC522" t="s">
        <v>34</v>
      </c>
      <c r="BD522" t="s">
        <v>35</v>
      </c>
      <c r="BE522" t="s">
        <v>36</v>
      </c>
    </row>
    <row r="523" spans="1:57" x14ac:dyDescent="0.25">
      <c r="F523" t="s">
        <v>52</v>
      </c>
      <c r="M523" t="s">
        <v>53</v>
      </c>
      <c r="S523" t="s">
        <v>54</v>
      </c>
      <c r="U523">
        <f>COUNTIF(B2:AG2,"&lt;&gt;")</f>
        <v>32</v>
      </c>
      <c r="AA523" t="s">
        <v>54</v>
      </c>
      <c r="AC523">
        <f>COUNTIF(B2:AG2,"&lt;&gt;")</f>
        <v>32</v>
      </c>
      <c r="AE523" t="s">
        <v>54</v>
      </c>
      <c r="AG523">
        <f>COUNTIF(B2:AG2,"&lt;&gt;")</f>
        <v>32</v>
      </c>
      <c r="AI523" t="s">
        <v>54</v>
      </c>
      <c r="AK523">
        <f>COUNTIF($B$2:$AG$2,"&lt;&gt;")</f>
        <v>32</v>
      </c>
      <c r="AL523">
        <f>COUNTIF($B$2:$I$2,"&lt;&gt;")</f>
        <v>8</v>
      </c>
      <c r="AM523">
        <f>COUNTIF($J$2:$R$2,"&lt;&gt;")</f>
        <v>9</v>
      </c>
      <c r="AN523">
        <f>COUNTIF($S$2:$X$2,"&lt;&gt;")</f>
        <v>6</v>
      </c>
      <c r="AO523">
        <f>COUNTIF($Y$2:$AG$2,"&lt;&gt;")</f>
        <v>9</v>
      </c>
      <c r="AQ523" t="s">
        <v>54</v>
      </c>
      <c r="AS523">
        <f>COUNTIF($B$2:$AG$2,"&lt;&gt;")</f>
        <v>32</v>
      </c>
      <c r="AT523">
        <f>COUNTIF($B$2:$I$2,"&lt;&gt;")</f>
        <v>8</v>
      </c>
      <c r="AU523">
        <f>COUNTIF($J$2:$R$2,"&lt;&gt;")</f>
        <v>9</v>
      </c>
      <c r="AV523">
        <f>COUNTIF($S$2:$X$2,"&lt;&gt;")</f>
        <v>6</v>
      </c>
      <c r="AW523">
        <f>COUNTIF($Y$2:$AG$2,"&lt;&gt;")</f>
        <v>9</v>
      </c>
      <c r="AY523" t="s">
        <v>54</v>
      </c>
      <c r="BA523">
        <f>COUNTIF($B$2:$AG$2,"&lt;&gt;")</f>
        <v>32</v>
      </c>
      <c r="BB523">
        <f>COUNTIF($B$2:$I$2,"&lt;&gt;")</f>
        <v>8</v>
      </c>
      <c r="BC523">
        <f>COUNTIF($J$2:$R$2,"&lt;&gt;")</f>
        <v>9</v>
      </c>
      <c r="BD523">
        <f>COUNTIF($S$2:$X$2,"&lt;&gt;")</f>
        <v>6</v>
      </c>
      <c r="BE523">
        <f>COUNTIF($Y$2:$AG$2,"&lt;&gt;")</f>
        <v>9</v>
      </c>
    </row>
    <row r="524" spans="1:57" x14ac:dyDescent="0.25">
      <c r="F524" t="s">
        <v>55</v>
      </c>
      <c r="H524" t="s">
        <v>113</v>
      </c>
      <c r="J524">
        <f>COUNTIF($B$54:$B$235,"&lt;&gt;")</f>
        <v>182</v>
      </c>
      <c r="M524" t="s">
        <v>56</v>
      </c>
      <c r="S524" t="s">
        <v>57</v>
      </c>
      <c r="U524">
        <f>COUNTIF($A$3:$A$511,"&lt;&gt;")</f>
        <v>509</v>
      </c>
      <c r="AA524" t="s">
        <v>57</v>
      </c>
      <c r="AC524">
        <f>SUM($J$524:$J$525)</f>
        <v>275</v>
      </c>
      <c r="AE524" t="s">
        <v>57</v>
      </c>
      <c r="AG524">
        <f>SUM($Q$525:$Q$526)</f>
        <v>234</v>
      </c>
      <c r="AI524" t="s">
        <v>57</v>
      </c>
      <c r="AK524">
        <f>COUNTIF($A$3:$A$511,"&lt;&gt;")</f>
        <v>509</v>
      </c>
      <c r="AL524">
        <f t="shared" ref="AL524:AO524" si="7">COUNTIF($A$3:$A$511,"&lt;&gt;")</f>
        <v>509</v>
      </c>
      <c r="AM524">
        <f t="shared" si="7"/>
        <v>509</v>
      </c>
      <c r="AN524">
        <f t="shared" si="7"/>
        <v>509</v>
      </c>
      <c r="AO524">
        <f t="shared" si="7"/>
        <v>509</v>
      </c>
      <c r="AQ524" t="s">
        <v>57</v>
      </c>
      <c r="AS524">
        <f>SUM($J$524:$J$525)</f>
        <v>275</v>
      </c>
      <c r="AT524">
        <f t="shared" ref="AT524:AW524" si="8">SUM($J$524:$J$525)</f>
        <v>275</v>
      </c>
      <c r="AU524">
        <f t="shared" si="8"/>
        <v>275</v>
      </c>
      <c r="AV524">
        <f t="shared" si="8"/>
        <v>275</v>
      </c>
      <c r="AW524">
        <f t="shared" si="8"/>
        <v>275</v>
      </c>
      <c r="AY524" t="s">
        <v>57</v>
      </c>
      <c r="BA524">
        <f>SUM($Q$525:$Q$526)</f>
        <v>234</v>
      </c>
      <c r="BB524">
        <f t="shared" ref="BB524:BE524" si="9">SUM($Q$525:$Q$526)</f>
        <v>234</v>
      </c>
      <c r="BC524">
        <f t="shared" si="9"/>
        <v>234</v>
      </c>
      <c r="BD524">
        <f t="shared" si="9"/>
        <v>234</v>
      </c>
      <c r="BE524">
        <f t="shared" si="9"/>
        <v>234</v>
      </c>
    </row>
    <row r="525" spans="1:57" x14ac:dyDescent="0.25">
      <c r="F525" t="s">
        <v>58</v>
      </c>
      <c r="H525" t="s">
        <v>114</v>
      </c>
      <c r="J525">
        <f>COUNTIF($B$419:$B$511,"&lt;&gt;")</f>
        <v>93</v>
      </c>
      <c r="M525" t="s">
        <v>74</v>
      </c>
      <c r="O525" t="s">
        <v>115</v>
      </c>
      <c r="Q525">
        <f>COUNTIF($B$3:$B$53,"&lt;&gt;")</f>
        <v>51</v>
      </c>
      <c r="S525" t="s">
        <v>60</v>
      </c>
      <c r="U525">
        <f>U524*U523</f>
        <v>16288</v>
      </c>
      <c r="V525" t="s">
        <v>61</v>
      </c>
      <c r="AA525" t="s">
        <v>60</v>
      </c>
      <c r="AC525">
        <f>AC524*AC523</f>
        <v>8800</v>
      </c>
      <c r="AE525" t="s">
        <v>60</v>
      </c>
      <c r="AG525">
        <f>AG523*AG524</f>
        <v>7488</v>
      </c>
      <c r="AI525" t="s">
        <v>60</v>
      </c>
      <c r="AK525">
        <f>AK524*AK523</f>
        <v>16288</v>
      </c>
      <c r="AL525">
        <f t="shared" ref="AL525:AO525" si="10">AL524*AL523</f>
        <v>4072</v>
      </c>
      <c r="AM525">
        <f t="shared" si="10"/>
        <v>4581</v>
      </c>
      <c r="AN525">
        <f t="shared" si="10"/>
        <v>3054</v>
      </c>
      <c r="AO525">
        <f t="shared" si="10"/>
        <v>4581</v>
      </c>
      <c r="AQ525" t="s">
        <v>60</v>
      </c>
      <c r="AS525">
        <f>AS524*AS523</f>
        <v>8800</v>
      </c>
      <c r="AT525">
        <f t="shared" ref="AT525:AW525" si="11">AT524*AT523</f>
        <v>2200</v>
      </c>
      <c r="AU525">
        <f t="shared" si="11"/>
        <v>2475</v>
      </c>
      <c r="AV525">
        <f t="shared" si="11"/>
        <v>1650</v>
      </c>
      <c r="AW525">
        <f t="shared" si="11"/>
        <v>2475</v>
      </c>
      <c r="AY525" t="s">
        <v>60</v>
      </c>
      <c r="BA525">
        <f>BA524*BA523</f>
        <v>7488</v>
      </c>
      <c r="BB525">
        <f t="shared" ref="BB525:BE525" si="12">BB524*BB523</f>
        <v>1872</v>
      </c>
      <c r="BC525">
        <f t="shared" si="12"/>
        <v>2106</v>
      </c>
      <c r="BD525">
        <f t="shared" si="12"/>
        <v>1404</v>
      </c>
      <c r="BE525">
        <f t="shared" si="12"/>
        <v>2106</v>
      </c>
    </row>
    <row r="526" spans="1:57" x14ac:dyDescent="0.25">
      <c r="M526" t="s">
        <v>59</v>
      </c>
      <c r="O526" t="s">
        <v>116</v>
      </c>
      <c r="Q526">
        <f>COUNTIF($B$236:$B$418,"&lt;&gt;")</f>
        <v>183</v>
      </c>
      <c r="S526" t="s">
        <v>117</v>
      </c>
      <c r="U526">
        <f>SUM(B512:AG512)</f>
        <v>7515</v>
      </c>
      <c r="V526" t="s">
        <v>62</v>
      </c>
      <c r="AA526" t="s">
        <v>117</v>
      </c>
      <c r="AC526">
        <f>SUM($B$517:$AG$517)</f>
        <v>3904</v>
      </c>
      <c r="AE526" t="s">
        <v>117</v>
      </c>
      <c r="AG526">
        <f>SUM($B$518:$AG$518)</f>
        <v>3611</v>
      </c>
      <c r="AI526" t="s">
        <v>117</v>
      </c>
      <c r="AK526">
        <f>SUM(B512:AG512)</f>
        <v>7515</v>
      </c>
      <c r="AL526">
        <f>SUM(B512:I512)</f>
        <v>4064</v>
      </c>
      <c r="AM526">
        <f>SUM(J512:R512)</f>
        <v>3278</v>
      </c>
      <c r="AN526">
        <f>SUM(S512:X512)</f>
        <v>65</v>
      </c>
      <c r="AO526">
        <f>SUM(Y512:AG512)</f>
        <v>108</v>
      </c>
      <c r="AQ526" t="s">
        <v>117</v>
      </c>
      <c r="AS526">
        <f>SUM(B517:AG517)</f>
        <v>3904</v>
      </c>
      <c r="AT526">
        <f>SUM(B517:I517)</f>
        <v>2192</v>
      </c>
      <c r="AU526">
        <f>SUM(J517:R517)</f>
        <v>1644</v>
      </c>
      <c r="AV526">
        <f>SUM(S517:X517)</f>
        <v>3</v>
      </c>
      <c r="AW526">
        <f>SUM(Y517:AG517)</f>
        <v>65</v>
      </c>
      <c r="AY526" t="s">
        <v>117</v>
      </c>
      <c r="BA526">
        <f>SUM($B518:$AG518)</f>
        <v>3611</v>
      </c>
      <c r="BB526">
        <f>SUM(B518:I518)</f>
        <v>1872</v>
      </c>
      <c r="BC526">
        <f>SUM(J518:R518)</f>
        <v>1634</v>
      </c>
      <c r="BD526">
        <f>SUM(S518:X518)</f>
        <v>62</v>
      </c>
      <c r="BE526">
        <f>SUM(Y518:AG518)</f>
        <v>43</v>
      </c>
    </row>
    <row r="527" spans="1:57" x14ac:dyDescent="0.25">
      <c r="S527" t="s">
        <v>63</v>
      </c>
      <c r="U527">
        <f>$U526/$U525</f>
        <v>0.46138261296660116</v>
      </c>
      <c r="AA527" t="s">
        <v>64</v>
      </c>
      <c r="AC527">
        <f>AC526/AC525</f>
        <v>0.44363636363636366</v>
      </c>
      <c r="AE527" t="s">
        <v>65</v>
      </c>
      <c r="AG527">
        <f>AG526/AG525</f>
        <v>0.48223824786324787</v>
      </c>
      <c r="AI527" t="s">
        <v>63</v>
      </c>
      <c r="AK527">
        <f>AK526/AK525</f>
        <v>0.46138261296660116</v>
      </c>
      <c r="AL527">
        <f t="shared" ref="AL527:AO527" si="13">AL526/AL525</f>
        <v>0.99803536345776034</v>
      </c>
      <c r="AM527">
        <f t="shared" si="13"/>
        <v>0.71556428727352106</v>
      </c>
      <c r="AN527">
        <f t="shared" si="13"/>
        <v>2.1283562540929928E-2</v>
      </c>
      <c r="AO527">
        <f t="shared" si="13"/>
        <v>2.3575638506876228E-2</v>
      </c>
      <c r="AQ527" t="s">
        <v>64</v>
      </c>
      <c r="AS527">
        <f>AS526/AS525</f>
        <v>0.44363636363636366</v>
      </c>
      <c r="AT527">
        <f t="shared" ref="AT527:AW527" si="14">AT526/AT525</f>
        <v>0.99636363636363634</v>
      </c>
      <c r="AU527">
        <f t="shared" si="14"/>
        <v>0.66424242424242419</v>
      </c>
      <c r="AV527">
        <f t="shared" si="14"/>
        <v>1.8181818181818182E-3</v>
      </c>
      <c r="AW527">
        <f t="shared" si="14"/>
        <v>2.6262626262626262E-2</v>
      </c>
      <c r="AY527" t="s">
        <v>65</v>
      </c>
      <c r="BA527">
        <f>BA526/BA525</f>
        <v>0.48223824786324787</v>
      </c>
      <c r="BB527">
        <f t="shared" ref="BB527:BE527" si="15">BB526/BB525</f>
        <v>1</v>
      </c>
      <c r="BC527">
        <f t="shared" si="15"/>
        <v>0.77587844254510918</v>
      </c>
      <c r="BD527">
        <f t="shared" si="15"/>
        <v>4.4159544159544158E-2</v>
      </c>
      <c r="BE527">
        <f t="shared" si="15"/>
        <v>2.0417853751187084E-2</v>
      </c>
    </row>
    <row r="529" spans="1:57" x14ac:dyDescent="0.25">
      <c r="A529" t="s">
        <v>37</v>
      </c>
      <c r="B529">
        <f>COUNTIF(B$3:B$511,"&gt;=2640")</f>
        <v>509</v>
      </c>
      <c r="C529">
        <f t="shared" ref="C529:AG529" si="16">COUNTIF(C$3:C$511,"&gt;=2640")</f>
        <v>488</v>
      </c>
      <c r="D529">
        <f t="shared" si="16"/>
        <v>509</v>
      </c>
      <c r="E529">
        <f t="shared" si="16"/>
        <v>509</v>
      </c>
      <c r="F529">
        <f t="shared" si="16"/>
        <v>504</v>
      </c>
      <c r="G529">
        <f t="shared" si="16"/>
        <v>502</v>
      </c>
      <c r="H529">
        <f t="shared" si="16"/>
        <v>509</v>
      </c>
      <c r="I529">
        <f t="shared" si="16"/>
        <v>509</v>
      </c>
      <c r="J529">
        <f t="shared" si="16"/>
        <v>16</v>
      </c>
      <c r="K529">
        <f t="shared" si="16"/>
        <v>24</v>
      </c>
      <c r="L529">
        <f t="shared" si="16"/>
        <v>0</v>
      </c>
      <c r="M529">
        <f t="shared" si="16"/>
        <v>500</v>
      </c>
      <c r="N529">
        <f t="shared" si="16"/>
        <v>365</v>
      </c>
      <c r="O529">
        <f t="shared" si="16"/>
        <v>0</v>
      </c>
      <c r="P529">
        <f t="shared" si="16"/>
        <v>163</v>
      </c>
      <c r="Q529">
        <f t="shared" si="16"/>
        <v>493</v>
      </c>
      <c r="R529">
        <f t="shared" si="16"/>
        <v>0</v>
      </c>
      <c r="S529">
        <f t="shared" si="16"/>
        <v>0</v>
      </c>
      <c r="T529">
        <f t="shared" si="16"/>
        <v>0</v>
      </c>
      <c r="U529">
        <f t="shared" si="16"/>
        <v>0</v>
      </c>
      <c r="V529">
        <f t="shared" si="16"/>
        <v>0</v>
      </c>
      <c r="W529">
        <f t="shared" si="16"/>
        <v>0</v>
      </c>
      <c r="X529">
        <f t="shared" si="16"/>
        <v>0</v>
      </c>
      <c r="Y529">
        <f t="shared" si="16"/>
        <v>0</v>
      </c>
      <c r="Z529">
        <f t="shared" si="16"/>
        <v>0</v>
      </c>
      <c r="AA529">
        <f t="shared" si="16"/>
        <v>0</v>
      </c>
      <c r="AB529">
        <f t="shared" si="16"/>
        <v>0</v>
      </c>
      <c r="AC529">
        <f t="shared" si="16"/>
        <v>0</v>
      </c>
      <c r="AD529">
        <f t="shared" si="16"/>
        <v>0</v>
      </c>
      <c r="AE529">
        <f t="shared" si="16"/>
        <v>0</v>
      </c>
      <c r="AF529">
        <f t="shared" si="16"/>
        <v>0</v>
      </c>
      <c r="AG529">
        <f t="shared" si="16"/>
        <v>0</v>
      </c>
    </row>
    <row r="530" spans="1:57" x14ac:dyDescent="0.25">
      <c r="A530" t="s">
        <v>38</v>
      </c>
      <c r="B530">
        <f>COUNTIF(B$54:B$235,"&gt;=2640")</f>
        <v>182</v>
      </c>
      <c r="C530">
        <f t="shared" ref="C530:AG530" si="17">COUNTIF(C$54:C$235,"&gt;=2640")</f>
        <v>182</v>
      </c>
      <c r="D530">
        <f t="shared" si="17"/>
        <v>182</v>
      </c>
      <c r="E530">
        <f t="shared" si="17"/>
        <v>182</v>
      </c>
      <c r="F530">
        <f t="shared" si="17"/>
        <v>182</v>
      </c>
      <c r="G530">
        <f t="shared" si="17"/>
        <v>182</v>
      </c>
      <c r="H530">
        <f t="shared" si="17"/>
        <v>182</v>
      </c>
      <c r="I530">
        <f t="shared" si="17"/>
        <v>182</v>
      </c>
      <c r="J530">
        <f t="shared" si="17"/>
        <v>0</v>
      </c>
      <c r="K530">
        <f t="shared" si="17"/>
        <v>9</v>
      </c>
      <c r="L530">
        <f t="shared" si="17"/>
        <v>0</v>
      </c>
      <c r="M530">
        <f t="shared" si="17"/>
        <v>182</v>
      </c>
      <c r="N530">
        <f t="shared" si="17"/>
        <v>110</v>
      </c>
      <c r="O530">
        <f t="shared" si="17"/>
        <v>0</v>
      </c>
      <c r="P530">
        <f t="shared" si="17"/>
        <v>48</v>
      </c>
      <c r="Q530">
        <f t="shared" si="17"/>
        <v>182</v>
      </c>
      <c r="R530">
        <f t="shared" si="17"/>
        <v>0</v>
      </c>
      <c r="S530">
        <f t="shared" si="17"/>
        <v>0</v>
      </c>
      <c r="T530">
        <f t="shared" si="17"/>
        <v>0</v>
      </c>
      <c r="U530">
        <f t="shared" si="17"/>
        <v>0</v>
      </c>
      <c r="V530">
        <f t="shared" si="17"/>
        <v>0</v>
      </c>
      <c r="W530">
        <f t="shared" si="17"/>
        <v>0</v>
      </c>
      <c r="X530">
        <f t="shared" si="17"/>
        <v>0</v>
      </c>
      <c r="Y530">
        <f t="shared" si="17"/>
        <v>0</v>
      </c>
      <c r="Z530">
        <f t="shared" si="17"/>
        <v>0</v>
      </c>
      <c r="AA530">
        <f t="shared" si="17"/>
        <v>0</v>
      </c>
      <c r="AB530">
        <f t="shared" si="17"/>
        <v>0</v>
      </c>
      <c r="AC530">
        <f t="shared" si="17"/>
        <v>0</v>
      </c>
      <c r="AD530">
        <f t="shared" si="17"/>
        <v>0</v>
      </c>
      <c r="AE530">
        <f t="shared" si="17"/>
        <v>0</v>
      </c>
      <c r="AF530">
        <f t="shared" si="17"/>
        <v>0</v>
      </c>
      <c r="AG530">
        <f t="shared" si="17"/>
        <v>0</v>
      </c>
      <c r="AH530" t="s">
        <v>109</v>
      </c>
    </row>
    <row r="531" spans="1:57" x14ac:dyDescent="0.25">
      <c r="A531" t="s">
        <v>39</v>
      </c>
      <c r="B531">
        <f>COUNTIF(B$419:B$511,"&gt;=2640")</f>
        <v>93</v>
      </c>
      <c r="C531">
        <f t="shared" ref="C531:AG531" si="18">COUNTIF(C$419:C$511,"&gt;=2640")</f>
        <v>72</v>
      </c>
      <c r="D531">
        <f t="shared" si="18"/>
        <v>93</v>
      </c>
      <c r="E531">
        <f t="shared" si="18"/>
        <v>93</v>
      </c>
      <c r="F531">
        <f t="shared" si="18"/>
        <v>88</v>
      </c>
      <c r="G531">
        <f t="shared" si="18"/>
        <v>86</v>
      </c>
      <c r="H531">
        <f t="shared" si="18"/>
        <v>93</v>
      </c>
      <c r="I531">
        <f t="shared" si="18"/>
        <v>93</v>
      </c>
      <c r="J531">
        <f t="shared" si="18"/>
        <v>12</v>
      </c>
      <c r="K531">
        <f t="shared" si="18"/>
        <v>0</v>
      </c>
      <c r="L531">
        <f t="shared" si="18"/>
        <v>0</v>
      </c>
      <c r="M531">
        <f t="shared" si="18"/>
        <v>84</v>
      </c>
      <c r="N531">
        <f t="shared" si="18"/>
        <v>53</v>
      </c>
      <c r="O531">
        <f t="shared" si="18"/>
        <v>0</v>
      </c>
      <c r="P531">
        <f t="shared" si="18"/>
        <v>33</v>
      </c>
      <c r="Q531">
        <f t="shared" si="18"/>
        <v>77</v>
      </c>
      <c r="R531">
        <f t="shared" si="18"/>
        <v>0</v>
      </c>
      <c r="S531">
        <f t="shared" si="18"/>
        <v>0</v>
      </c>
      <c r="T531">
        <f t="shared" si="18"/>
        <v>0</v>
      </c>
      <c r="U531">
        <f t="shared" si="18"/>
        <v>0</v>
      </c>
      <c r="V531">
        <f t="shared" si="18"/>
        <v>0</v>
      </c>
      <c r="W531">
        <f t="shared" si="18"/>
        <v>0</v>
      </c>
      <c r="X531">
        <f t="shared" si="18"/>
        <v>0</v>
      </c>
      <c r="Y531">
        <f t="shared" si="18"/>
        <v>0</v>
      </c>
      <c r="Z531">
        <f t="shared" si="18"/>
        <v>0</v>
      </c>
      <c r="AA531">
        <f t="shared" si="18"/>
        <v>0</v>
      </c>
      <c r="AB531">
        <f t="shared" si="18"/>
        <v>0</v>
      </c>
      <c r="AC531">
        <f t="shared" si="18"/>
        <v>0</v>
      </c>
      <c r="AD531">
        <f t="shared" si="18"/>
        <v>0</v>
      </c>
      <c r="AE531">
        <f t="shared" si="18"/>
        <v>0</v>
      </c>
      <c r="AF531">
        <f t="shared" si="18"/>
        <v>0</v>
      </c>
      <c r="AG531">
        <f t="shared" si="18"/>
        <v>0</v>
      </c>
      <c r="AH531" t="s">
        <v>110</v>
      </c>
    </row>
    <row r="532" spans="1:57" x14ac:dyDescent="0.25">
      <c r="A532" t="s">
        <v>40</v>
      </c>
      <c r="B532">
        <f>COUNTIF(B$3:B$53,"&gt;=2640")</f>
        <v>51</v>
      </c>
      <c r="C532">
        <f t="shared" ref="C532:AG532" si="19">COUNTIF(C$3:C$53,"&gt;=2640")</f>
        <v>51</v>
      </c>
      <c r="D532">
        <f t="shared" si="19"/>
        <v>51</v>
      </c>
      <c r="E532">
        <f t="shared" si="19"/>
        <v>51</v>
      </c>
      <c r="F532">
        <f t="shared" si="19"/>
        <v>51</v>
      </c>
      <c r="G532">
        <f t="shared" si="19"/>
        <v>51</v>
      </c>
      <c r="H532">
        <f t="shared" si="19"/>
        <v>51</v>
      </c>
      <c r="I532">
        <f t="shared" si="19"/>
        <v>51</v>
      </c>
      <c r="J532">
        <f t="shared" si="19"/>
        <v>0</v>
      </c>
      <c r="K532">
        <f t="shared" si="19"/>
        <v>15</v>
      </c>
      <c r="L532">
        <f t="shared" si="19"/>
        <v>0</v>
      </c>
      <c r="M532">
        <f t="shared" si="19"/>
        <v>51</v>
      </c>
      <c r="N532">
        <f t="shared" si="19"/>
        <v>49</v>
      </c>
      <c r="O532">
        <f t="shared" si="19"/>
        <v>0</v>
      </c>
      <c r="P532">
        <f t="shared" si="19"/>
        <v>26</v>
      </c>
      <c r="Q532">
        <f t="shared" si="19"/>
        <v>51</v>
      </c>
      <c r="R532">
        <f t="shared" si="19"/>
        <v>0</v>
      </c>
      <c r="S532">
        <f t="shared" si="19"/>
        <v>0</v>
      </c>
      <c r="T532">
        <f t="shared" si="19"/>
        <v>0</v>
      </c>
      <c r="U532">
        <f t="shared" si="19"/>
        <v>0</v>
      </c>
      <c r="V532">
        <f t="shared" si="19"/>
        <v>0</v>
      </c>
      <c r="W532">
        <f t="shared" si="19"/>
        <v>0</v>
      </c>
      <c r="X532">
        <f t="shared" si="19"/>
        <v>0</v>
      </c>
      <c r="Y532">
        <f t="shared" si="19"/>
        <v>0</v>
      </c>
      <c r="Z532">
        <f t="shared" si="19"/>
        <v>0</v>
      </c>
      <c r="AA532">
        <f t="shared" si="19"/>
        <v>0</v>
      </c>
      <c r="AB532">
        <f t="shared" si="19"/>
        <v>0</v>
      </c>
      <c r="AC532">
        <f t="shared" si="19"/>
        <v>0</v>
      </c>
      <c r="AD532">
        <f t="shared" si="19"/>
        <v>0</v>
      </c>
      <c r="AE532">
        <f t="shared" si="19"/>
        <v>0</v>
      </c>
      <c r="AF532">
        <f t="shared" si="19"/>
        <v>0</v>
      </c>
      <c r="AG532">
        <f t="shared" si="19"/>
        <v>0</v>
      </c>
      <c r="AH532" t="s">
        <v>111</v>
      </c>
    </row>
    <row r="533" spans="1:57" x14ac:dyDescent="0.25">
      <c r="A533" t="s">
        <v>41</v>
      </c>
      <c r="B533">
        <f>COUNTIF(B$236:B$418,"&gt;=2640")</f>
        <v>183</v>
      </c>
      <c r="C533">
        <f t="shared" ref="C533:AG533" si="20">COUNTIF(C$236:C$418,"&gt;=2640")</f>
        <v>183</v>
      </c>
      <c r="D533">
        <f t="shared" si="20"/>
        <v>183</v>
      </c>
      <c r="E533">
        <f t="shared" si="20"/>
        <v>183</v>
      </c>
      <c r="F533">
        <f t="shared" si="20"/>
        <v>183</v>
      </c>
      <c r="G533">
        <f t="shared" si="20"/>
        <v>183</v>
      </c>
      <c r="H533">
        <f t="shared" si="20"/>
        <v>183</v>
      </c>
      <c r="I533">
        <f t="shared" si="20"/>
        <v>183</v>
      </c>
      <c r="J533">
        <f t="shared" si="20"/>
        <v>4</v>
      </c>
      <c r="K533">
        <f t="shared" si="20"/>
        <v>0</v>
      </c>
      <c r="L533">
        <f t="shared" si="20"/>
        <v>0</v>
      </c>
      <c r="M533">
        <f t="shared" si="20"/>
        <v>183</v>
      </c>
      <c r="N533">
        <f t="shared" si="20"/>
        <v>153</v>
      </c>
      <c r="O533">
        <f t="shared" si="20"/>
        <v>0</v>
      </c>
      <c r="P533">
        <f t="shared" si="20"/>
        <v>56</v>
      </c>
      <c r="Q533">
        <f t="shared" si="20"/>
        <v>183</v>
      </c>
      <c r="R533">
        <f t="shared" si="20"/>
        <v>0</v>
      </c>
      <c r="S533">
        <f t="shared" si="20"/>
        <v>0</v>
      </c>
      <c r="T533">
        <f t="shared" si="20"/>
        <v>0</v>
      </c>
      <c r="U533">
        <f t="shared" si="20"/>
        <v>0</v>
      </c>
      <c r="V533">
        <f t="shared" si="20"/>
        <v>0</v>
      </c>
      <c r="W533">
        <f t="shared" si="20"/>
        <v>0</v>
      </c>
      <c r="X533">
        <f t="shared" si="20"/>
        <v>0</v>
      </c>
      <c r="Y533">
        <f t="shared" si="20"/>
        <v>0</v>
      </c>
      <c r="Z533">
        <f t="shared" si="20"/>
        <v>0</v>
      </c>
      <c r="AA533">
        <f t="shared" si="20"/>
        <v>0</v>
      </c>
      <c r="AB533">
        <f t="shared" si="20"/>
        <v>0</v>
      </c>
      <c r="AC533">
        <f t="shared" si="20"/>
        <v>0</v>
      </c>
      <c r="AD533">
        <f t="shared" si="20"/>
        <v>0</v>
      </c>
      <c r="AE533">
        <f t="shared" si="20"/>
        <v>0</v>
      </c>
      <c r="AF533">
        <f t="shared" si="20"/>
        <v>0</v>
      </c>
      <c r="AG533">
        <f t="shared" si="20"/>
        <v>0</v>
      </c>
      <c r="AH533" t="s">
        <v>112</v>
      </c>
    </row>
    <row r="534" spans="1:57" x14ac:dyDescent="0.25">
      <c r="A534" t="s">
        <v>42</v>
      </c>
      <c r="B534">
        <f>SUM(B530,B531)</f>
        <v>275</v>
      </c>
      <c r="C534">
        <f t="shared" ref="C534:AG534" si="21">SUM(C530,C531)</f>
        <v>254</v>
      </c>
      <c r="D534">
        <f t="shared" si="21"/>
        <v>275</v>
      </c>
      <c r="E534">
        <f t="shared" si="21"/>
        <v>275</v>
      </c>
      <c r="F534">
        <f t="shared" si="21"/>
        <v>270</v>
      </c>
      <c r="G534">
        <f t="shared" si="21"/>
        <v>268</v>
      </c>
      <c r="H534">
        <f t="shared" si="21"/>
        <v>275</v>
      </c>
      <c r="I534">
        <f t="shared" si="21"/>
        <v>275</v>
      </c>
      <c r="J534">
        <f t="shared" si="21"/>
        <v>12</v>
      </c>
      <c r="K534">
        <f t="shared" si="21"/>
        <v>9</v>
      </c>
      <c r="L534">
        <f t="shared" si="21"/>
        <v>0</v>
      </c>
      <c r="M534">
        <f t="shared" si="21"/>
        <v>266</v>
      </c>
      <c r="N534">
        <f t="shared" si="21"/>
        <v>163</v>
      </c>
      <c r="O534">
        <f t="shared" si="21"/>
        <v>0</v>
      </c>
      <c r="P534">
        <f t="shared" si="21"/>
        <v>81</v>
      </c>
      <c r="Q534">
        <f t="shared" si="21"/>
        <v>259</v>
      </c>
      <c r="R534">
        <f t="shared" si="21"/>
        <v>0</v>
      </c>
      <c r="S534">
        <f t="shared" si="21"/>
        <v>0</v>
      </c>
      <c r="T534">
        <f t="shared" si="21"/>
        <v>0</v>
      </c>
      <c r="U534">
        <f t="shared" si="21"/>
        <v>0</v>
      </c>
      <c r="V534">
        <f t="shared" si="21"/>
        <v>0</v>
      </c>
      <c r="W534">
        <f t="shared" si="21"/>
        <v>0</v>
      </c>
      <c r="X534">
        <f t="shared" si="21"/>
        <v>0</v>
      </c>
      <c r="Y534">
        <f t="shared" si="21"/>
        <v>0</v>
      </c>
      <c r="Z534">
        <f t="shared" si="21"/>
        <v>0</v>
      </c>
      <c r="AA534">
        <f t="shared" si="21"/>
        <v>0</v>
      </c>
      <c r="AB534">
        <f t="shared" si="21"/>
        <v>0</v>
      </c>
      <c r="AC534">
        <f t="shared" si="21"/>
        <v>0</v>
      </c>
      <c r="AD534">
        <f t="shared" si="21"/>
        <v>0</v>
      </c>
      <c r="AE534">
        <f t="shared" si="21"/>
        <v>0</v>
      </c>
      <c r="AF534">
        <f t="shared" si="21"/>
        <v>0</v>
      </c>
      <c r="AG534">
        <f t="shared" si="21"/>
        <v>0</v>
      </c>
    </row>
    <row r="535" spans="1:57" x14ac:dyDescent="0.25">
      <c r="A535" t="s">
        <v>43</v>
      </c>
      <c r="B535">
        <f>SUM(B532,B533)</f>
        <v>234</v>
      </c>
      <c r="C535">
        <f t="shared" ref="C535:AG535" si="22">SUM(C532,C533)</f>
        <v>234</v>
      </c>
      <c r="D535">
        <f t="shared" si="22"/>
        <v>234</v>
      </c>
      <c r="E535">
        <f t="shared" si="22"/>
        <v>234</v>
      </c>
      <c r="F535">
        <f t="shared" si="22"/>
        <v>234</v>
      </c>
      <c r="G535">
        <f t="shared" si="22"/>
        <v>234</v>
      </c>
      <c r="H535">
        <f t="shared" si="22"/>
        <v>234</v>
      </c>
      <c r="I535">
        <f t="shared" si="22"/>
        <v>234</v>
      </c>
      <c r="J535">
        <f t="shared" si="22"/>
        <v>4</v>
      </c>
      <c r="K535">
        <f t="shared" si="22"/>
        <v>15</v>
      </c>
      <c r="L535">
        <f t="shared" si="22"/>
        <v>0</v>
      </c>
      <c r="M535">
        <f t="shared" si="22"/>
        <v>234</v>
      </c>
      <c r="N535">
        <f t="shared" si="22"/>
        <v>202</v>
      </c>
      <c r="O535">
        <f t="shared" si="22"/>
        <v>0</v>
      </c>
      <c r="P535">
        <f t="shared" si="22"/>
        <v>82</v>
      </c>
      <c r="Q535">
        <f t="shared" si="22"/>
        <v>234</v>
      </c>
      <c r="R535">
        <f t="shared" si="22"/>
        <v>0</v>
      </c>
      <c r="S535">
        <f t="shared" si="22"/>
        <v>0</v>
      </c>
      <c r="T535">
        <f t="shared" si="22"/>
        <v>0</v>
      </c>
      <c r="U535">
        <f t="shared" si="22"/>
        <v>0</v>
      </c>
      <c r="V535">
        <f t="shared" si="22"/>
        <v>0</v>
      </c>
      <c r="W535">
        <f t="shared" si="22"/>
        <v>0</v>
      </c>
      <c r="X535">
        <f t="shared" si="22"/>
        <v>0</v>
      </c>
      <c r="Y535">
        <f t="shared" si="22"/>
        <v>0</v>
      </c>
      <c r="Z535">
        <f t="shared" si="22"/>
        <v>0</v>
      </c>
      <c r="AA535">
        <f t="shared" si="22"/>
        <v>0</v>
      </c>
      <c r="AB535">
        <f t="shared" si="22"/>
        <v>0</v>
      </c>
      <c r="AC535">
        <f t="shared" si="22"/>
        <v>0</v>
      </c>
      <c r="AD535">
        <f t="shared" si="22"/>
        <v>0</v>
      </c>
      <c r="AE535">
        <f t="shared" si="22"/>
        <v>0</v>
      </c>
      <c r="AF535">
        <f t="shared" si="22"/>
        <v>0</v>
      </c>
      <c r="AG535">
        <f t="shared" si="22"/>
        <v>0</v>
      </c>
    </row>
    <row r="538" spans="1:57" x14ac:dyDescent="0.25">
      <c r="D538" t="s">
        <v>66</v>
      </c>
      <c r="F538" t="s">
        <v>67</v>
      </c>
      <c r="S538" t="s">
        <v>68</v>
      </c>
      <c r="AA538" t="s">
        <v>68</v>
      </c>
      <c r="AE538" t="s">
        <v>68</v>
      </c>
      <c r="AI538" t="s">
        <v>68</v>
      </c>
      <c r="AQ538" t="s">
        <v>68</v>
      </c>
      <c r="AY538" t="s">
        <v>68</v>
      </c>
    </row>
    <row r="539" spans="1:57" x14ac:dyDescent="0.25">
      <c r="F539" t="s">
        <v>47</v>
      </c>
      <c r="S539" t="s">
        <v>48</v>
      </c>
      <c r="AA539" t="s">
        <v>49</v>
      </c>
      <c r="AE539" t="s">
        <v>50</v>
      </c>
      <c r="AI539" t="s">
        <v>48</v>
      </c>
      <c r="AK539" t="s">
        <v>51</v>
      </c>
      <c r="AL539" t="s">
        <v>33</v>
      </c>
      <c r="AM539" t="s">
        <v>34</v>
      </c>
      <c r="AN539" t="s">
        <v>35</v>
      </c>
      <c r="AO539" t="s">
        <v>36</v>
      </c>
      <c r="AQ539" t="s">
        <v>49</v>
      </c>
      <c r="AS539" t="s">
        <v>51</v>
      </c>
      <c r="AT539" t="s">
        <v>33</v>
      </c>
      <c r="AU539" t="s">
        <v>34</v>
      </c>
      <c r="AV539" t="s">
        <v>35</v>
      </c>
      <c r="AW539" t="s">
        <v>36</v>
      </c>
      <c r="AY539" t="s">
        <v>50</v>
      </c>
      <c r="BA539" t="s">
        <v>51</v>
      </c>
      <c r="BB539" t="s">
        <v>33</v>
      </c>
      <c r="BC539" t="s">
        <v>34</v>
      </c>
      <c r="BD539" t="s">
        <v>35</v>
      </c>
      <c r="BE539" t="s">
        <v>36</v>
      </c>
    </row>
    <row r="540" spans="1:57" x14ac:dyDescent="0.25">
      <c r="F540" t="s">
        <v>52</v>
      </c>
      <c r="M540" t="s">
        <v>53</v>
      </c>
      <c r="S540" t="s">
        <v>54</v>
      </c>
      <c r="U540">
        <f>COUNTIF(B18:AG18,"&lt;&gt;")</f>
        <v>32</v>
      </c>
      <c r="AA540" t="s">
        <v>54</v>
      </c>
      <c r="AC540">
        <f>COUNTIF(B18:AG18,"&lt;&gt;")</f>
        <v>32</v>
      </c>
      <c r="AE540" t="s">
        <v>54</v>
      </c>
      <c r="AG540">
        <f>COUNTIF(B18:AG18,"&lt;&gt;")</f>
        <v>32</v>
      </c>
      <c r="AI540" t="s">
        <v>54</v>
      </c>
      <c r="AK540">
        <f>COUNTIF($B$2:$AG$2,"&lt;&gt;")</f>
        <v>32</v>
      </c>
      <c r="AL540">
        <f>COUNTIF($B$2:$I$2,"&lt;&gt;")</f>
        <v>8</v>
      </c>
      <c r="AM540">
        <f>COUNTIF($J$2:$R$2,"&lt;&gt;")</f>
        <v>9</v>
      </c>
      <c r="AN540">
        <f>COUNTIF($S$2:$X$2,"&lt;&gt;")</f>
        <v>6</v>
      </c>
      <c r="AO540">
        <f>COUNTIF($Y$2:$AG$2,"&lt;&gt;")</f>
        <v>9</v>
      </c>
      <c r="AQ540" t="s">
        <v>54</v>
      </c>
      <c r="AS540">
        <f>COUNTIF($B$2:$AG$2,"&lt;&gt;")</f>
        <v>32</v>
      </c>
      <c r="AT540">
        <f>COUNTIF($B$2:$I$2,"&lt;&gt;")</f>
        <v>8</v>
      </c>
      <c r="AU540">
        <f>COUNTIF($J$2:$R$2,"&lt;&gt;")</f>
        <v>9</v>
      </c>
      <c r="AV540">
        <f>COUNTIF($S$2:$X$2,"&lt;&gt;")</f>
        <v>6</v>
      </c>
      <c r="AW540">
        <f>COUNTIF($Y$2:$AG$2,"&lt;&gt;")</f>
        <v>9</v>
      </c>
      <c r="AY540" t="s">
        <v>54</v>
      </c>
      <c r="BA540">
        <f>COUNTIF($B$2:$AG$2,"&lt;&gt;")</f>
        <v>32</v>
      </c>
      <c r="BB540">
        <f>COUNTIF($B$2:$I$2,"&lt;&gt;")</f>
        <v>8</v>
      </c>
      <c r="BC540">
        <f>COUNTIF($J$2:$R$2,"&lt;&gt;")</f>
        <v>9</v>
      </c>
      <c r="BD540">
        <f>COUNTIF($S$2:$X$2,"&lt;&gt;")</f>
        <v>6</v>
      </c>
      <c r="BE540">
        <f>COUNTIF($Y$2:$AG$2,"&lt;&gt;")</f>
        <v>9</v>
      </c>
    </row>
    <row r="541" spans="1:57" x14ac:dyDescent="0.25">
      <c r="F541" t="s">
        <v>55</v>
      </c>
      <c r="H541" t="s">
        <v>113</v>
      </c>
      <c r="J541">
        <f>COUNTIF($B$54:$B$235,"&lt;&gt;")</f>
        <v>182</v>
      </c>
      <c r="M541" t="s">
        <v>56</v>
      </c>
      <c r="S541" t="s">
        <v>57</v>
      </c>
      <c r="U541">
        <f>COUNTIF($A$3:$A$511,"&lt;&gt;")</f>
        <v>509</v>
      </c>
      <c r="AA541" t="s">
        <v>57</v>
      </c>
      <c r="AC541">
        <f>SUM($J$524:$J$525)</f>
        <v>275</v>
      </c>
      <c r="AE541" t="s">
        <v>57</v>
      </c>
      <c r="AG541">
        <f>SUM($Q$525:$Q$526)</f>
        <v>234</v>
      </c>
      <c r="AI541" t="s">
        <v>57</v>
      </c>
      <c r="AK541">
        <f>COUNTIF($A$3:$A$511,"&lt;&gt;")</f>
        <v>509</v>
      </c>
      <c r="AL541">
        <f t="shared" ref="AL541:AO541" si="23">COUNTIF($A$3:$A$511,"&lt;&gt;")</f>
        <v>509</v>
      </c>
      <c r="AM541">
        <f t="shared" si="23"/>
        <v>509</v>
      </c>
      <c r="AN541">
        <f t="shared" si="23"/>
        <v>509</v>
      </c>
      <c r="AO541">
        <f t="shared" si="23"/>
        <v>509</v>
      </c>
      <c r="AQ541" t="s">
        <v>57</v>
      </c>
      <c r="AS541">
        <f>SUM($J$524:$J$525)</f>
        <v>275</v>
      </c>
      <c r="AT541">
        <f t="shared" ref="AT541:AW541" si="24">SUM($J$524:$J$525)</f>
        <v>275</v>
      </c>
      <c r="AU541">
        <f t="shared" si="24"/>
        <v>275</v>
      </c>
      <c r="AV541">
        <f t="shared" si="24"/>
        <v>275</v>
      </c>
      <c r="AW541">
        <f t="shared" si="24"/>
        <v>275</v>
      </c>
      <c r="AY541" t="s">
        <v>57</v>
      </c>
      <c r="BA541">
        <f>SUM($Q$525:$Q$526)</f>
        <v>234</v>
      </c>
      <c r="BB541">
        <f t="shared" ref="BB541:BE541" si="25">SUM($Q$525:$Q$526)</f>
        <v>234</v>
      </c>
      <c r="BC541">
        <f t="shared" si="25"/>
        <v>234</v>
      </c>
      <c r="BD541">
        <f t="shared" si="25"/>
        <v>234</v>
      </c>
      <c r="BE541">
        <f t="shared" si="25"/>
        <v>234</v>
      </c>
    </row>
    <row r="542" spans="1:57" x14ac:dyDescent="0.25">
      <c r="F542" t="s">
        <v>58</v>
      </c>
      <c r="H542" t="s">
        <v>114</v>
      </c>
      <c r="J542">
        <f>COUNTIF($B$419:$B$511,"&lt;&gt;")</f>
        <v>93</v>
      </c>
      <c r="M542" t="s">
        <v>74</v>
      </c>
      <c r="O542" t="s">
        <v>115</v>
      </c>
      <c r="Q542">
        <f>COUNTIF($B$3:$B$53,"&lt;&gt;")</f>
        <v>51</v>
      </c>
      <c r="S542" t="s">
        <v>60</v>
      </c>
      <c r="U542">
        <f>U541*U540</f>
        <v>16288</v>
      </c>
      <c r="V542" t="s">
        <v>61</v>
      </c>
      <c r="AA542" t="s">
        <v>60</v>
      </c>
      <c r="AC542">
        <f>AC541*AC540</f>
        <v>8800</v>
      </c>
      <c r="AE542" t="s">
        <v>60</v>
      </c>
      <c r="AG542">
        <f>AG540*AG541</f>
        <v>7488</v>
      </c>
      <c r="AI542" t="s">
        <v>60</v>
      </c>
      <c r="AK542">
        <f>AK541*AK540</f>
        <v>16288</v>
      </c>
      <c r="AL542">
        <f t="shared" ref="AL542" si="26">AL541*AL540</f>
        <v>4072</v>
      </c>
      <c r="AM542">
        <f t="shared" ref="AM542" si="27">AM541*AM540</f>
        <v>4581</v>
      </c>
      <c r="AN542">
        <f t="shared" ref="AN542" si="28">AN541*AN540</f>
        <v>3054</v>
      </c>
      <c r="AO542">
        <f t="shared" ref="AO542" si="29">AO541*AO540</f>
        <v>4581</v>
      </c>
      <c r="AQ542" t="s">
        <v>60</v>
      </c>
      <c r="AS542">
        <f>AS541*AS540</f>
        <v>8800</v>
      </c>
      <c r="AT542">
        <f t="shared" ref="AT542:AW542" si="30">AT541*AT540</f>
        <v>2200</v>
      </c>
      <c r="AU542">
        <f t="shared" si="30"/>
        <v>2475</v>
      </c>
      <c r="AV542">
        <f t="shared" si="30"/>
        <v>1650</v>
      </c>
      <c r="AW542">
        <f t="shared" si="30"/>
        <v>2475</v>
      </c>
      <c r="AY542" t="s">
        <v>60</v>
      </c>
      <c r="BA542">
        <f>BA541*BA540</f>
        <v>7488</v>
      </c>
      <c r="BB542">
        <f t="shared" ref="BB542:BE542" si="31">BB541*BB540</f>
        <v>1872</v>
      </c>
      <c r="BC542">
        <f t="shared" si="31"/>
        <v>2106</v>
      </c>
      <c r="BD542">
        <f t="shared" si="31"/>
        <v>1404</v>
      </c>
      <c r="BE542">
        <f t="shared" si="31"/>
        <v>2106</v>
      </c>
    </row>
    <row r="543" spans="1:57" x14ac:dyDescent="0.25">
      <c r="M543" t="s">
        <v>59</v>
      </c>
      <c r="O543" t="s">
        <v>116</v>
      </c>
      <c r="Q543">
        <f>COUNTIF($B$236:$B$418,"&lt;&gt;")</f>
        <v>183</v>
      </c>
      <c r="S543" t="s">
        <v>75</v>
      </c>
      <c r="U543">
        <f>SUM(B529:AG529)</f>
        <v>5600</v>
      </c>
      <c r="V543" t="s">
        <v>62</v>
      </c>
      <c r="AA543" t="s">
        <v>75</v>
      </c>
      <c r="AC543">
        <f>SUM(B534:AG534)</f>
        <v>2957</v>
      </c>
      <c r="AE543" t="s">
        <v>75</v>
      </c>
      <c r="AG543">
        <f>SUM(B535:AG535)</f>
        <v>2643</v>
      </c>
      <c r="AI543" t="s">
        <v>75</v>
      </c>
      <c r="AK543">
        <f>SUM(B529:AG529)</f>
        <v>5600</v>
      </c>
      <c r="AL543">
        <f>SUM(B529:I529)</f>
        <v>4039</v>
      </c>
      <c r="AM543">
        <f>SUM(J529:R529)</f>
        <v>1561</v>
      </c>
      <c r="AN543">
        <f>SUM(S529:X529)</f>
        <v>0</v>
      </c>
      <c r="AO543">
        <f>SUM(Y529:AG529)</f>
        <v>0</v>
      </c>
      <c r="AQ543" t="s">
        <v>75</v>
      </c>
      <c r="AS543">
        <f>SUM(B534:AG534)</f>
        <v>2957</v>
      </c>
      <c r="AT543">
        <f>SUM(B534:I534)</f>
        <v>2167</v>
      </c>
      <c r="AU543">
        <f>SUM(J534:R534)</f>
        <v>790</v>
      </c>
      <c r="AV543">
        <f>SUM(S534:X534)</f>
        <v>0</v>
      </c>
      <c r="AW543">
        <f>SUM(Y534:AG534)</f>
        <v>0</v>
      </c>
      <c r="AY543" t="s">
        <v>75</v>
      </c>
      <c r="BA543">
        <f>SUM($B535:$AG535)</f>
        <v>2643</v>
      </c>
      <c r="BB543">
        <f>SUM(B535:I535)</f>
        <v>1872</v>
      </c>
      <c r="BC543">
        <f>SUM(J535:R535)</f>
        <v>771</v>
      </c>
      <c r="BD543">
        <f>SUM(S535:X535)</f>
        <v>0</v>
      </c>
      <c r="BE543">
        <f>SUM(Y535:AG535)</f>
        <v>0</v>
      </c>
    </row>
    <row r="544" spans="1:57" x14ac:dyDescent="0.25">
      <c r="S544" t="s">
        <v>63</v>
      </c>
      <c r="U544">
        <f>$U543/$U542</f>
        <v>0.34381139489194501</v>
      </c>
      <c r="AA544" t="s">
        <v>64</v>
      </c>
      <c r="AC544">
        <f>AC543/AC542</f>
        <v>0.33602272727272725</v>
      </c>
      <c r="AE544" t="s">
        <v>65</v>
      </c>
      <c r="AG544">
        <f>AG543/AG542</f>
        <v>0.35296474358974361</v>
      </c>
      <c r="AI544" t="s">
        <v>63</v>
      </c>
      <c r="AK544">
        <f>AK543/AK542</f>
        <v>0.34381139489194501</v>
      </c>
      <c r="AL544">
        <f t="shared" ref="AL544:AO544" si="32">AL543/AL542</f>
        <v>0.99189587426326131</v>
      </c>
      <c r="AM544">
        <f t="shared" si="32"/>
        <v>0.34075529360401657</v>
      </c>
      <c r="AN544">
        <f t="shared" si="32"/>
        <v>0</v>
      </c>
      <c r="AO544">
        <f t="shared" si="32"/>
        <v>0</v>
      </c>
      <c r="AQ544" t="s">
        <v>64</v>
      </c>
      <c r="AS544">
        <f>AS543/AS542</f>
        <v>0.33602272727272725</v>
      </c>
      <c r="AT544">
        <f t="shared" ref="AT544:AW544" si="33">AT543/AT542</f>
        <v>0.98499999999999999</v>
      </c>
      <c r="AU544">
        <f t="shared" si="33"/>
        <v>0.31919191919191919</v>
      </c>
      <c r="AV544">
        <f t="shared" si="33"/>
        <v>0</v>
      </c>
      <c r="AW544">
        <f t="shared" si="33"/>
        <v>0</v>
      </c>
      <c r="AY544" t="s">
        <v>65</v>
      </c>
      <c r="BA544">
        <f>BA543/BA542</f>
        <v>0.35296474358974361</v>
      </c>
      <c r="BB544">
        <f t="shared" ref="BB544:BE544" si="34">BB543/BB542</f>
        <v>1</v>
      </c>
      <c r="BC544">
        <f t="shared" si="34"/>
        <v>0.36609686609686609</v>
      </c>
      <c r="BD544">
        <f t="shared" si="34"/>
        <v>0</v>
      </c>
      <c r="BE544">
        <f t="shared" si="34"/>
        <v>0</v>
      </c>
    </row>
    <row r="546" spans="1:57" x14ac:dyDescent="0.25">
      <c r="A546" t="s">
        <v>37</v>
      </c>
      <c r="B546">
        <f>COUNTIF(B$3:B$511,"&gt;=3600")</f>
        <v>509</v>
      </c>
      <c r="C546">
        <f t="shared" ref="C546:AG546" si="35">COUNTIF(C$3:C$511,"&gt;=3600")</f>
        <v>480</v>
      </c>
      <c r="D546">
        <f t="shared" si="35"/>
        <v>509</v>
      </c>
      <c r="E546">
        <f t="shared" si="35"/>
        <v>509</v>
      </c>
      <c r="F546">
        <f t="shared" si="35"/>
        <v>503</v>
      </c>
      <c r="G546">
        <f t="shared" si="35"/>
        <v>498</v>
      </c>
      <c r="H546">
        <f t="shared" si="35"/>
        <v>509</v>
      </c>
      <c r="I546">
        <f t="shared" si="35"/>
        <v>509</v>
      </c>
      <c r="J546">
        <f t="shared" si="35"/>
        <v>0</v>
      </c>
      <c r="K546">
        <f t="shared" si="35"/>
        <v>0</v>
      </c>
      <c r="L546">
        <f t="shared" si="35"/>
        <v>0</v>
      </c>
      <c r="M546">
        <f t="shared" si="35"/>
        <v>497</v>
      </c>
      <c r="N546">
        <f t="shared" si="35"/>
        <v>310</v>
      </c>
      <c r="O546">
        <f t="shared" si="35"/>
        <v>0</v>
      </c>
      <c r="P546">
        <f t="shared" si="35"/>
        <v>9</v>
      </c>
      <c r="Q546">
        <f t="shared" si="35"/>
        <v>481</v>
      </c>
      <c r="R546">
        <f t="shared" si="35"/>
        <v>0</v>
      </c>
      <c r="S546">
        <f t="shared" si="35"/>
        <v>0</v>
      </c>
      <c r="T546">
        <f t="shared" si="35"/>
        <v>0</v>
      </c>
      <c r="U546">
        <f t="shared" si="35"/>
        <v>0</v>
      </c>
      <c r="V546">
        <f t="shared" si="35"/>
        <v>0</v>
      </c>
      <c r="W546">
        <f t="shared" si="35"/>
        <v>0</v>
      </c>
      <c r="X546">
        <f t="shared" si="35"/>
        <v>0</v>
      </c>
      <c r="Y546">
        <f t="shared" si="35"/>
        <v>0</v>
      </c>
      <c r="Z546">
        <f t="shared" si="35"/>
        <v>0</v>
      </c>
      <c r="AA546">
        <f t="shared" si="35"/>
        <v>0</v>
      </c>
      <c r="AB546">
        <f t="shared" si="35"/>
        <v>0</v>
      </c>
      <c r="AC546">
        <f t="shared" si="35"/>
        <v>0</v>
      </c>
      <c r="AD546">
        <f t="shared" si="35"/>
        <v>0</v>
      </c>
      <c r="AE546">
        <f t="shared" si="35"/>
        <v>0</v>
      </c>
      <c r="AF546">
        <f t="shared" si="35"/>
        <v>0</v>
      </c>
      <c r="AG546">
        <f t="shared" si="35"/>
        <v>0</v>
      </c>
    </row>
    <row r="547" spans="1:57" x14ac:dyDescent="0.25">
      <c r="A547" t="s">
        <v>38</v>
      </c>
      <c r="B547">
        <f>COUNTIF(B$54:B$235,"&gt;=3600")</f>
        <v>182</v>
      </c>
      <c r="C547">
        <f t="shared" ref="C547:AG547" si="36">COUNTIF(C$54:C$235,"&gt;=3600")</f>
        <v>176</v>
      </c>
      <c r="D547">
        <f t="shared" si="36"/>
        <v>182</v>
      </c>
      <c r="E547">
        <f t="shared" si="36"/>
        <v>182</v>
      </c>
      <c r="F547">
        <f t="shared" si="36"/>
        <v>182</v>
      </c>
      <c r="G547">
        <f t="shared" si="36"/>
        <v>182</v>
      </c>
      <c r="H547">
        <f t="shared" si="36"/>
        <v>182</v>
      </c>
      <c r="I547">
        <f t="shared" si="36"/>
        <v>182</v>
      </c>
      <c r="J547">
        <f t="shared" si="36"/>
        <v>0</v>
      </c>
      <c r="K547">
        <f t="shared" si="36"/>
        <v>0</v>
      </c>
      <c r="L547">
        <f t="shared" si="36"/>
        <v>0</v>
      </c>
      <c r="M547">
        <f t="shared" si="36"/>
        <v>182</v>
      </c>
      <c r="N547">
        <f t="shared" si="36"/>
        <v>87</v>
      </c>
      <c r="O547">
        <f t="shared" si="36"/>
        <v>0</v>
      </c>
      <c r="P547">
        <f t="shared" si="36"/>
        <v>1</v>
      </c>
      <c r="Q547">
        <f t="shared" si="36"/>
        <v>176</v>
      </c>
      <c r="R547">
        <f t="shared" si="36"/>
        <v>0</v>
      </c>
      <c r="S547">
        <f t="shared" si="36"/>
        <v>0</v>
      </c>
      <c r="T547">
        <f t="shared" si="36"/>
        <v>0</v>
      </c>
      <c r="U547">
        <f t="shared" si="36"/>
        <v>0</v>
      </c>
      <c r="V547">
        <f t="shared" si="36"/>
        <v>0</v>
      </c>
      <c r="W547">
        <f t="shared" si="36"/>
        <v>0</v>
      </c>
      <c r="X547">
        <f t="shared" si="36"/>
        <v>0</v>
      </c>
      <c r="Y547">
        <f t="shared" si="36"/>
        <v>0</v>
      </c>
      <c r="Z547">
        <f t="shared" si="36"/>
        <v>0</v>
      </c>
      <c r="AA547">
        <f t="shared" si="36"/>
        <v>0</v>
      </c>
      <c r="AB547">
        <f t="shared" si="36"/>
        <v>0</v>
      </c>
      <c r="AC547">
        <f t="shared" si="36"/>
        <v>0</v>
      </c>
      <c r="AD547">
        <f t="shared" si="36"/>
        <v>0</v>
      </c>
      <c r="AE547">
        <f t="shared" si="36"/>
        <v>0</v>
      </c>
      <c r="AF547">
        <f t="shared" si="36"/>
        <v>0</v>
      </c>
      <c r="AG547">
        <f t="shared" si="36"/>
        <v>0</v>
      </c>
      <c r="AH547" t="s">
        <v>109</v>
      </c>
    </row>
    <row r="548" spans="1:57" x14ac:dyDescent="0.25">
      <c r="A548" t="s">
        <v>39</v>
      </c>
      <c r="B548">
        <f>COUNTIF(B$419:B$511,"&gt;=3600")</f>
        <v>93</v>
      </c>
      <c r="C548">
        <f t="shared" ref="C548:AG548" si="37">COUNTIF(C$419:C$511,"&gt;=3600")</f>
        <v>70</v>
      </c>
      <c r="D548">
        <f t="shared" si="37"/>
        <v>93</v>
      </c>
      <c r="E548">
        <f t="shared" si="37"/>
        <v>93</v>
      </c>
      <c r="F548">
        <f t="shared" si="37"/>
        <v>87</v>
      </c>
      <c r="G548">
        <f t="shared" si="37"/>
        <v>82</v>
      </c>
      <c r="H548">
        <f t="shared" si="37"/>
        <v>93</v>
      </c>
      <c r="I548">
        <f t="shared" si="37"/>
        <v>93</v>
      </c>
      <c r="J548">
        <f t="shared" si="37"/>
        <v>0</v>
      </c>
      <c r="K548">
        <f t="shared" si="37"/>
        <v>0</v>
      </c>
      <c r="L548">
        <f t="shared" si="37"/>
        <v>0</v>
      </c>
      <c r="M548">
        <f t="shared" si="37"/>
        <v>81</v>
      </c>
      <c r="N548">
        <f t="shared" si="37"/>
        <v>46</v>
      </c>
      <c r="O548">
        <f t="shared" si="37"/>
        <v>0</v>
      </c>
      <c r="P548">
        <f t="shared" si="37"/>
        <v>0</v>
      </c>
      <c r="Q548">
        <f t="shared" si="37"/>
        <v>71</v>
      </c>
      <c r="R548">
        <f t="shared" si="37"/>
        <v>0</v>
      </c>
      <c r="S548">
        <f t="shared" si="37"/>
        <v>0</v>
      </c>
      <c r="T548">
        <f t="shared" si="37"/>
        <v>0</v>
      </c>
      <c r="U548">
        <f t="shared" si="37"/>
        <v>0</v>
      </c>
      <c r="V548">
        <f t="shared" si="37"/>
        <v>0</v>
      </c>
      <c r="W548">
        <f t="shared" si="37"/>
        <v>0</v>
      </c>
      <c r="X548">
        <f t="shared" si="37"/>
        <v>0</v>
      </c>
      <c r="Y548">
        <f t="shared" si="37"/>
        <v>0</v>
      </c>
      <c r="Z548">
        <f t="shared" si="37"/>
        <v>0</v>
      </c>
      <c r="AA548">
        <f t="shared" si="37"/>
        <v>0</v>
      </c>
      <c r="AB548">
        <f t="shared" si="37"/>
        <v>0</v>
      </c>
      <c r="AC548">
        <f t="shared" si="37"/>
        <v>0</v>
      </c>
      <c r="AD548">
        <f t="shared" si="37"/>
        <v>0</v>
      </c>
      <c r="AE548">
        <f t="shared" si="37"/>
        <v>0</v>
      </c>
      <c r="AF548">
        <f t="shared" si="37"/>
        <v>0</v>
      </c>
      <c r="AG548">
        <f t="shared" si="37"/>
        <v>0</v>
      </c>
      <c r="AH548" t="s">
        <v>110</v>
      </c>
    </row>
    <row r="549" spans="1:57" x14ac:dyDescent="0.25">
      <c r="A549" t="s">
        <v>40</v>
      </c>
      <c r="B549">
        <f>COUNTIF(B$3:B$53,"&gt;=3600")</f>
        <v>51</v>
      </c>
      <c r="C549">
        <f t="shared" ref="C549:AG549" si="38">COUNTIF(C$3:C$53,"&gt;=3600")</f>
        <v>51</v>
      </c>
      <c r="D549">
        <f t="shared" si="38"/>
        <v>51</v>
      </c>
      <c r="E549">
        <f t="shared" si="38"/>
        <v>51</v>
      </c>
      <c r="F549">
        <f t="shared" si="38"/>
        <v>51</v>
      </c>
      <c r="G549">
        <f t="shared" si="38"/>
        <v>51</v>
      </c>
      <c r="H549">
        <f t="shared" si="38"/>
        <v>51</v>
      </c>
      <c r="I549">
        <f t="shared" si="38"/>
        <v>51</v>
      </c>
      <c r="J549">
        <f t="shared" si="38"/>
        <v>0</v>
      </c>
      <c r="K549">
        <f t="shared" si="38"/>
        <v>0</v>
      </c>
      <c r="L549">
        <f t="shared" si="38"/>
        <v>0</v>
      </c>
      <c r="M549">
        <f t="shared" si="38"/>
        <v>51</v>
      </c>
      <c r="N549">
        <f t="shared" si="38"/>
        <v>37</v>
      </c>
      <c r="O549">
        <f t="shared" si="38"/>
        <v>0</v>
      </c>
      <c r="P549">
        <f t="shared" si="38"/>
        <v>8</v>
      </c>
      <c r="Q549">
        <f t="shared" si="38"/>
        <v>51</v>
      </c>
      <c r="R549">
        <f t="shared" si="38"/>
        <v>0</v>
      </c>
      <c r="S549">
        <f t="shared" si="38"/>
        <v>0</v>
      </c>
      <c r="T549">
        <f t="shared" si="38"/>
        <v>0</v>
      </c>
      <c r="U549">
        <f t="shared" si="38"/>
        <v>0</v>
      </c>
      <c r="V549">
        <f t="shared" si="38"/>
        <v>0</v>
      </c>
      <c r="W549">
        <f t="shared" si="38"/>
        <v>0</v>
      </c>
      <c r="X549">
        <f t="shared" si="38"/>
        <v>0</v>
      </c>
      <c r="Y549">
        <f t="shared" si="38"/>
        <v>0</v>
      </c>
      <c r="Z549">
        <f t="shared" si="38"/>
        <v>0</v>
      </c>
      <c r="AA549">
        <f t="shared" si="38"/>
        <v>0</v>
      </c>
      <c r="AB549">
        <f t="shared" si="38"/>
        <v>0</v>
      </c>
      <c r="AC549">
        <f t="shared" si="38"/>
        <v>0</v>
      </c>
      <c r="AD549">
        <f t="shared" si="38"/>
        <v>0</v>
      </c>
      <c r="AE549">
        <f t="shared" si="38"/>
        <v>0</v>
      </c>
      <c r="AF549">
        <f t="shared" si="38"/>
        <v>0</v>
      </c>
      <c r="AG549">
        <f t="shared" si="38"/>
        <v>0</v>
      </c>
      <c r="AH549" t="s">
        <v>111</v>
      </c>
    </row>
    <row r="550" spans="1:57" x14ac:dyDescent="0.25">
      <c r="A550" t="s">
        <v>41</v>
      </c>
      <c r="B550">
        <f>COUNTIF(B$236:B$418,"&gt;=3600")</f>
        <v>183</v>
      </c>
      <c r="C550">
        <f t="shared" ref="C550:AG550" si="39">COUNTIF(C$236:C$418,"&gt;=3600")</f>
        <v>183</v>
      </c>
      <c r="D550">
        <f t="shared" si="39"/>
        <v>183</v>
      </c>
      <c r="E550">
        <f t="shared" si="39"/>
        <v>183</v>
      </c>
      <c r="F550">
        <f t="shared" si="39"/>
        <v>183</v>
      </c>
      <c r="G550">
        <f t="shared" si="39"/>
        <v>183</v>
      </c>
      <c r="H550">
        <f t="shared" si="39"/>
        <v>183</v>
      </c>
      <c r="I550">
        <f t="shared" si="39"/>
        <v>183</v>
      </c>
      <c r="J550">
        <f t="shared" si="39"/>
        <v>0</v>
      </c>
      <c r="K550">
        <f t="shared" si="39"/>
        <v>0</v>
      </c>
      <c r="L550">
        <f t="shared" si="39"/>
        <v>0</v>
      </c>
      <c r="M550">
        <f t="shared" si="39"/>
        <v>183</v>
      </c>
      <c r="N550">
        <f t="shared" si="39"/>
        <v>140</v>
      </c>
      <c r="O550">
        <f t="shared" si="39"/>
        <v>0</v>
      </c>
      <c r="P550">
        <f t="shared" si="39"/>
        <v>0</v>
      </c>
      <c r="Q550">
        <f t="shared" si="39"/>
        <v>183</v>
      </c>
      <c r="R550">
        <f t="shared" si="39"/>
        <v>0</v>
      </c>
      <c r="S550">
        <f t="shared" si="39"/>
        <v>0</v>
      </c>
      <c r="T550">
        <f t="shared" si="39"/>
        <v>0</v>
      </c>
      <c r="U550">
        <f t="shared" si="39"/>
        <v>0</v>
      </c>
      <c r="V550">
        <f t="shared" si="39"/>
        <v>0</v>
      </c>
      <c r="W550">
        <f t="shared" si="39"/>
        <v>0</v>
      </c>
      <c r="X550">
        <f t="shared" si="39"/>
        <v>0</v>
      </c>
      <c r="Y550">
        <f t="shared" si="39"/>
        <v>0</v>
      </c>
      <c r="Z550">
        <f t="shared" si="39"/>
        <v>0</v>
      </c>
      <c r="AA550">
        <f t="shared" si="39"/>
        <v>0</v>
      </c>
      <c r="AB550">
        <f t="shared" si="39"/>
        <v>0</v>
      </c>
      <c r="AC550">
        <f t="shared" si="39"/>
        <v>0</v>
      </c>
      <c r="AD550">
        <f t="shared" si="39"/>
        <v>0</v>
      </c>
      <c r="AE550">
        <f t="shared" si="39"/>
        <v>0</v>
      </c>
      <c r="AF550">
        <f t="shared" si="39"/>
        <v>0</v>
      </c>
      <c r="AG550">
        <f t="shared" si="39"/>
        <v>0</v>
      </c>
      <c r="AH550" t="s">
        <v>112</v>
      </c>
    </row>
    <row r="551" spans="1:57" x14ac:dyDescent="0.25">
      <c r="A551" t="s">
        <v>42</v>
      </c>
      <c r="B551">
        <f>SUM(B547,B548)</f>
        <v>275</v>
      </c>
      <c r="C551">
        <f t="shared" ref="C551:AG551" si="40">SUM(C547,C548)</f>
        <v>246</v>
      </c>
      <c r="D551">
        <f t="shared" si="40"/>
        <v>275</v>
      </c>
      <c r="E551">
        <f t="shared" si="40"/>
        <v>275</v>
      </c>
      <c r="F551">
        <f t="shared" si="40"/>
        <v>269</v>
      </c>
      <c r="G551">
        <f t="shared" si="40"/>
        <v>264</v>
      </c>
      <c r="H551">
        <f t="shared" si="40"/>
        <v>275</v>
      </c>
      <c r="I551">
        <f t="shared" si="40"/>
        <v>275</v>
      </c>
      <c r="J551">
        <f t="shared" si="40"/>
        <v>0</v>
      </c>
      <c r="K551">
        <f t="shared" si="40"/>
        <v>0</v>
      </c>
      <c r="L551">
        <f t="shared" si="40"/>
        <v>0</v>
      </c>
      <c r="M551">
        <f t="shared" si="40"/>
        <v>263</v>
      </c>
      <c r="N551">
        <f t="shared" si="40"/>
        <v>133</v>
      </c>
      <c r="O551">
        <f t="shared" si="40"/>
        <v>0</v>
      </c>
      <c r="P551">
        <f t="shared" si="40"/>
        <v>1</v>
      </c>
      <c r="Q551">
        <f t="shared" si="40"/>
        <v>247</v>
      </c>
      <c r="R551">
        <f t="shared" si="40"/>
        <v>0</v>
      </c>
      <c r="S551">
        <f t="shared" si="40"/>
        <v>0</v>
      </c>
      <c r="T551">
        <f t="shared" si="40"/>
        <v>0</v>
      </c>
      <c r="U551">
        <f t="shared" si="40"/>
        <v>0</v>
      </c>
      <c r="V551">
        <f t="shared" si="40"/>
        <v>0</v>
      </c>
      <c r="W551">
        <f t="shared" si="40"/>
        <v>0</v>
      </c>
      <c r="X551">
        <f t="shared" si="40"/>
        <v>0</v>
      </c>
      <c r="Y551">
        <f t="shared" si="40"/>
        <v>0</v>
      </c>
      <c r="Z551">
        <f t="shared" si="40"/>
        <v>0</v>
      </c>
      <c r="AA551">
        <f t="shared" si="40"/>
        <v>0</v>
      </c>
      <c r="AB551">
        <f t="shared" si="40"/>
        <v>0</v>
      </c>
      <c r="AC551">
        <f t="shared" si="40"/>
        <v>0</v>
      </c>
      <c r="AD551">
        <f t="shared" si="40"/>
        <v>0</v>
      </c>
      <c r="AE551">
        <f t="shared" si="40"/>
        <v>0</v>
      </c>
      <c r="AF551">
        <f t="shared" si="40"/>
        <v>0</v>
      </c>
      <c r="AG551">
        <f t="shared" si="40"/>
        <v>0</v>
      </c>
    </row>
    <row r="552" spans="1:57" x14ac:dyDescent="0.25">
      <c r="A552" t="s">
        <v>43</v>
      </c>
      <c r="B552">
        <f>SUM(B549,B550)</f>
        <v>234</v>
      </c>
      <c r="C552">
        <f t="shared" ref="C552:AG552" si="41">SUM(C549,C550)</f>
        <v>234</v>
      </c>
      <c r="D552">
        <f t="shared" si="41"/>
        <v>234</v>
      </c>
      <c r="E552">
        <f t="shared" si="41"/>
        <v>234</v>
      </c>
      <c r="F552">
        <f t="shared" si="41"/>
        <v>234</v>
      </c>
      <c r="G552">
        <f t="shared" si="41"/>
        <v>234</v>
      </c>
      <c r="H552">
        <f t="shared" si="41"/>
        <v>234</v>
      </c>
      <c r="I552">
        <f t="shared" si="41"/>
        <v>234</v>
      </c>
      <c r="J552">
        <f t="shared" si="41"/>
        <v>0</v>
      </c>
      <c r="K552">
        <f t="shared" si="41"/>
        <v>0</v>
      </c>
      <c r="L552">
        <f t="shared" si="41"/>
        <v>0</v>
      </c>
      <c r="M552">
        <f t="shared" si="41"/>
        <v>234</v>
      </c>
      <c r="N552">
        <f t="shared" si="41"/>
        <v>177</v>
      </c>
      <c r="O552">
        <f t="shared" si="41"/>
        <v>0</v>
      </c>
      <c r="P552">
        <f t="shared" si="41"/>
        <v>8</v>
      </c>
      <c r="Q552">
        <f t="shared" si="41"/>
        <v>234</v>
      </c>
      <c r="R552">
        <f t="shared" si="41"/>
        <v>0</v>
      </c>
      <c r="S552">
        <f t="shared" si="41"/>
        <v>0</v>
      </c>
      <c r="T552">
        <f t="shared" si="41"/>
        <v>0</v>
      </c>
      <c r="U552">
        <f t="shared" si="41"/>
        <v>0</v>
      </c>
      <c r="V552">
        <f t="shared" si="41"/>
        <v>0</v>
      </c>
      <c r="W552">
        <f t="shared" si="41"/>
        <v>0</v>
      </c>
      <c r="X552">
        <f t="shared" si="41"/>
        <v>0</v>
      </c>
      <c r="Y552">
        <f t="shared" si="41"/>
        <v>0</v>
      </c>
      <c r="Z552">
        <f t="shared" si="41"/>
        <v>0</v>
      </c>
      <c r="AA552">
        <f t="shared" si="41"/>
        <v>0</v>
      </c>
      <c r="AB552">
        <f t="shared" si="41"/>
        <v>0</v>
      </c>
      <c r="AC552">
        <f t="shared" si="41"/>
        <v>0</v>
      </c>
      <c r="AD552">
        <f t="shared" si="41"/>
        <v>0</v>
      </c>
      <c r="AE552">
        <f t="shared" si="41"/>
        <v>0</v>
      </c>
      <c r="AF552">
        <f t="shared" si="41"/>
        <v>0</v>
      </c>
      <c r="AG552">
        <f t="shared" si="41"/>
        <v>0</v>
      </c>
    </row>
    <row r="555" spans="1:57" x14ac:dyDescent="0.25">
      <c r="D555" t="s">
        <v>69</v>
      </c>
      <c r="F555" t="s">
        <v>70</v>
      </c>
      <c r="S555" t="s">
        <v>83</v>
      </c>
      <c r="AA555" t="s">
        <v>83</v>
      </c>
      <c r="AE555" t="s">
        <v>83</v>
      </c>
      <c r="AI555" t="s">
        <v>83</v>
      </c>
      <c r="AQ555" t="s">
        <v>83</v>
      </c>
      <c r="AY555" t="s">
        <v>83</v>
      </c>
    </row>
    <row r="556" spans="1:57" x14ac:dyDescent="0.25">
      <c r="F556" t="s">
        <v>47</v>
      </c>
      <c r="S556" t="s">
        <v>48</v>
      </c>
      <c r="AA556" t="s">
        <v>49</v>
      </c>
      <c r="AE556" t="s">
        <v>50</v>
      </c>
      <c r="AI556" t="s">
        <v>48</v>
      </c>
      <c r="AK556" t="s">
        <v>51</v>
      </c>
      <c r="AL556" t="s">
        <v>33</v>
      </c>
      <c r="AM556" t="s">
        <v>34</v>
      </c>
      <c r="AN556" t="s">
        <v>35</v>
      </c>
      <c r="AO556" t="s">
        <v>36</v>
      </c>
      <c r="AQ556" t="s">
        <v>49</v>
      </c>
      <c r="AS556" t="s">
        <v>51</v>
      </c>
      <c r="AT556" t="s">
        <v>33</v>
      </c>
      <c r="AU556" t="s">
        <v>34</v>
      </c>
      <c r="AV556" t="s">
        <v>35</v>
      </c>
      <c r="AW556" t="s">
        <v>36</v>
      </c>
      <c r="AY556" t="s">
        <v>50</v>
      </c>
      <c r="BA556" t="s">
        <v>51</v>
      </c>
      <c r="BB556" t="s">
        <v>33</v>
      </c>
      <c r="BC556" t="s">
        <v>34</v>
      </c>
      <c r="BD556" t="s">
        <v>35</v>
      </c>
      <c r="BE556" t="s">
        <v>36</v>
      </c>
    </row>
    <row r="557" spans="1:57" x14ac:dyDescent="0.25">
      <c r="F557" t="s">
        <v>52</v>
      </c>
      <c r="M557" t="s">
        <v>53</v>
      </c>
      <c r="S557" t="s">
        <v>54</v>
      </c>
      <c r="U557">
        <f>COUNTIF(B35:AG35,"&lt;&gt;")</f>
        <v>32</v>
      </c>
      <c r="AA557" t="s">
        <v>54</v>
      </c>
      <c r="AC557">
        <f>COUNTIF(B35:AG35,"&lt;&gt;")</f>
        <v>32</v>
      </c>
      <c r="AE557" t="s">
        <v>54</v>
      </c>
      <c r="AG557">
        <f>COUNTIF(B35:AG35,"&lt;&gt;")</f>
        <v>32</v>
      </c>
      <c r="AI557" t="s">
        <v>54</v>
      </c>
      <c r="AK557">
        <f>COUNTIF($B$2:$AG$2,"&lt;&gt;")</f>
        <v>32</v>
      </c>
      <c r="AL557">
        <f>COUNTIF($B$2:$I$2,"&lt;&gt;")</f>
        <v>8</v>
      </c>
      <c r="AM557">
        <f>COUNTIF($J$2:$R$2,"&lt;&gt;")</f>
        <v>9</v>
      </c>
      <c r="AN557">
        <f>COUNTIF($S$2:$X$2,"&lt;&gt;")</f>
        <v>6</v>
      </c>
      <c r="AO557">
        <f>COUNTIF($Y$2:$AG$2,"&lt;&gt;")</f>
        <v>9</v>
      </c>
      <c r="AQ557" t="s">
        <v>54</v>
      </c>
      <c r="AS557">
        <f>COUNTIF($B$2:$AG$2,"&lt;&gt;")</f>
        <v>32</v>
      </c>
      <c r="AT557">
        <f>COUNTIF($B$2:$I$2,"&lt;&gt;")</f>
        <v>8</v>
      </c>
      <c r="AU557">
        <f>COUNTIF($J$2:$R$2,"&lt;&gt;")</f>
        <v>9</v>
      </c>
      <c r="AV557">
        <f>COUNTIF($S$2:$X$2,"&lt;&gt;")</f>
        <v>6</v>
      </c>
      <c r="AW557">
        <f>COUNTIF($Y$2:$AG$2,"&lt;&gt;")</f>
        <v>9</v>
      </c>
      <c r="AY557" t="s">
        <v>54</v>
      </c>
      <c r="BA557">
        <f>COUNTIF($B$2:$AG$2,"&lt;&gt;")</f>
        <v>32</v>
      </c>
      <c r="BB557">
        <f>COUNTIF($B$2:$I$2,"&lt;&gt;")</f>
        <v>8</v>
      </c>
      <c r="BC557">
        <f>COUNTIF($J$2:$R$2,"&lt;&gt;")</f>
        <v>9</v>
      </c>
      <c r="BD557">
        <f>COUNTIF($S$2:$X$2,"&lt;&gt;")</f>
        <v>6</v>
      </c>
      <c r="BE557">
        <f>COUNTIF($Y$2:$AG$2,"&lt;&gt;")</f>
        <v>9</v>
      </c>
    </row>
    <row r="558" spans="1:57" x14ac:dyDescent="0.25">
      <c r="F558" t="s">
        <v>55</v>
      </c>
      <c r="H558" t="s">
        <v>113</v>
      </c>
      <c r="J558">
        <f>COUNTIF($B$54:$B$235,"&lt;&gt;")</f>
        <v>182</v>
      </c>
      <c r="M558" t="s">
        <v>56</v>
      </c>
      <c r="S558" t="s">
        <v>57</v>
      </c>
      <c r="U558">
        <f>COUNTIF($A$3:$A$511,"&lt;&gt;")</f>
        <v>509</v>
      </c>
      <c r="AA558" t="s">
        <v>57</v>
      </c>
      <c r="AC558">
        <f>SUM($J$524:$J$525)</f>
        <v>275</v>
      </c>
      <c r="AE558" t="s">
        <v>57</v>
      </c>
      <c r="AG558">
        <f>SUM($Q$525:$Q$526)</f>
        <v>234</v>
      </c>
      <c r="AI558" t="s">
        <v>57</v>
      </c>
      <c r="AK558">
        <f>COUNTIF($A$3:$A$511,"&lt;&gt;")</f>
        <v>509</v>
      </c>
      <c r="AL558">
        <f t="shared" ref="AL558:AO558" si="42">COUNTIF($A$3:$A$511,"&lt;&gt;")</f>
        <v>509</v>
      </c>
      <c r="AM558">
        <f t="shared" si="42"/>
        <v>509</v>
      </c>
      <c r="AN558">
        <f t="shared" si="42"/>
        <v>509</v>
      </c>
      <c r="AO558">
        <f t="shared" si="42"/>
        <v>509</v>
      </c>
      <c r="AQ558" t="s">
        <v>57</v>
      </c>
      <c r="AS558">
        <f>SUM($J$524:$J$525)</f>
        <v>275</v>
      </c>
      <c r="AT558">
        <f t="shared" ref="AT558:AW558" si="43">SUM($J$524:$J$525)</f>
        <v>275</v>
      </c>
      <c r="AU558">
        <f t="shared" si="43"/>
        <v>275</v>
      </c>
      <c r="AV558">
        <f t="shared" si="43"/>
        <v>275</v>
      </c>
      <c r="AW558">
        <f t="shared" si="43"/>
        <v>275</v>
      </c>
      <c r="AY558" t="s">
        <v>57</v>
      </c>
      <c r="BA558">
        <f>SUM($Q$525:$Q$526)</f>
        <v>234</v>
      </c>
      <c r="BB558">
        <f t="shared" ref="BB558:BE558" si="44">SUM($Q$525:$Q$526)</f>
        <v>234</v>
      </c>
      <c r="BC558">
        <f t="shared" si="44"/>
        <v>234</v>
      </c>
      <c r="BD558">
        <f t="shared" si="44"/>
        <v>234</v>
      </c>
      <c r="BE558">
        <f t="shared" si="44"/>
        <v>234</v>
      </c>
    </row>
    <row r="559" spans="1:57" x14ac:dyDescent="0.25">
      <c r="F559" t="s">
        <v>58</v>
      </c>
      <c r="H559" t="s">
        <v>114</v>
      </c>
      <c r="J559">
        <f>COUNTIF($B$419:$B$511,"&lt;&gt;")</f>
        <v>93</v>
      </c>
      <c r="M559" t="s">
        <v>74</v>
      </c>
      <c r="O559" t="s">
        <v>115</v>
      </c>
      <c r="Q559">
        <f>COUNTIF($B$3:$B$53,"&lt;&gt;")</f>
        <v>51</v>
      </c>
      <c r="S559" t="s">
        <v>60</v>
      </c>
      <c r="U559">
        <f>U558*U557</f>
        <v>16288</v>
      </c>
      <c r="V559" t="s">
        <v>61</v>
      </c>
      <c r="AA559" t="s">
        <v>60</v>
      </c>
      <c r="AC559">
        <f>AC558*AC557</f>
        <v>8800</v>
      </c>
      <c r="AE559" t="s">
        <v>60</v>
      </c>
      <c r="AG559">
        <f>AG557*AG558</f>
        <v>7488</v>
      </c>
      <c r="AI559" t="s">
        <v>60</v>
      </c>
      <c r="AK559">
        <f>AK558*AK557</f>
        <v>16288</v>
      </c>
      <c r="AL559">
        <f t="shared" ref="AL559" si="45">AL558*AL557</f>
        <v>4072</v>
      </c>
      <c r="AM559">
        <f t="shared" ref="AM559" si="46">AM558*AM557</f>
        <v>4581</v>
      </c>
      <c r="AN559">
        <f t="shared" ref="AN559" si="47">AN558*AN557</f>
        <v>3054</v>
      </c>
      <c r="AO559">
        <f t="shared" ref="AO559" si="48">AO558*AO557</f>
        <v>4581</v>
      </c>
      <c r="AQ559" t="s">
        <v>60</v>
      </c>
      <c r="AS559">
        <f>AS558*AS557</f>
        <v>8800</v>
      </c>
      <c r="AT559">
        <f t="shared" ref="AT559:AW559" si="49">AT558*AT557</f>
        <v>2200</v>
      </c>
      <c r="AU559">
        <f t="shared" si="49"/>
        <v>2475</v>
      </c>
      <c r="AV559">
        <f t="shared" si="49"/>
        <v>1650</v>
      </c>
      <c r="AW559">
        <f t="shared" si="49"/>
        <v>2475</v>
      </c>
      <c r="AY559" t="s">
        <v>60</v>
      </c>
      <c r="BA559">
        <f>BA558*BA557</f>
        <v>7488</v>
      </c>
      <c r="BB559">
        <f t="shared" ref="BB559:BE559" si="50">BB558*BB557</f>
        <v>1872</v>
      </c>
      <c r="BC559">
        <f t="shared" si="50"/>
        <v>2106</v>
      </c>
      <c r="BD559">
        <f t="shared" si="50"/>
        <v>1404</v>
      </c>
      <c r="BE559">
        <f t="shared" si="50"/>
        <v>2106</v>
      </c>
    </row>
    <row r="560" spans="1:57" x14ac:dyDescent="0.25">
      <c r="M560" t="s">
        <v>59</v>
      </c>
      <c r="O560" t="s">
        <v>116</v>
      </c>
      <c r="Q560">
        <f>COUNTIF($B$236:$B$418,"&lt;&gt;")</f>
        <v>183</v>
      </c>
      <c r="S560" t="s">
        <v>76</v>
      </c>
      <c r="U560">
        <f>SUM(B546:AG546)</f>
        <v>5323</v>
      </c>
      <c r="V560" t="s">
        <v>62</v>
      </c>
      <c r="AA560" t="s">
        <v>76</v>
      </c>
      <c r="AC560">
        <f>SUM(B551:AG551)</f>
        <v>2798</v>
      </c>
      <c r="AE560" t="s">
        <v>76</v>
      </c>
      <c r="AG560">
        <f>SUM(B552:AG552)</f>
        <v>2525</v>
      </c>
      <c r="AI560" t="s">
        <v>76</v>
      </c>
      <c r="AK560">
        <f>SUM(B546:AG546)</f>
        <v>5323</v>
      </c>
      <c r="AL560">
        <f>SUM(B546:I546)</f>
        <v>4026</v>
      </c>
      <c r="AM560">
        <f>SUM(J546:R546)</f>
        <v>1297</v>
      </c>
      <c r="AN560">
        <f>SUM(S546:X546)</f>
        <v>0</v>
      </c>
      <c r="AO560">
        <f>SUM(Y546:AG546)</f>
        <v>0</v>
      </c>
      <c r="AQ560" t="s">
        <v>76</v>
      </c>
      <c r="AS560">
        <f>SUM(B551:AG551)</f>
        <v>2798</v>
      </c>
      <c r="AT560">
        <f>SUM(B551:I551)</f>
        <v>2154</v>
      </c>
      <c r="AU560">
        <f>SUM(J551:R551)</f>
        <v>644</v>
      </c>
      <c r="AV560">
        <f>SUM(S551:X551)</f>
        <v>0</v>
      </c>
      <c r="AW560">
        <f>SUM(Y551:AG551)</f>
        <v>0</v>
      </c>
      <c r="AY560" t="s">
        <v>76</v>
      </c>
      <c r="BA560">
        <f>SUM($B552:$AG552)</f>
        <v>2525</v>
      </c>
      <c r="BB560">
        <f>SUM(B552:I552)</f>
        <v>1872</v>
      </c>
      <c r="BC560">
        <f>SUM(J552:R552)</f>
        <v>653</v>
      </c>
      <c r="BD560">
        <f>SUM(S552:X552)</f>
        <v>0</v>
      </c>
      <c r="BE560">
        <f>SUM(Y552:AG552)</f>
        <v>0</v>
      </c>
    </row>
    <row r="561" spans="1:57" x14ac:dyDescent="0.25">
      <c r="S561" t="s">
        <v>63</v>
      </c>
      <c r="U561">
        <f>$U560/$U559</f>
        <v>0.32680500982318272</v>
      </c>
      <c r="AA561" t="s">
        <v>64</v>
      </c>
      <c r="AC561">
        <f>AC560/AC559</f>
        <v>0.31795454545454543</v>
      </c>
      <c r="AE561" t="s">
        <v>65</v>
      </c>
      <c r="AG561">
        <f>AG560/AG559</f>
        <v>0.3372061965811966</v>
      </c>
      <c r="AI561" t="s">
        <v>63</v>
      </c>
      <c r="AK561">
        <f>AK560/AK559</f>
        <v>0.32680500982318272</v>
      </c>
      <c r="AL561">
        <f t="shared" ref="AL561:AO561" si="51">AL560/AL559</f>
        <v>0.98870333988212178</v>
      </c>
      <c r="AM561">
        <f t="shared" si="51"/>
        <v>0.2831259550316525</v>
      </c>
      <c r="AN561">
        <f t="shared" si="51"/>
        <v>0</v>
      </c>
      <c r="AO561">
        <f t="shared" si="51"/>
        <v>0</v>
      </c>
      <c r="AQ561" t="s">
        <v>64</v>
      </c>
      <c r="AS561">
        <f>AS560/AS559</f>
        <v>0.31795454545454543</v>
      </c>
      <c r="AT561">
        <f t="shared" ref="AT561:AW561" si="52">AT560/AT559</f>
        <v>0.97909090909090912</v>
      </c>
      <c r="AU561">
        <f t="shared" si="52"/>
        <v>0.26020202020202021</v>
      </c>
      <c r="AV561">
        <f t="shared" si="52"/>
        <v>0</v>
      </c>
      <c r="AW561">
        <f t="shared" si="52"/>
        <v>0</v>
      </c>
      <c r="AY561" t="s">
        <v>65</v>
      </c>
      <c r="BA561">
        <f>BA560/BA559</f>
        <v>0.3372061965811966</v>
      </c>
      <c r="BB561">
        <f t="shared" ref="BB561:BE561" si="53">BB560/BB559</f>
        <v>1</v>
      </c>
      <c r="BC561">
        <f t="shared" si="53"/>
        <v>0.31006647673314341</v>
      </c>
      <c r="BD561">
        <f t="shared" si="53"/>
        <v>0</v>
      </c>
      <c r="BE561">
        <f t="shared" si="53"/>
        <v>0</v>
      </c>
    </row>
    <row r="563" spans="1:57" x14ac:dyDescent="0.25">
      <c r="A563" t="s">
        <v>37</v>
      </c>
      <c r="B563">
        <f>COUNTIF(B$3:B$511,"&gt;=9130")</f>
        <v>408</v>
      </c>
      <c r="C563">
        <f t="shared" ref="C563:AG563" si="54">COUNTIF(C$3:C$511,"&gt;=9130")</f>
        <v>353</v>
      </c>
      <c r="D563">
        <f t="shared" si="54"/>
        <v>367</v>
      </c>
      <c r="E563">
        <f t="shared" si="54"/>
        <v>409</v>
      </c>
      <c r="F563">
        <f t="shared" si="54"/>
        <v>467</v>
      </c>
      <c r="G563">
        <f t="shared" si="54"/>
        <v>445</v>
      </c>
      <c r="H563">
        <f t="shared" si="54"/>
        <v>509</v>
      </c>
      <c r="I563">
        <f t="shared" si="54"/>
        <v>504</v>
      </c>
      <c r="J563">
        <f t="shared" si="54"/>
        <v>0</v>
      </c>
      <c r="K563">
        <f t="shared" si="54"/>
        <v>0</v>
      </c>
      <c r="L563">
        <f t="shared" si="54"/>
        <v>0</v>
      </c>
      <c r="M563">
        <f t="shared" si="54"/>
        <v>409</v>
      </c>
      <c r="N563">
        <f t="shared" si="54"/>
        <v>0</v>
      </c>
      <c r="O563">
        <f t="shared" si="54"/>
        <v>0</v>
      </c>
      <c r="P563">
        <f t="shared" si="54"/>
        <v>0</v>
      </c>
      <c r="Q563">
        <f t="shared" si="54"/>
        <v>363</v>
      </c>
      <c r="R563">
        <f t="shared" si="54"/>
        <v>0</v>
      </c>
      <c r="S563">
        <f t="shared" si="54"/>
        <v>0</v>
      </c>
      <c r="T563">
        <f t="shared" si="54"/>
        <v>0</v>
      </c>
      <c r="U563">
        <f t="shared" si="54"/>
        <v>0</v>
      </c>
      <c r="V563">
        <f t="shared" si="54"/>
        <v>0</v>
      </c>
      <c r="W563">
        <f t="shared" si="54"/>
        <v>0</v>
      </c>
      <c r="X563">
        <f t="shared" si="54"/>
        <v>0</v>
      </c>
      <c r="Y563">
        <f t="shared" si="54"/>
        <v>0</v>
      </c>
      <c r="Z563">
        <f t="shared" si="54"/>
        <v>0</v>
      </c>
      <c r="AA563">
        <f t="shared" si="54"/>
        <v>0</v>
      </c>
      <c r="AB563">
        <f t="shared" si="54"/>
        <v>0</v>
      </c>
      <c r="AC563">
        <f t="shared" si="54"/>
        <v>0</v>
      </c>
      <c r="AD563">
        <f t="shared" si="54"/>
        <v>0</v>
      </c>
      <c r="AE563">
        <f t="shared" si="54"/>
        <v>0</v>
      </c>
      <c r="AF563">
        <f t="shared" si="54"/>
        <v>0</v>
      </c>
      <c r="AG563">
        <f t="shared" si="54"/>
        <v>0</v>
      </c>
    </row>
    <row r="564" spans="1:57" x14ac:dyDescent="0.25">
      <c r="A564" t="s">
        <v>38</v>
      </c>
      <c r="B564">
        <f>COUNTIF(B$54:B$235,"&gt;=9130")</f>
        <v>134</v>
      </c>
      <c r="C564">
        <f t="shared" ref="C564:AG564" si="55">COUNTIF(C$54:C$235,"&gt;=9130")</f>
        <v>111</v>
      </c>
      <c r="D564">
        <f t="shared" si="55"/>
        <v>118</v>
      </c>
      <c r="E564">
        <f t="shared" si="55"/>
        <v>133</v>
      </c>
      <c r="F564">
        <f t="shared" si="55"/>
        <v>165</v>
      </c>
      <c r="G564">
        <f t="shared" si="55"/>
        <v>147</v>
      </c>
      <c r="H564">
        <f t="shared" si="55"/>
        <v>182</v>
      </c>
      <c r="I564">
        <f t="shared" si="55"/>
        <v>182</v>
      </c>
      <c r="J564">
        <f t="shared" si="55"/>
        <v>0</v>
      </c>
      <c r="K564">
        <f t="shared" si="55"/>
        <v>0</v>
      </c>
      <c r="L564">
        <f t="shared" si="55"/>
        <v>0</v>
      </c>
      <c r="M564">
        <f t="shared" si="55"/>
        <v>133</v>
      </c>
      <c r="N564">
        <f t="shared" si="55"/>
        <v>0</v>
      </c>
      <c r="O564">
        <f t="shared" si="55"/>
        <v>0</v>
      </c>
      <c r="P564">
        <f t="shared" si="55"/>
        <v>0</v>
      </c>
      <c r="Q564">
        <f t="shared" si="55"/>
        <v>113</v>
      </c>
      <c r="R564">
        <f t="shared" si="55"/>
        <v>0</v>
      </c>
      <c r="S564">
        <f t="shared" si="55"/>
        <v>0</v>
      </c>
      <c r="T564">
        <f t="shared" si="55"/>
        <v>0</v>
      </c>
      <c r="U564">
        <f t="shared" si="55"/>
        <v>0</v>
      </c>
      <c r="V564">
        <f t="shared" si="55"/>
        <v>0</v>
      </c>
      <c r="W564">
        <f t="shared" si="55"/>
        <v>0</v>
      </c>
      <c r="X564">
        <f t="shared" si="55"/>
        <v>0</v>
      </c>
      <c r="Y564">
        <f t="shared" si="55"/>
        <v>0</v>
      </c>
      <c r="Z564">
        <f t="shared" si="55"/>
        <v>0</v>
      </c>
      <c r="AA564">
        <f t="shared" si="55"/>
        <v>0</v>
      </c>
      <c r="AB564">
        <f t="shared" si="55"/>
        <v>0</v>
      </c>
      <c r="AC564">
        <f t="shared" si="55"/>
        <v>0</v>
      </c>
      <c r="AD564">
        <f t="shared" si="55"/>
        <v>0</v>
      </c>
      <c r="AE564">
        <f t="shared" si="55"/>
        <v>0</v>
      </c>
      <c r="AF564">
        <f t="shared" si="55"/>
        <v>0</v>
      </c>
      <c r="AG564">
        <f t="shared" si="55"/>
        <v>0</v>
      </c>
      <c r="AH564" t="s">
        <v>109</v>
      </c>
    </row>
    <row r="565" spans="1:57" x14ac:dyDescent="0.25">
      <c r="A565" t="s">
        <v>39</v>
      </c>
      <c r="B565">
        <f>COUNTIF(B$419:B$511,"&gt;=9130")</f>
        <v>76</v>
      </c>
      <c r="C565">
        <f t="shared" ref="C565:AG565" si="56">COUNTIF(C$419:C$511,"&gt;=9130")</f>
        <v>49</v>
      </c>
      <c r="D565">
        <f t="shared" si="56"/>
        <v>57</v>
      </c>
      <c r="E565">
        <f t="shared" si="56"/>
        <v>71</v>
      </c>
      <c r="F565">
        <f t="shared" si="56"/>
        <v>68</v>
      </c>
      <c r="G565">
        <f t="shared" si="56"/>
        <v>67</v>
      </c>
      <c r="H565">
        <f t="shared" si="56"/>
        <v>93</v>
      </c>
      <c r="I565">
        <f t="shared" si="56"/>
        <v>88</v>
      </c>
      <c r="J565">
        <f t="shared" si="56"/>
        <v>0</v>
      </c>
      <c r="K565">
        <f t="shared" si="56"/>
        <v>0</v>
      </c>
      <c r="L565">
        <f t="shared" si="56"/>
        <v>0</v>
      </c>
      <c r="M565">
        <f t="shared" si="56"/>
        <v>58</v>
      </c>
      <c r="N565">
        <f t="shared" si="56"/>
        <v>0</v>
      </c>
      <c r="O565">
        <f t="shared" si="56"/>
        <v>0</v>
      </c>
      <c r="P565">
        <f t="shared" si="56"/>
        <v>0</v>
      </c>
      <c r="Q565">
        <f t="shared" si="56"/>
        <v>54</v>
      </c>
      <c r="R565">
        <f t="shared" si="56"/>
        <v>0</v>
      </c>
      <c r="S565">
        <f t="shared" si="56"/>
        <v>0</v>
      </c>
      <c r="T565">
        <f t="shared" si="56"/>
        <v>0</v>
      </c>
      <c r="U565">
        <f t="shared" si="56"/>
        <v>0</v>
      </c>
      <c r="V565">
        <f t="shared" si="56"/>
        <v>0</v>
      </c>
      <c r="W565">
        <f t="shared" si="56"/>
        <v>0</v>
      </c>
      <c r="X565">
        <f t="shared" si="56"/>
        <v>0</v>
      </c>
      <c r="Y565">
        <f t="shared" si="56"/>
        <v>0</v>
      </c>
      <c r="Z565">
        <f t="shared" si="56"/>
        <v>0</v>
      </c>
      <c r="AA565">
        <f t="shared" si="56"/>
        <v>0</v>
      </c>
      <c r="AB565">
        <f t="shared" si="56"/>
        <v>0</v>
      </c>
      <c r="AC565">
        <f t="shared" si="56"/>
        <v>0</v>
      </c>
      <c r="AD565">
        <f t="shared" si="56"/>
        <v>0</v>
      </c>
      <c r="AE565">
        <f t="shared" si="56"/>
        <v>0</v>
      </c>
      <c r="AF565">
        <f t="shared" si="56"/>
        <v>0</v>
      </c>
      <c r="AG565">
        <f t="shared" si="56"/>
        <v>0</v>
      </c>
      <c r="AH565" t="s">
        <v>110</v>
      </c>
    </row>
    <row r="566" spans="1:57" x14ac:dyDescent="0.25">
      <c r="A566" t="s">
        <v>40</v>
      </c>
      <c r="B566">
        <f>COUNTIF(B$3:B$53,"&gt;=9130")</f>
        <v>51</v>
      </c>
      <c r="C566">
        <f t="shared" ref="C566:AG566" si="57">COUNTIF(C$3:C$53,"&gt;=9130")</f>
        <v>51</v>
      </c>
      <c r="D566">
        <f t="shared" si="57"/>
        <v>51</v>
      </c>
      <c r="E566">
        <f t="shared" si="57"/>
        <v>51</v>
      </c>
      <c r="F566">
        <f t="shared" si="57"/>
        <v>51</v>
      </c>
      <c r="G566">
        <f t="shared" si="57"/>
        <v>51</v>
      </c>
      <c r="H566">
        <f t="shared" si="57"/>
        <v>51</v>
      </c>
      <c r="I566">
        <f t="shared" si="57"/>
        <v>51</v>
      </c>
      <c r="J566">
        <f t="shared" si="57"/>
        <v>0</v>
      </c>
      <c r="K566">
        <f t="shared" si="57"/>
        <v>0</v>
      </c>
      <c r="L566">
        <f t="shared" si="57"/>
        <v>0</v>
      </c>
      <c r="M566">
        <f t="shared" si="57"/>
        <v>51</v>
      </c>
      <c r="N566">
        <f t="shared" si="57"/>
        <v>0</v>
      </c>
      <c r="O566">
        <f t="shared" si="57"/>
        <v>0</v>
      </c>
      <c r="P566">
        <f t="shared" si="57"/>
        <v>0</v>
      </c>
      <c r="Q566">
        <f t="shared" si="57"/>
        <v>51</v>
      </c>
      <c r="R566">
        <f t="shared" si="57"/>
        <v>0</v>
      </c>
      <c r="S566">
        <f t="shared" si="57"/>
        <v>0</v>
      </c>
      <c r="T566">
        <f t="shared" si="57"/>
        <v>0</v>
      </c>
      <c r="U566">
        <f t="shared" si="57"/>
        <v>0</v>
      </c>
      <c r="V566">
        <f t="shared" si="57"/>
        <v>0</v>
      </c>
      <c r="W566">
        <f t="shared" si="57"/>
        <v>0</v>
      </c>
      <c r="X566">
        <f t="shared" si="57"/>
        <v>0</v>
      </c>
      <c r="Y566">
        <f t="shared" si="57"/>
        <v>0</v>
      </c>
      <c r="Z566">
        <f t="shared" si="57"/>
        <v>0</v>
      </c>
      <c r="AA566">
        <f t="shared" si="57"/>
        <v>0</v>
      </c>
      <c r="AB566">
        <f t="shared" si="57"/>
        <v>0</v>
      </c>
      <c r="AC566">
        <f t="shared" si="57"/>
        <v>0</v>
      </c>
      <c r="AD566">
        <f t="shared" si="57"/>
        <v>0</v>
      </c>
      <c r="AE566">
        <f t="shared" si="57"/>
        <v>0</v>
      </c>
      <c r="AF566">
        <f t="shared" si="57"/>
        <v>0</v>
      </c>
      <c r="AG566">
        <f t="shared" si="57"/>
        <v>0</v>
      </c>
      <c r="AH566" t="s">
        <v>111</v>
      </c>
    </row>
    <row r="567" spans="1:57" x14ac:dyDescent="0.25">
      <c r="A567" t="s">
        <v>41</v>
      </c>
      <c r="B567">
        <f>COUNTIF(B$236:B$418,"&gt;=9130")</f>
        <v>147</v>
      </c>
      <c r="C567">
        <f t="shared" ref="C567:AG567" si="58">COUNTIF(C$236:C$418,"&gt;=9130")</f>
        <v>142</v>
      </c>
      <c r="D567">
        <f t="shared" si="58"/>
        <v>141</v>
      </c>
      <c r="E567">
        <f t="shared" si="58"/>
        <v>154</v>
      </c>
      <c r="F567">
        <f t="shared" si="58"/>
        <v>183</v>
      </c>
      <c r="G567">
        <f t="shared" si="58"/>
        <v>180</v>
      </c>
      <c r="H567">
        <f t="shared" si="58"/>
        <v>183</v>
      </c>
      <c r="I567">
        <f t="shared" si="58"/>
        <v>183</v>
      </c>
      <c r="J567">
        <f t="shared" si="58"/>
        <v>0</v>
      </c>
      <c r="K567">
        <f t="shared" si="58"/>
        <v>0</v>
      </c>
      <c r="L567">
        <f t="shared" si="58"/>
        <v>0</v>
      </c>
      <c r="M567">
        <f t="shared" si="58"/>
        <v>167</v>
      </c>
      <c r="N567">
        <f t="shared" si="58"/>
        <v>0</v>
      </c>
      <c r="O567">
        <f t="shared" si="58"/>
        <v>0</v>
      </c>
      <c r="P567">
        <f t="shared" si="58"/>
        <v>0</v>
      </c>
      <c r="Q567">
        <f t="shared" si="58"/>
        <v>145</v>
      </c>
      <c r="R567">
        <f t="shared" si="58"/>
        <v>0</v>
      </c>
      <c r="S567">
        <f t="shared" si="58"/>
        <v>0</v>
      </c>
      <c r="T567">
        <f t="shared" si="58"/>
        <v>0</v>
      </c>
      <c r="U567">
        <f t="shared" si="58"/>
        <v>0</v>
      </c>
      <c r="V567">
        <f t="shared" si="58"/>
        <v>0</v>
      </c>
      <c r="W567">
        <f t="shared" si="58"/>
        <v>0</v>
      </c>
      <c r="X567">
        <f t="shared" si="58"/>
        <v>0</v>
      </c>
      <c r="Y567">
        <f t="shared" si="58"/>
        <v>0</v>
      </c>
      <c r="Z567">
        <f t="shared" si="58"/>
        <v>0</v>
      </c>
      <c r="AA567">
        <f t="shared" si="58"/>
        <v>0</v>
      </c>
      <c r="AB567">
        <f t="shared" si="58"/>
        <v>0</v>
      </c>
      <c r="AC567">
        <f t="shared" si="58"/>
        <v>0</v>
      </c>
      <c r="AD567">
        <f t="shared" si="58"/>
        <v>0</v>
      </c>
      <c r="AE567">
        <f t="shared" si="58"/>
        <v>0</v>
      </c>
      <c r="AF567">
        <f t="shared" si="58"/>
        <v>0</v>
      </c>
      <c r="AG567">
        <f t="shared" si="58"/>
        <v>0</v>
      </c>
      <c r="AH567" t="s">
        <v>112</v>
      </c>
    </row>
    <row r="568" spans="1:57" x14ac:dyDescent="0.25">
      <c r="A568" t="s">
        <v>42</v>
      </c>
      <c r="B568">
        <f>SUM(B564,B565)</f>
        <v>210</v>
      </c>
      <c r="C568">
        <f t="shared" ref="C568:AG568" si="59">SUM(C564,C565)</f>
        <v>160</v>
      </c>
      <c r="D568">
        <f t="shared" si="59"/>
        <v>175</v>
      </c>
      <c r="E568">
        <f t="shared" si="59"/>
        <v>204</v>
      </c>
      <c r="F568">
        <f t="shared" si="59"/>
        <v>233</v>
      </c>
      <c r="G568">
        <f t="shared" si="59"/>
        <v>214</v>
      </c>
      <c r="H568">
        <f t="shared" si="59"/>
        <v>275</v>
      </c>
      <c r="I568">
        <f t="shared" si="59"/>
        <v>270</v>
      </c>
      <c r="J568">
        <f t="shared" si="59"/>
        <v>0</v>
      </c>
      <c r="K568">
        <f t="shared" si="59"/>
        <v>0</v>
      </c>
      <c r="L568">
        <f t="shared" si="59"/>
        <v>0</v>
      </c>
      <c r="M568">
        <f t="shared" si="59"/>
        <v>191</v>
      </c>
      <c r="N568">
        <f t="shared" si="59"/>
        <v>0</v>
      </c>
      <c r="O568">
        <f t="shared" si="59"/>
        <v>0</v>
      </c>
      <c r="P568">
        <f t="shared" si="59"/>
        <v>0</v>
      </c>
      <c r="Q568">
        <f t="shared" si="59"/>
        <v>167</v>
      </c>
      <c r="R568">
        <f t="shared" si="59"/>
        <v>0</v>
      </c>
      <c r="S568">
        <f t="shared" si="59"/>
        <v>0</v>
      </c>
      <c r="T568">
        <f t="shared" si="59"/>
        <v>0</v>
      </c>
      <c r="U568">
        <f t="shared" si="59"/>
        <v>0</v>
      </c>
      <c r="V568">
        <f t="shared" si="59"/>
        <v>0</v>
      </c>
      <c r="W568">
        <f t="shared" si="59"/>
        <v>0</v>
      </c>
      <c r="X568">
        <f t="shared" si="59"/>
        <v>0</v>
      </c>
      <c r="Y568">
        <f t="shared" si="59"/>
        <v>0</v>
      </c>
      <c r="Z568">
        <f t="shared" si="59"/>
        <v>0</v>
      </c>
      <c r="AA568">
        <f t="shared" si="59"/>
        <v>0</v>
      </c>
      <c r="AB568">
        <f t="shared" si="59"/>
        <v>0</v>
      </c>
      <c r="AC568">
        <f t="shared" si="59"/>
        <v>0</v>
      </c>
      <c r="AD568">
        <f t="shared" si="59"/>
        <v>0</v>
      </c>
      <c r="AE568">
        <f t="shared" si="59"/>
        <v>0</v>
      </c>
      <c r="AF568">
        <f t="shared" si="59"/>
        <v>0</v>
      </c>
      <c r="AG568">
        <f t="shared" si="59"/>
        <v>0</v>
      </c>
    </row>
    <row r="569" spans="1:57" x14ac:dyDescent="0.25">
      <c r="A569" t="s">
        <v>43</v>
      </c>
      <c r="B569">
        <f>SUM(B566,B567)</f>
        <v>198</v>
      </c>
      <c r="C569">
        <f t="shared" ref="C569:AG569" si="60">SUM(C566,C567)</f>
        <v>193</v>
      </c>
      <c r="D569">
        <f t="shared" si="60"/>
        <v>192</v>
      </c>
      <c r="E569">
        <f t="shared" si="60"/>
        <v>205</v>
      </c>
      <c r="F569">
        <f t="shared" si="60"/>
        <v>234</v>
      </c>
      <c r="G569">
        <f t="shared" si="60"/>
        <v>231</v>
      </c>
      <c r="H569">
        <f t="shared" si="60"/>
        <v>234</v>
      </c>
      <c r="I569">
        <f t="shared" si="60"/>
        <v>234</v>
      </c>
      <c r="J569">
        <f t="shared" si="60"/>
        <v>0</v>
      </c>
      <c r="K569">
        <f t="shared" si="60"/>
        <v>0</v>
      </c>
      <c r="L569">
        <f t="shared" si="60"/>
        <v>0</v>
      </c>
      <c r="M569">
        <f t="shared" si="60"/>
        <v>218</v>
      </c>
      <c r="N569">
        <f t="shared" si="60"/>
        <v>0</v>
      </c>
      <c r="O569">
        <f t="shared" si="60"/>
        <v>0</v>
      </c>
      <c r="P569">
        <f t="shared" si="60"/>
        <v>0</v>
      </c>
      <c r="Q569">
        <f t="shared" si="60"/>
        <v>196</v>
      </c>
      <c r="R569">
        <f t="shared" si="60"/>
        <v>0</v>
      </c>
      <c r="S569">
        <f t="shared" si="60"/>
        <v>0</v>
      </c>
      <c r="T569">
        <f t="shared" si="60"/>
        <v>0</v>
      </c>
      <c r="U569">
        <f t="shared" si="60"/>
        <v>0</v>
      </c>
      <c r="V569">
        <f t="shared" si="60"/>
        <v>0</v>
      </c>
      <c r="W569">
        <f t="shared" si="60"/>
        <v>0</v>
      </c>
      <c r="X569">
        <f t="shared" si="60"/>
        <v>0</v>
      </c>
      <c r="Y569">
        <f t="shared" si="60"/>
        <v>0</v>
      </c>
      <c r="Z569">
        <f t="shared" si="60"/>
        <v>0</v>
      </c>
      <c r="AA569">
        <f t="shared" si="60"/>
        <v>0</v>
      </c>
      <c r="AB569">
        <f t="shared" si="60"/>
        <v>0</v>
      </c>
      <c r="AC569">
        <f t="shared" si="60"/>
        <v>0</v>
      </c>
      <c r="AD569">
        <f t="shared" si="60"/>
        <v>0</v>
      </c>
      <c r="AE569">
        <f t="shared" si="60"/>
        <v>0</v>
      </c>
      <c r="AF569">
        <f t="shared" si="60"/>
        <v>0</v>
      </c>
      <c r="AG569">
        <f t="shared" si="60"/>
        <v>0</v>
      </c>
    </row>
    <row r="572" spans="1:57" x14ac:dyDescent="0.25">
      <c r="D572" t="s">
        <v>71</v>
      </c>
      <c r="F572" t="s">
        <v>72</v>
      </c>
      <c r="S572" t="s">
        <v>73</v>
      </c>
      <c r="AA572" t="s">
        <v>73</v>
      </c>
      <c r="AE572" t="s">
        <v>73</v>
      </c>
      <c r="AI572" t="s">
        <v>73</v>
      </c>
      <c r="AQ572" t="s">
        <v>73</v>
      </c>
      <c r="AY572" t="s">
        <v>73</v>
      </c>
    </row>
    <row r="573" spans="1:57" x14ac:dyDescent="0.25">
      <c r="F573" t="s">
        <v>47</v>
      </c>
      <c r="S573" t="s">
        <v>48</v>
      </c>
      <c r="AA573" t="s">
        <v>49</v>
      </c>
      <c r="AE573" t="s">
        <v>50</v>
      </c>
      <c r="AI573" t="s">
        <v>48</v>
      </c>
      <c r="AK573" t="s">
        <v>51</v>
      </c>
      <c r="AL573" t="s">
        <v>33</v>
      </c>
      <c r="AM573" t="s">
        <v>34</v>
      </c>
      <c r="AN573" t="s">
        <v>35</v>
      </c>
      <c r="AO573" t="s">
        <v>36</v>
      </c>
      <c r="AQ573" t="s">
        <v>49</v>
      </c>
      <c r="AS573" t="s">
        <v>51</v>
      </c>
      <c r="AT573" t="s">
        <v>33</v>
      </c>
      <c r="AU573" t="s">
        <v>34</v>
      </c>
      <c r="AV573" t="s">
        <v>35</v>
      </c>
      <c r="AW573" t="s">
        <v>36</v>
      </c>
      <c r="AY573" t="s">
        <v>50</v>
      </c>
      <c r="BA573" t="s">
        <v>51</v>
      </c>
      <c r="BB573" t="s">
        <v>33</v>
      </c>
      <c r="BC573" t="s">
        <v>34</v>
      </c>
      <c r="BD573" t="s">
        <v>35</v>
      </c>
      <c r="BE573" t="s">
        <v>36</v>
      </c>
    </row>
    <row r="574" spans="1:57" x14ac:dyDescent="0.25">
      <c r="F574" t="s">
        <v>52</v>
      </c>
      <c r="M574" t="s">
        <v>53</v>
      </c>
      <c r="S574" t="s">
        <v>54</v>
      </c>
      <c r="U574">
        <f>COUNTIF(B52:AG52,"&lt;&gt;")</f>
        <v>32</v>
      </c>
      <c r="AA574" t="s">
        <v>54</v>
      </c>
      <c r="AC574">
        <f>COUNTIF(B52:AG52,"&lt;&gt;")</f>
        <v>32</v>
      </c>
      <c r="AE574" t="s">
        <v>54</v>
      </c>
      <c r="AG574">
        <f>COUNTIF(B52:AG52,"&lt;&gt;")</f>
        <v>32</v>
      </c>
      <c r="AI574" t="s">
        <v>54</v>
      </c>
      <c r="AK574">
        <f>COUNTIF($B$2:$AG$2,"&lt;&gt;")</f>
        <v>32</v>
      </c>
      <c r="AL574">
        <f>COUNTIF($B$2:$I$2,"&lt;&gt;")</f>
        <v>8</v>
      </c>
      <c r="AM574">
        <f>COUNTIF($J$2:$R$2,"&lt;&gt;")</f>
        <v>9</v>
      </c>
      <c r="AN574">
        <f>COUNTIF($S$2:$X$2,"&lt;&gt;")</f>
        <v>6</v>
      </c>
      <c r="AO574">
        <f>COUNTIF($Y$2:$AG$2,"&lt;&gt;")</f>
        <v>9</v>
      </c>
      <c r="AQ574" t="s">
        <v>54</v>
      </c>
      <c r="AS574">
        <f>COUNTIF($B$2:$AG$2,"&lt;&gt;")</f>
        <v>32</v>
      </c>
      <c r="AT574">
        <f>COUNTIF($B$2:$I$2,"&lt;&gt;")</f>
        <v>8</v>
      </c>
      <c r="AU574">
        <f>COUNTIF($J$2:$R$2,"&lt;&gt;")</f>
        <v>9</v>
      </c>
      <c r="AV574">
        <f>COUNTIF($S$2:$X$2,"&lt;&gt;")</f>
        <v>6</v>
      </c>
      <c r="AW574">
        <f>COUNTIF($Y$2:$AG$2,"&lt;&gt;")</f>
        <v>9</v>
      </c>
      <c r="AY574" t="s">
        <v>54</v>
      </c>
      <c r="BA574">
        <f>COUNTIF($B$2:$AG$2,"&lt;&gt;")</f>
        <v>32</v>
      </c>
      <c r="BB574">
        <f>COUNTIF($B$2:$I$2,"&lt;&gt;")</f>
        <v>8</v>
      </c>
      <c r="BC574">
        <f>COUNTIF($J$2:$R$2,"&lt;&gt;")</f>
        <v>9</v>
      </c>
      <c r="BD574">
        <f>COUNTIF($S$2:$X$2,"&lt;&gt;")</f>
        <v>6</v>
      </c>
      <c r="BE574">
        <f>COUNTIF($Y$2:$AG$2,"&lt;&gt;")</f>
        <v>9</v>
      </c>
    </row>
    <row r="575" spans="1:57" x14ac:dyDescent="0.25">
      <c r="F575" t="s">
        <v>55</v>
      </c>
      <c r="H575" t="s">
        <v>113</v>
      </c>
      <c r="J575">
        <f>COUNTIF($B$54:$B$235,"&lt;&gt;")</f>
        <v>182</v>
      </c>
      <c r="M575" t="s">
        <v>56</v>
      </c>
      <c r="S575" t="s">
        <v>57</v>
      </c>
      <c r="U575">
        <f>COUNTIF($A$3:$A$511,"&lt;&gt;")</f>
        <v>509</v>
      </c>
      <c r="AA575" t="s">
        <v>57</v>
      </c>
      <c r="AC575">
        <f>SUM($J$524:$J$525)</f>
        <v>275</v>
      </c>
      <c r="AE575" t="s">
        <v>57</v>
      </c>
      <c r="AG575">
        <f>SUM($Q$525:$Q$526)</f>
        <v>234</v>
      </c>
      <c r="AI575" t="s">
        <v>57</v>
      </c>
      <c r="AK575">
        <f>COUNTIF($A$3:$A$511,"&lt;&gt;")</f>
        <v>509</v>
      </c>
      <c r="AL575">
        <f t="shared" ref="AL575:AO575" si="61">COUNTIF($A$3:$A$511,"&lt;&gt;")</f>
        <v>509</v>
      </c>
      <c r="AM575">
        <f t="shared" si="61"/>
        <v>509</v>
      </c>
      <c r="AN575">
        <f t="shared" si="61"/>
        <v>509</v>
      </c>
      <c r="AO575">
        <f t="shared" si="61"/>
        <v>509</v>
      </c>
      <c r="AQ575" t="s">
        <v>57</v>
      </c>
      <c r="AS575">
        <f>SUM($J$524:$J$525)</f>
        <v>275</v>
      </c>
      <c r="AT575">
        <f t="shared" ref="AT575:AW575" si="62">SUM($J$524:$J$525)</f>
        <v>275</v>
      </c>
      <c r="AU575">
        <f t="shared" si="62"/>
        <v>275</v>
      </c>
      <c r="AV575">
        <f t="shared" si="62"/>
        <v>275</v>
      </c>
      <c r="AW575">
        <f t="shared" si="62"/>
        <v>275</v>
      </c>
      <c r="AY575" t="s">
        <v>57</v>
      </c>
      <c r="BA575">
        <f>SUM($Q$525:$Q$526)</f>
        <v>234</v>
      </c>
      <c r="BB575">
        <f t="shared" ref="BB575:BE575" si="63">SUM($Q$525:$Q$526)</f>
        <v>234</v>
      </c>
      <c r="BC575">
        <f t="shared" si="63"/>
        <v>234</v>
      </c>
      <c r="BD575">
        <f t="shared" si="63"/>
        <v>234</v>
      </c>
      <c r="BE575">
        <f t="shared" si="63"/>
        <v>234</v>
      </c>
    </row>
    <row r="576" spans="1:57" x14ac:dyDescent="0.25">
      <c r="F576" t="s">
        <v>58</v>
      </c>
      <c r="H576" t="s">
        <v>114</v>
      </c>
      <c r="J576">
        <f>COUNTIF($B$419:$B$511,"&lt;&gt;")</f>
        <v>93</v>
      </c>
      <c r="M576" t="s">
        <v>74</v>
      </c>
      <c r="O576" t="s">
        <v>115</v>
      </c>
      <c r="Q576">
        <f>COUNTIF($B$3:$B$53,"&lt;&gt;")</f>
        <v>51</v>
      </c>
      <c r="S576" t="s">
        <v>60</v>
      </c>
      <c r="U576">
        <f>U575*U574</f>
        <v>16288</v>
      </c>
      <c r="V576" t="s">
        <v>61</v>
      </c>
      <c r="AA576" t="s">
        <v>60</v>
      </c>
      <c r="AC576">
        <f>AC575*AC574</f>
        <v>8800</v>
      </c>
      <c r="AE576" t="s">
        <v>60</v>
      </c>
      <c r="AG576">
        <f>AG574*AG575</f>
        <v>7488</v>
      </c>
      <c r="AI576" t="s">
        <v>60</v>
      </c>
      <c r="AK576">
        <f>AK575*AK574</f>
        <v>16288</v>
      </c>
      <c r="AL576">
        <f t="shared" ref="AL576" si="64">AL575*AL574</f>
        <v>4072</v>
      </c>
      <c r="AM576">
        <f t="shared" ref="AM576" si="65">AM575*AM574</f>
        <v>4581</v>
      </c>
      <c r="AN576">
        <f t="shared" ref="AN576" si="66">AN575*AN574</f>
        <v>3054</v>
      </c>
      <c r="AO576">
        <f t="shared" ref="AO576" si="67">AO575*AO574</f>
        <v>4581</v>
      </c>
      <c r="AQ576" t="s">
        <v>60</v>
      </c>
      <c r="AS576">
        <f>AS575*AS574</f>
        <v>8800</v>
      </c>
      <c r="AT576">
        <f t="shared" ref="AT576:AW576" si="68">AT575*AT574</f>
        <v>2200</v>
      </c>
      <c r="AU576">
        <f t="shared" si="68"/>
        <v>2475</v>
      </c>
      <c r="AV576">
        <f t="shared" si="68"/>
        <v>1650</v>
      </c>
      <c r="AW576">
        <f t="shared" si="68"/>
        <v>2475</v>
      </c>
      <c r="AY576" t="s">
        <v>60</v>
      </c>
      <c r="BA576">
        <f>BA575*BA574</f>
        <v>7488</v>
      </c>
      <c r="BB576">
        <f t="shared" ref="BB576:BE576" si="69">BB575*BB574</f>
        <v>1872</v>
      </c>
      <c r="BC576">
        <f t="shared" si="69"/>
        <v>2106</v>
      </c>
      <c r="BD576">
        <f t="shared" si="69"/>
        <v>1404</v>
      </c>
      <c r="BE576">
        <f t="shared" si="69"/>
        <v>2106</v>
      </c>
    </row>
    <row r="577" spans="13:57" x14ac:dyDescent="0.25">
      <c r="M577" t="s">
        <v>59</v>
      </c>
      <c r="O577" t="s">
        <v>116</v>
      </c>
      <c r="Q577">
        <f>COUNTIF($B$236:$B$418,"&lt;&gt;")</f>
        <v>183</v>
      </c>
      <c r="S577" t="s">
        <v>77</v>
      </c>
      <c r="U577">
        <f>SUM(B563:AG563)</f>
        <v>4234</v>
      </c>
      <c r="V577" t="s">
        <v>62</v>
      </c>
      <c r="AA577" t="s">
        <v>77</v>
      </c>
      <c r="AC577">
        <f>SUM(B568:AG568)</f>
        <v>2099</v>
      </c>
      <c r="AE577" t="s">
        <v>77</v>
      </c>
      <c r="AG577">
        <f>SUM(B569:AG569)</f>
        <v>2135</v>
      </c>
      <c r="AI577" t="s">
        <v>77</v>
      </c>
      <c r="AK577">
        <f>SUM(B563:AG563)</f>
        <v>4234</v>
      </c>
      <c r="AL577">
        <f>SUM(B563:I563)</f>
        <v>3462</v>
      </c>
      <c r="AM577">
        <f>SUM(J563:R563)</f>
        <v>772</v>
      </c>
      <c r="AN577">
        <f>SUM(S563:X563)</f>
        <v>0</v>
      </c>
      <c r="AO577">
        <f>SUM(Y563:AG563)</f>
        <v>0</v>
      </c>
      <c r="AQ577" t="s">
        <v>77</v>
      </c>
      <c r="AS577">
        <f>SUM(B568:AG568)</f>
        <v>2099</v>
      </c>
      <c r="AT577">
        <f>SUM(B568:I568)</f>
        <v>1741</v>
      </c>
      <c r="AU577">
        <f>SUM(J568:R568)</f>
        <v>358</v>
      </c>
      <c r="AV577">
        <f>SUM(S568:X568)</f>
        <v>0</v>
      </c>
      <c r="AW577">
        <f>SUM(Y568:AG568)</f>
        <v>0</v>
      </c>
      <c r="AY577" t="s">
        <v>77</v>
      </c>
      <c r="BA577">
        <f>SUM($B569:$AG569)</f>
        <v>2135</v>
      </c>
      <c r="BB577">
        <f>SUM(B569:I569)</f>
        <v>1721</v>
      </c>
      <c r="BC577">
        <f>SUM(J569:R569)</f>
        <v>414</v>
      </c>
      <c r="BD577">
        <f>SUM(S569:X569)</f>
        <v>0</v>
      </c>
      <c r="BE577">
        <f>SUM(Y569:AG569)</f>
        <v>0</v>
      </c>
    </row>
    <row r="578" spans="13:57" x14ac:dyDescent="0.25">
      <c r="S578" t="s">
        <v>63</v>
      </c>
      <c r="U578">
        <f>$U577/$U576</f>
        <v>0.25994597249508838</v>
      </c>
      <c r="AA578" t="s">
        <v>64</v>
      </c>
      <c r="AC578">
        <f>AC577/AC576</f>
        <v>0.23852272727272728</v>
      </c>
      <c r="AE578" t="s">
        <v>65</v>
      </c>
      <c r="AG578">
        <f>AG577/AG576</f>
        <v>0.28512286324786323</v>
      </c>
      <c r="AI578" t="s">
        <v>63</v>
      </c>
      <c r="AK578">
        <f>AK577/AK576</f>
        <v>0.25994597249508838</v>
      </c>
      <c r="AL578">
        <f t="shared" ref="AL578:AO578" si="70">AL577/AL576</f>
        <v>0.85019646365422397</v>
      </c>
      <c r="AM578">
        <f t="shared" si="70"/>
        <v>0.16852215673433749</v>
      </c>
      <c r="AN578">
        <f t="shared" si="70"/>
        <v>0</v>
      </c>
      <c r="AO578">
        <f t="shared" si="70"/>
        <v>0</v>
      </c>
      <c r="AQ578" t="s">
        <v>64</v>
      </c>
      <c r="AS578">
        <f>AS577/AS576</f>
        <v>0.23852272727272728</v>
      </c>
      <c r="AT578">
        <f t="shared" ref="AT578:AW578" si="71">AT577/AT576</f>
        <v>0.79136363636363638</v>
      </c>
      <c r="AU578">
        <f t="shared" si="71"/>
        <v>0.14464646464646463</v>
      </c>
      <c r="AV578">
        <f t="shared" si="71"/>
        <v>0</v>
      </c>
      <c r="AW578">
        <f t="shared" si="71"/>
        <v>0</v>
      </c>
      <c r="AY578" t="s">
        <v>65</v>
      </c>
      <c r="BA578">
        <f>BA577/BA576</f>
        <v>0.28512286324786323</v>
      </c>
      <c r="BB578">
        <f t="shared" ref="BB578:BE578" si="72">BB577/BB576</f>
        <v>0.91933760683760679</v>
      </c>
      <c r="BC578">
        <f t="shared" si="72"/>
        <v>0.19658119658119658</v>
      </c>
      <c r="BD578">
        <f t="shared" si="72"/>
        <v>0</v>
      </c>
      <c r="BE578">
        <f t="shared" si="72"/>
        <v>0</v>
      </c>
    </row>
  </sheetData>
  <mergeCells count="4">
    <mergeCell ref="B1:I1"/>
    <mergeCell ref="J1:R1"/>
    <mergeCell ref="S1:X1"/>
    <mergeCell ref="Y1:AG1"/>
  </mergeCells>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E578"/>
  <sheetViews>
    <sheetView topLeftCell="AA483" workbookViewId="0">
      <selection activeCell="AY556" sqref="AY556"/>
    </sheetView>
  </sheetViews>
  <sheetFormatPr defaultColWidth="11.42578125" defaultRowHeight="15" x14ac:dyDescent="0.25"/>
  <sheetData>
    <row r="1" spans="1:33" x14ac:dyDescent="0.25">
      <c r="B1" s="135" t="s">
        <v>33</v>
      </c>
      <c r="C1" s="135"/>
      <c r="D1" s="135"/>
      <c r="E1" s="135"/>
      <c r="F1" s="135"/>
      <c r="G1" s="135"/>
      <c r="H1" s="135"/>
      <c r="I1" s="135"/>
      <c r="J1" s="136" t="s">
        <v>34</v>
      </c>
      <c r="K1" s="136"/>
      <c r="L1" s="136"/>
      <c r="M1" s="136"/>
      <c r="N1" s="136"/>
      <c r="O1" s="136"/>
      <c r="P1" s="136"/>
      <c r="Q1" s="136"/>
      <c r="R1" s="136"/>
      <c r="S1" s="137" t="s">
        <v>35</v>
      </c>
      <c r="T1" s="137"/>
      <c r="U1" s="137"/>
      <c r="V1" s="137"/>
      <c r="W1" s="137"/>
      <c r="X1" s="137"/>
      <c r="Y1" s="138" t="s">
        <v>36</v>
      </c>
      <c r="Z1" s="138"/>
      <c r="AA1" s="138"/>
      <c r="AB1" s="138"/>
      <c r="AC1" s="138"/>
      <c r="AD1" s="138"/>
      <c r="AE1" s="138"/>
      <c r="AF1" s="138"/>
      <c r="AG1" s="138"/>
    </row>
    <row r="2" spans="1:33" x14ac:dyDescent="0.25">
      <c r="A2" t="s">
        <v>0</v>
      </c>
      <c r="B2" t="s">
        <v>1</v>
      </c>
      <c r="C2" t="s">
        <v>2</v>
      </c>
      <c r="D2" t="s">
        <v>3</v>
      </c>
      <c r="E2" t="s">
        <v>4</v>
      </c>
      <c r="F2" t="s">
        <v>5</v>
      </c>
      <c r="G2" t="s">
        <v>6</v>
      </c>
      <c r="H2" t="s">
        <v>7</v>
      </c>
      <c r="I2" t="s">
        <v>8</v>
      </c>
      <c r="J2" t="s">
        <v>9</v>
      </c>
      <c r="K2" t="s">
        <v>10</v>
      </c>
      <c r="L2" t="s">
        <v>11</v>
      </c>
      <c r="M2" t="s">
        <v>12</v>
      </c>
      <c r="N2" t="s">
        <v>13</v>
      </c>
      <c r="O2" t="s">
        <v>14</v>
      </c>
      <c r="P2" t="s">
        <v>15</v>
      </c>
      <c r="Q2" t="s">
        <v>16</v>
      </c>
      <c r="R2" t="s">
        <v>17</v>
      </c>
      <c r="S2" t="s">
        <v>18</v>
      </c>
      <c r="T2" t="s">
        <v>19</v>
      </c>
      <c r="U2" t="s">
        <v>20</v>
      </c>
      <c r="V2" t="s">
        <v>21</v>
      </c>
      <c r="W2" t="s">
        <v>22</v>
      </c>
      <c r="X2" t="s">
        <v>23</v>
      </c>
      <c r="Y2" t="s">
        <v>24</v>
      </c>
      <c r="Z2" t="s">
        <v>25</v>
      </c>
      <c r="AA2" t="s">
        <v>26</v>
      </c>
      <c r="AB2" t="s">
        <v>27</v>
      </c>
      <c r="AC2" t="s">
        <v>28</v>
      </c>
      <c r="AD2" t="s">
        <v>29</v>
      </c>
      <c r="AE2" t="s">
        <v>30</v>
      </c>
      <c r="AF2" t="s">
        <v>31</v>
      </c>
      <c r="AG2" t="s">
        <v>32</v>
      </c>
    </row>
    <row r="3" spans="1:33" x14ac:dyDescent="0.25">
      <c r="A3" s="1">
        <v>44054</v>
      </c>
      <c r="B3">
        <v>15899.1148496724</v>
      </c>
      <c r="C3">
        <v>10966.802795031699</v>
      </c>
      <c r="D3">
        <v>13592.7767820179</v>
      </c>
      <c r="E3">
        <v>15099.8196331297</v>
      </c>
      <c r="F3">
        <v>16164.7748335204</v>
      </c>
      <c r="G3">
        <v>14490.3158527871</v>
      </c>
      <c r="H3">
        <v>34111.724483454302</v>
      </c>
      <c r="I3">
        <v>17920.188300425401</v>
      </c>
      <c r="J3">
        <v>1119.1521685754101</v>
      </c>
      <c r="K3">
        <v>1819.3014415596599</v>
      </c>
      <c r="L3">
        <v>334.51777221894798</v>
      </c>
      <c r="M3">
        <v>13714.7410601917</v>
      </c>
      <c r="N3">
        <v>3669.57262337771</v>
      </c>
      <c r="O3">
        <v>461.622817784267</v>
      </c>
      <c r="P3">
        <v>2088.41987053291</v>
      </c>
      <c r="Q3">
        <v>11310.3592549762</v>
      </c>
      <c r="R3">
        <v>730.79448152340797</v>
      </c>
      <c r="S3">
        <v>156.52519399128499</v>
      </c>
      <c r="T3">
        <v>321.01940854117402</v>
      </c>
      <c r="U3">
        <v>156.71874521723899</v>
      </c>
      <c r="V3">
        <v>315.56616126565802</v>
      </c>
      <c r="W3">
        <v>159.40387357366001</v>
      </c>
      <c r="X3">
        <v>182.182849356486</v>
      </c>
      <c r="Y3">
        <v>319.84797403343401</v>
      </c>
      <c r="Z3">
        <v>324.960445881608</v>
      </c>
      <c r="AA3">
        <v>315.488102429013</v>
      </c>
      <c r="AB3">
        <v>336.87607988984001</v>
      </c>
      <c r="AC3">
        <v>422.084692921547</v>
      </c>
      <c r="AD3">
        <v>302.81018321729198</v>
      </c>
      <c r="AE3">
        <v>521.86996126476902</v>
      </c>
      <c r="AF3">
        <v>369.86250077761798</v>
      </c>
      <c r="AG3">
        <v>286.12820370441398</v>
      </c>
    </row>
    <row r="4" spans="1:33" x14ac:dyDescent="0.25">
      <c r="A4" s="1">
        <v>44055</v>
      </c>
      <c r="B4">
        <v>15708.098690040701</v>
      </c>
      <c r="C4">
        <v>10493.311939658101</v>
      </c>
      <c r="D4">
        <v>13800.772659013801</v>
      </c>
      <c r="E4">
        <v>14910.9536353481</v>
      </c>
      <c r="F4">
        <v>16991.557742778699</v>
      </c>
      <c r="G4">
        <v>16321.618483620699</v>
      </c>
      <c r="H4">
        <v>33498.071658748901</v>
      </c>
      <c r="I4">
        <v>17840.271155660001</v>
      </c>
      <c r="J4">
        <v>1199.2371944891199</v>
      </c>
      <c r="K4">
        <v>1917.30437157234</v>
      </c>
      <c r="L4">
        <v>375.63618846513498</v>
      </c>
      <c r="M4">
        <v>14395.2254599771</v>
      </c>
      <c r="N4">
        <v>4018.7208830656</v>
      </c>
      <c r="O4">
        <v>589.07273000653095</v>
      </c>
      <c r="P4">
        <v>2369.1604990248102</v>
      </c>
      <c r="Q4">
        <v>12182.167535250101</v>
      </c>
      <c r="R4">
        <v>827.212223093391</v>
      </c>
      <c r="S4">
        <v>157.11969759004401</v>
      </c>
      <c r="T4">
        <v>320.74375085078498</v>
      </c>
      <c r="U4">
        <v>158.03289843174099</v>
      </c>
      <c r="V4">
        <v>276.55761840004499</v>
      </c>
      <c r="W4">
        <v>159.627593530376</v>
      </c>
      <c r="X4">
        <v>172.432578279056</v>
      </c>
      <c r="Y4">
        <v>319.56645988361902</v>
      </c>
      <c r="Z4">
        <v>304.06588060538701</v>
      </c>
      <c r="AA4">
        <v>320.52824308368599</v>
      </c>
      <c r="AB4">
        <v>316.39398014448898</v>
      </c>
      <c r="AC4">
        <v>429.09379745124301</v>
      </c>
      <c r="AD4">
        <v>325.64339467571102</v>
      </c>
      <c r="AE4">
        <v>522.89191119965005</v>
      </c>
      <c r="AF4">
        <v>362.301116271301</v>
      </c>
      <c r="AG4">
        <v>285.30623156674898</v>
      </c>
    </row>
    <row r="5" spans="1:33" x14ac:dyDescent="0.25">
      <c r="A5" s="1">
        <v>44056</v>
      </c>
      <c r="B5">
        <v>15345.0555235089</v>
      </c>
      <c r="C5">
        <v>10710.1923929892</v>
      </c>
      <c r="D5">
        <v>13910.2105806818</v>
      </c>
      <c r="E5">
        <v>14989.3316033926</v>
      </c>
      <c r="F5">
        <v>17186.164231651299</v>
      </c>
      <c r="G5">
        <v>16445.9953229557</v>
      </c>
      <c r="H5">
        <v>31952.836888111498</v>
      </c>
      <c r="I5">
        <v>18251.2897603661</v>
      </c>
      <c r="J5">
        <v>1224.82301097089</v>
      </c>
      <c r="K5">
        <v>2025.6897595229</v>
      </c>
      <c r="L5">
        <v>474.04442863190002</v>
      </c>
      <c r="M5">
        <v>14503.693361440701</v>
      </c>
      <c r="N5">
        <v>3839.5761440555598</v>
      </c>
      <c r="O5">
        <v>569.78275877535702</v>
      </c>
      <c r="P5">
        <v>2553.4229069339699</v>
      </c>
      <c r="Q5">
        <v>12355.654805820601</v>
      </c>
      <c r="R5">
        <v>817.20207907325198</v>
      </c>
      <c r="S5">
        <v>157.48226135592699</v>
      </c>
      <c r="T5">
        <v>259.35402033127701</v>
      </c>
      <c r="U5">
        <v>154.228984476964</v>
      </c>
      <c r="V5">
        <v>215.399299843504</v>
      </c>
      <c r="W5">
        <v>147.611677426244</v>
      </c>
      <c r="X5">
        <v>158.40167901861901</v>
      </c>
      <c r="Y5">
        <v>328.31307172776002</v>
      </c>
      <c r="Z5">
        <v>265.22965383716399</v>
      </c>
      <c r="AA5">
        <v>315.96794341047303</v>
      </c>
      <c r="AB5">
        <v>346.272510674366</v>
      </c>
      <c r="AC5">
        <v>437.51966203209503</v>
      </c>
      <c r="AD5">
        <v>365.438008812715</v>
      </c>
      <c r="AE5">
        <v>587.13155764157705</v>
      </c>
      <c r="AF5">
        <v>359.752520988941</v>
      </c>
      <c r="AG5">
        <v>335.77657450274103</v>
      </c>
    </row>
    <row r="6" spans="1:33" x14ac:dyDescent="0.25">
      <c r="A6" s="1">
        <v>44057</v>
      </c>
      <c r="B6">
        <v>15028.893745853</v>
      </c>
      <c r="C6">
        <v>11696.435301679499</v>
      </c>
      <c r="D6">
        <v>14057.5648528562</v>
      </c>
      <c r="E6">
        <v>15163.4518405337</v>
      </c>
      <c r="F6">
        <v>17041.609628540598</v>
      </c>
      <c r="G6">
        <v>16278.834799660601</v>
      </c>
      <c r="H6">
        <v>30831.810496980401</v>
      </c>
      <c r="I6">
        <v>19053.875665527699</v>
      </c>
      <c r="J6">
        <v>1258.4431693144099</v>
      </c>
      <c r="K6">
        <v>2090.3523147222099</v>
      </c>
      <c r="L6">
        <v>541.97363307313697</v>
      </c>
      <c r="M6">
        <v>14326.531247778999</v>
      </c>
      <c r="N6">
        <v>3685.2691521207698</v>
      </c>
      <c r="O6">
        <v>536.81317680507698</v>
      </c>
      <c r="P6">
        <v>2614.2157659965101</v>
      </c>
      <c r="Q6">
        <v>12216.4810241663</v>
      </c>
      <c r="R6">
        <v>799.17029643544299</v>
      </c>
      <c r="S6">
        <v>157.54185151786101</v>
      </c>
      <c r="T6">
        <v>234.11699621870801</v>
      </c>
      <c r="U6">
        <v>137.65234053355499</v>
      </c>
      <c r="V6">
        <v>210.13541806601501</v>
      </c>
      <c r="W6">
        <v>136.292017952311</v>
      </c>
      <c r="X6">
        <v>159.48267159340199</v>
      </c>
      <c r="Y6">
        <v>364.24304680598101</v>
      </c>
      <c r="Z6">
        <v>219.352775745982</v>
      </c>
      <c r="AA6">
        <v>315.12337487800602</v>
      </c>
      <c r="AB6">
        <v>387.37394429480503</v>
      </c>
      <c r="AC6">
        <v>446.208354275337</v>
      </c>
      <c r="AD6">
        <v>410.56562735608298</v>
      </c>
      <c r="AE6">
        <v>591.269309321371</v>
      </c>
      <c r="AF6">
        <v>357.298835038763</v>
      </c>
      <c r="AG6">
        <v>344.68059874062902</v>
      </c>
    </row>
    <row r="7" spans="1:33" x14ac:dyDescent="0.25">
      <c r="A7" s="1">
        <v>44058</v>
      </c>
      <c r="B7">
        <v>14975.6105660785</v>
      </c>
      <c r="C7">
        <v>12230.7578811031</v>
      </c>
      <c r="D7">
        <v>14215.869868507099</v>
      </c>
      <c r="E7">
        <v>15504.3011708798</v>
      </c>
      <c r="F7">
        <v>17126.579220268301</v>
      </c>
      <c r="G7">
        <v>16699.0737971737</v>
      </c>
      <c r="H7">
        <v>30695.029504481299</v>
      </c>
      <c r="I7">
        <v>19618.575701187801</v>
      </c>
      <c r="J7">
        <v>1330.6760414406001</v>
      </c>
      <c r="K7">
        <v>2212.8270919322799</v>
      </c>
      <c r="L7">
        <v>603.07998901548103</v>
      </c>
      <c r="M7">
        <v>14645.558945458701</v>
      </c>
      <c r="N7">
        <v>3925.3672833620399</v>
      </c>
      <c r="O7">
        <v>574.28120333674497</v>
      </c>
      <c r="P7">
        <v>2759.2152213736099</v>
      </c>
      <c r="Q7">
        <v>12568.4871356122</v>
      </c>
      <c r="R7">
        <v>834.77616549435197</v>
      </c>
      <c r="S7">
        <v>157.45317315078299</v>
      </c>
      <c r="T7">
        <v>244.56517073107699</v>
      </c>
      <c r="U7">
        <v>132.193214842624</v>
      </c>
      <c r="V7">
        <v>216.71217540846001</v>
      </c>
      <c r="W7">
        <v>131.48471371585001</v>
      </c>
      <c r="X7">
        <v>149.52708113432701</v>
      </c>
      <c r="Y7">
        <v>383.84997934305801</v>
      </c>
      <c r="Z7">
        <v>182.99310937393801</v>
      </c>
      <c r="AA7">
        <v>316.46509435739398</v>
      </c>
      <c r="AB7">
        <v>398.00161773254803</v>
      </c>
      <c r="AC7">
        <v>452.32036248135802</v>
      </c>
      <c r="AD7">
        <v>462.471494688615</v>
      </c>
      <c r="AE7">
        <v>560.60182130949897</v>
      </c>
      <c r="AF7">
        <v>351.14828163194898</v>
      </c>
      <c r="AG7">
        <v>344.10660632214098</v>
      </c>
    </row>
    <row r="8" spans="1:33" x14ac:dyDescent="0.25">
      <c r="A8" s="1">
        <v>44059</v>
      </c>
      <c r="B8">
        <v>15065.138793796201</v>
      </c>
      <c r="C8">
        <v>12631.565022769601</v>
      </c>
      <c r="D8">
        <v>14367.634103647901</v>
      </c>
      <c r="E8">
        <v>15786.7526649869</v>
      </c>
      <c r="F8">
        <v>17308.719162140998</v>
      </c>
      <c r="G8">
        <v>16727.340001844001</v>
      </c>
      <c r="H8">
        <v>30170.541966357701</v>
      </c>
      <c r="I8">
        <v>20135.782655519899</v>
      </c>
      <c r="J8">
        <v>1411.75235305868</v>
      </c>
      <c r="K8">
        <v>2264.8686398733798</v>
      </c>
      <c r="L8">
        <v>644.73430587383405</v>
      </c>
      <c r="M8">
        <v>14666.3007499123</v>
      </c>
      <c r="N8">
        <v>3986.70903186135</v>
      </c>
      <c r="O8">
        <v>591.31220301103394</v>
      </c>
      <c r="P8">
        <v>2763.3625781854298</v>
      </c>
      <c r="Q8">
        <v>12568.4662655884</v>
      </c>
      <c r="R8">
        <v>851.87313123843398</v>
      </c>
      <c r="S8">
        <v>157.45622033245701</v>
      </c>
      <c r="T8">
        <v>259.474280816141</v>
      </c>
      <c r="U8">
        <v>132.027288751604</v>
      </c>
      <c r="V8">
        <v>225.10291170994901</v>
      </c>
      <c r="W8">
        <v>133.448148516234</v>
      </c>
      <c r="X8">
        <v>147.63104927435299</v>
      </c>
      <c r="Y8">
        <v>393.470691429863</v>
      </c>
      <c r="Z8">
        <v>164.15371738759501</v>
      </c>
      <c r="AA8">
        <v>316.59056625493503</v>
      </c>
      <c r="AB8">
        <v>403.90824375128398</v>
      </c>
      <c r="AC8">
        <v>457.93751609275398</v>
      </c>
      <c r="AD8">
        <v>500.07821449690499</v>
      </c>
      <c r="AE8">
        <v>567.06938408106805</v>
      </c>
      <c r="AF8">
        <v>345.403164043576</v>
      </c>
      <c r="AG8">
        <v>340.58029984485898</v>
      </c>
    </row>
    <row r="9" spans="1:33" x14ac:dyDescent="0.25">
      <c r="A9" s="1">
        <v>44060</v>
      </c>
      <c r="B9">
        <v>15172.835507082</v>
      </c>
      <c r="C9">
        <v>12943.233033467601</v>
      </c>
      <c r="D9">
        <v>14484.8940988537</v>
      </c>
      <c r="E9">
        <v>15981.190929178299</v>
      </c>
      <c r="F9">
        <v>17022.572329414499</v>
      </c>
      <c r="G9">
        <v>16104.612939131201</v>
      </c>
      <c r="H9">
        <v>29040.028026914999</v>
      </c>
      <c r="I9">
        <v>20508.307012649399</v>
      </c>
      <c r="J9">
        <v>1464.08567467438</v>
      </c>
      <c r="K9">
        <v>2191.2318760523999</v>
      </c>
      <c r="L9">
        <v>658.15976444567002</v>
      </c>
      <c r="M9">
        <v>14041.587600462401</v>
      </c>
      <c r="N9">
        <v>3779.6481508633501</v>
      </c>
      <c r="O9">
        <v>563.04014577653095</v>
      </c>
      <c r="P9">
        <v>2671.5072783977998</v>
      </c>
      <c r="Q9">
        <v>11978.5503045308</v>
      </c>
      <c r="R9">
        <v>819.74109783808501</v>
      </c>
      <c r="S9">
        <v>157.65001232513899</v>
      </c>
      <c r="T9">
        <v>250.81877095902101</v>
      </c>
      <c r="U9">
        <v>135.17715467938601</v>
      </c>
      <c r="V9">
        <v>223.52457864609701</v>
      </c>
      <c r="W9">
        <v>140.655996063055</v>
      </c>
      <c r="X9">
        <v>145.029198553561</v>
      </c>
      <c r="Y9">
        <v>403.54922016517799</v>
      </c>
      <c r="Z9">
        <v>155.586717010803</v>
      </c>
      <c r="AA9">
        <v>318.43547018448902</v>
      </c>
      <c r="AB9">
        <v>413.99276620255802</v>
      </c>
      <c r="AC9">
        <v>465.16643583724698</v>
      </c>
      <c r="AD9">
        <v>511.34744786678198</v>
      </c>
      <c r="AE9">
        <v>553.35812422377205</v>
      </c>
      <c r="AF9">
        <v>344.965214534761</v>
      </c>
      <c r="AG9">
        <v>334.95660042210301</v>
      </c>
    </row>
    <row r="10" spans="1:33" x14ac:dyDescent="0.25">
      <c r="A10" s="1">
        <v>44061</v>
      </c>
      <c r="B10">
        <v>15377.209942674999</v>
      </c>
      <c r="C10">
        <v>13102.9379584655</v>
      </c>
      <c r="D10">
        <v>14669.2059716774</v>
      </c>
      <c r="E10">
        <v>16244.524165098101</v>
      </c>
      <c r="F10">
        <v>16610.842587689502</v>
      </c>
      <c r="G10">
        <v>15654.192295164699</v>
      </c>
      <c r="H10">
        <v>28451.698623979599</v>
      </c>
      <c r="I10">
        <v>20442.623201154202</v>
      </c>
      <c r="J10">
        <v>1517.85488534464</v>
      </c>
      <c r="K10">
        <v>2128.3722227591502</v>
      </c>
      <c r="L10">
        <v>662.17942022992702</v>
      </c>
      <c r="M10">
        <v>13596.2469034402</v>
      </c>
      <c r="N10">
        <v>3649.7625510489102</v>
      </c>
      <c r="O10">
        <v>543.91789394253999</v>
      </c>
      <c r="P10">
        <v>2571.7146080262601</v>
      </c>
      <c r="Q10">
        <v>11550.2994839805</v>
      </c>
      <c r="R10">
        <v>798.11136436018796</v>
      </c>
      <c r="S10">
        <v>157.98043832395899</v>
      </c>
      <c r="T10">
        <v>239.93894001299799</v>
      </c>
      <c r="U10">
        <v>138.47115165897799</v>
      </c>
      <c r="V10">
        <v>219.00790496958501</v>
      </c>
      <c r="W10">
        <v>138.318750694427</v>
      </c>
      <c r="X10">
        <v>147.342277870956</v>
      </c>
      <c r="Y10">
        <v>418.24976551248801</v>
      </c>
      <c r="Z10">
        <v>145.57380573137601</v>
      </c>
      <c r="AA10">
        <v>323.99753078393201</v>
      </c>
      <c r="AB10">
        <v>422.86030251047498</v>
      </c>
      <c r="AC10">
        <v>472.01138794206599</v>
      </c>
      <c r="AD10">
        <v>516.31007551698701</v>
      </c>
      <c r="AE10">
        <v>521.47269758574203</v>
      </c>
      <c r="AF10">
        <v>346.764898816563</v>
      </c>
      <c r="AG10">
        <v>331.46304680463101</v>
      </c>
    </row>
    <row r="11" spans="1:33" x14ac:dyDescent="0.25">
      <c r="A11" s="1">
        <v>44062</v>
      </c>
      <c r="B11">
        <v>15679.513971439799</v>
      </c>
      <c r="C11">
        <v>13104.2130898836</v>
      </c>
      <c r="D11">
        <v>14923.231084299799</v>
      </c>
      <c r="E11">
        <v>16559.185519205599</v>
      </c>
      <c r="F11">
        <v>16368.3209005391</v>
      </c>
      <c r="G11">
        <v>15617.907399507099</v>
      </c>
      <c r="H11">
        <v>28351.448324671201</v>
      </c>
      <c r="I11">
        <v>20288.8357847105</v>
      </c>
      <c r="J11">
        <v>1578.7909077874101</v>
      </c>
      <c r="K11">
        <v>2105.64851950605</v>
      </c>
      <c r="L11">
        <v>677.35854704528504</v>
      </c>
      <c r="M11">
        <v>13559.720920093199</v>
      </c>
      <c r="N11">
        <v>3656.21461603241</v>
      </c>
      <c r="O11">
        <v>557.64398307066904</v>
      </c>
      <c r="P11">
        <v>2516.5524659136499</v>
      </c>
      <c r="Q11">
        <v>11505.4114144427</v>
      </c>
      <c r="R11">
        <v>810.35701790799897</v>
      </c>
      <c r="S11">
        <v>158.706502487432</v>
      </c>
      <c r="T11">
        <v>244.73343280110299</v>
      </c>
      <c r="U11">
        <v>139.82369805918</v>
      </c>
      <c r="V11">
        <v>226.90489034750499</v>
      </c>
      <c r="W11">
        <v>138.87125905916201</v>
      </c>
      <c r="X11">
        <v>151.898159920334</v>
      </c>
      <c r="Y11">
        <v>433.06793300780703</v>
      </c>
      <c r="Z11">
        <v>139.81268056894999</v>
      </c>
      <c r="AA11">
        <v>330.38181041162602</v>
      </c>
      <c r="AB11">
        <v>452.63431821391703</v>
      </c>
      <c r="AC11">
        <v>476.727437982374</v>
      </c>
      <c r="AD11">
        <v>529.62356027912699</v>
      </c>
      <c r="AE11">
        <v>553.07792234870396</v>
      </c>
      <c r="AF11">
        <v>344.77830736392099</v>
      </c>
      <c r="AG11">
        <v>332.93648951912598</v>
      </c>
    </row>
    <row r="12" spans="1:33" x14ac:dyDescent="0.25">
      <c r="A12" s="1">
        <v>44063</v>
      </c>
      <c r="B12">
        <v>15994.776250680099</v>
      </c>
      <c r="C12">
        <v>12988.738105083199</v>
      </c>
      <c r="D12">
        <v>15189.8089848987</v>
      </c>
      <c r="E12">
        <v>16832.970955979799</v>
      </c>
      <c r="F12">
        <v>16197.1296375931</v>
      </c>
      <c r="G12">
        <v>15524.5960691254</v>
      </c>
      <c r="H12">
        <v>28065.852235046899</v>
      </c>
      <c r="I12">
        <v>20211.872086855499</v>
      </c>
      <c r="J12">
        <v>1631.7533337780201</v>
      </c>
      <c r="K12">
        <v>2046.16574153943</v>
      </c>
      <c r="L12">
        <v>688.42585203532406</v>
      </c>
      <c r="M12">
        <v>13564.641991357799</v>
      </c>
      <c r="N12">
        <v>3600.4038561734801</v>
      </c>
      <c r="O12">
        <v>566.53583538271596</v>
      </c>
      <c r="P12">
        <v>2451.9302204281698</v>
      </c>
      <c r="Q12">
        <v>11424.415681087299</v>
      </c>
      <c r="R12">
        <v>823.83480019578201</v>
      </c>
      <c r="S12">
        <v>159.704608645977</v>
      </c>
      <c r="T12">
        <v>238.89991589864999</v>
      </c>
      <c r="U12">
        <v>139.63445668572299</v>
      </c>
      <c r="V12">
        <v>212.82438792993401</v>
      </c>
      <c r="W12">
        <v>138.13630260375299</v>
      </c>
      <c r="X12">
        <v>150.028151133797</v>
      </c>
      <c r="Y12">
        <v>459.20851842644402</v>
      </c>
      <c r="Z12">
        <v>140.077460738453</v>
      </c>
      <c r="AA12">
        <v>336.97940271472498</v>
      </c>
      <c r="AB12">
        <v>470.68806696977799</v>
      </c>
      <c r="AC12">
        <v>479.34010805346003</v>
      </c>
      <c r="AD12">
        <v>539.12663357627605</v>
      </c>
      <c r="AE12">
        <v>517.11344097845404</v>
      </c>
      <c r="AF12">
        <v>342.41315677934898</v>
      </c>
      <c r="AG12">
        <v>339.707138286315</v>
      </c>
    </row>
    <row r="13" spans="1:33" x14ac:dyDescent="0.25">
      <c r="A13" s="1">
        <v>44064</v>
      </c>
      <c r="B13">
        <v>16270.2113765329</v>
      </c>
      <c r="C13">
        <v>12848.584966201701</v>
      </c>
      <c r="D13">
        <v>15472.1608353383</v>
      </c>
      <c r="E13">
        <v>17052.305300559801</v>
      </c>
      <c r="F13">
        <v>16043.754688200501</v>
      </c>
      <c r="G13">
        <v>15387.666727306399</v>
      </c>
      <c r="H13">
        <v>27789.286136877399</v>
      </c>
      <c r="I13">
        <v>20118.339475308701</v>
      </c>
      <c r="J13">
        <v>1660.6867630351601</v>
      </c>
      <c r="K13">
        <v>2033.111714573</v>
      </c>
      <c r="L13">
        <v>700.91933630747303</v>
      </c>
      <c r="M13">
        <v>13511.2523503908</v>
      </c>
      <c r="N13">
        <v>3465.9036430137899</v>
      </c>
      <c r="O13">
        <v>556.34872156875394</v>
      </c>
      <c r="P13">
        <v>2445.6971517748402</v>
      </c>
      <c r="Q13">
        <v>11325.756325455601</v>
      </c>
      <c r="R13">
        <v>820.91807726811101</v>
      </c>
      <c r="S13">
        <v>160.50770079785599</v>
      </c>
      <c r="T13">
        <v>220.515817943983</v>
      </c>
      <c r="U13">
        <v>140.204924474927</v>
      </c>
      <c r="V13">
        <v>190.56452241832</v>
      </c>
      <c r="W13">
        <v>140.05759815695001</v>
      </c>
      <c r="X13">
        <v>145.51609935427101</v>
      </c>
      <c r="Y13">
        <v>487.85405958870302</v>
      </c>
      <c r="Z13">
        <v>142.35614333349099</v>
      </c>
      <c r="AA13">
        <v>344.65009097598102</v>
      </c>
      <c r="AB13">
        <v>488.854177894239</v>
      </c>
      <c r="AC13">
        <v>481.48761775101201</v>
      </c>
      <c r="AD13">
        <v>546.63372783802401</v>
      </c>
      <c r="AE13">
        <v>558.83781839768506</v>
      </c>
      <c r="AF13">
        <v>339.85912222309997</v>
      </c>
      <c r="AG13">
        <v>351.02980226260701</v>
      </c>
    </row>
    <row r="14" spans="1:33" x14ac:dyDescent="0.25">
      <c r="A14" s="1">
        <v>44065</v>
      </c>
      <c r="B14">
        <v>16402.7151786063</v>
      </c>
      <c r="C14">
        <v>12666.9410850401</v>
      </c>
      <c r="D14">
        <v>15532.316846006101</v>
      </c>
      <c r="E14">
        <v>17041.390369353601</v>
      </c>
      <c r="F14">
        <v>15536.72122736</v>
      </c>
      <c r="G14">
        <v>14772.338259468899</v>
      </c>
      <c r="H14">
        <v>27006.670782746201</v>
      </c>
      <c r="I14">
        <v>19949.198290738601</v>
      </c>
      <c r="J14">
        <v>1671.6802542303301</v>
      </c>
      <c r="K14">
        <v>1958.20557385503</v>
      </c>
      <c r="L14">
        <v>681.84973726349597</v>
      </c>
      <c r="M14">
        <v>12865.4886750564</v>
      </c>
      <c r="N14">
        <v>2840.5493946935198</v>
      </c>
      <c r="O14">
        <v>526.72504338152999</v>
      </c>
      <c r="P14">
        <v>2354.5881986510399</v>
      </c>
      <c r="Q14">
        <v>10731.7617371668</v>
      </c>
      <c r="R14">
        <v>790.31382737540503</v>
      </c>
      <c r="S14">
        <v>161.067968837975</v>
      </c>
      <c r="T14">
        <v>188.56131611780401</v>
      </c>
      <c r="U14">
        <v>141.53174562127899</v>
      </c>
      <c r="V14">
        <v>163.83883351612101</v>
      </c>
      <c r="W14">
        <v>141.72961715646301</v>
      </c>
      <c r="X14">
        <v>141.529318188666</v>
      </c>
      <c r="Y14">
        <v>509.402618870423</v>
      </c>
      <c r="Z14">
        <v>142.70933129979201</v>
      </c>
      <c r="AA14">
        <v>351.60427442395502</v>
      </c>
      <c r="AB14">
        <v>513.10971981553098</v>
      </c>
      <c r="AC14">
        <v>483.032433294935</v>
      </c>
      <c r="AD14">
        <v>535.15349715327898</v>
      </c>
      <c r="AE14">
        <v>498.43750709138698</v>
      </c>
      <c r="AF14">
        <v>339.34603732413399</v>
      </c>
      <c r="AG14">
        <v>366.13531418097801</v>
      </c>
    </row>
    <row r="15" spans="1:33" x14ac:dyDescent="0.25">
      <c r="A15" s="1">
        <v>44066</v>
      </c>
      <c r="B15">
        <v>16493.565713575201</v>
      </c>
      <c r="C15">
        <v>12455.957533471401</v>
      </c>
      <c r="D15">
        <v>15717.4583557526</v>
      </c>
      <c r="E15">
        <v>17142.016703061301</v>
      </c>
      <c r="F15">
        <v>15266.792679146</v>
      </c>
      <c r="G15">
        <v>14778.286216315801</v>
      </c>
      <c r="H15">
        <v>27419.0528100505</v>
      </c>
      <c r="I15">
        <v>19793.240936915699</v>
      </c>
      <c r="J15">
        <v>1700.27421234189</v>
      </c>
      <c r="K15">
        <v>2004.4666008106601</v>
      </c>
      <c r="L15">
        <v>673.41152274039098</v>
      </c>
      <c r="M15">
        <v>12809.534776685799</v>
      </c>
      <c r="N15">
        <v>2621.30056289499</v>
      </c>
      <c r="O15">
        <v>555.78997779226802</v>
      </c>
      <c r="P15">
        <v>2382.6771104937102</v>
      </c>
      <c r="Q15">
        <v>10750.8095350487</v>
      </c>
      <c r="R15">
        <v>828.41989389874095</v>
      </c>
      <c r="S15">
        <v>161.87624392854701</v>
      </c>
      <c r="T15">
        <v>179.234619282572</v>
      </c>
      <c r="U15">
        <v>141.69221248725501</v>
      </c>
      <c r="V15">
        <v>160.54768594176301</v>
      </c>
      <c r="W15">
        <v>141.77195408679901</v>
      </c>
      <c r="X15">
        <v>144.245808517862</v>
      </c>
      <c r="Y15">
        <v>557.60593422686395</v>
      </c>
      <c r="Z15">
        <v>142.80842277935</v>
      </c>
      <c r="AA15">
        <v>356.17351210463698</v>
      </c>
      <c r="AB15">
        <v>554.24840368349703</v>
      </c>
      <c r="AC15">
        <v>481.637246670325</v>
      </c>
      <c r="AD15">
        <v>543.17770083052005</v>
      </c>
      <c r="AE15">
        <v>511.81683813001001</v>
      </c>
      <c r="AF15">
        <v>335.24788537377202</v>
      </c>
      <c r="AG15">
        <v>380.28225945092498</v>
      </c>
    </row>
    <row r="16" spans="1:33" x14ac:dyDescent="0.25">
      <c r="A16" s="1">
        <v>44067</v>
      </c>
      <c r="B16">
        <v>16697.989131671198</v>
      </c>
      <c r="C16">
        <v>12193.8191768413</v>
      </c>
      <c r="D16">
        <v>15837.817132010699</v>
      </c>
      <c r="E16">
        <v>17201.5528609188</v>
      </c>
      <c r="F16">
        <v>15298.429337691099</v>
      </c>
      <c r="G16">
        <v>14712.9835463863</v>
      </c>
      <c r="H16">
        <v>27583.629401319002</v>
      </c>
      <c r="I16">
        <v>19745.298570148399</v>
      </c>
      <c r="J16">
        <v>1742.1576974138</v>
      </c>
      <c r="K16">
        <v>2035.5174469676599</v>
      </c>
      <c r="L16">
        <v>684.24540165863198</v>
      </c>
      <c r="M16">
        <v>12847.0346503128</v>
      </c>
      <c r="N16">
        <v>2468.5234396665901</v>
      </c>
      <c r="O16">
        <v>585.98848293052595</v>
      </c>
      <c r="P16">
        <v>2392.4834876561699</v>
      </c>
      <c r="Q16">
        <v>10752.349906998899</v>
      </c>
      <c r="R16">
        <v>875.64054202896398</v>
      </c>
      <c r="S16">
        <v>162.71996800114101</v>
      </c>
      <c r="T16">
        <v>172.885756713342</v>
      </c>
      <c r="U16">
        <v>140.38227436805599</v>
      </c>
      <c r="V16">
        <v>154.70640491663801</v>
      </c>
      <c r="W16">
        <v>140.67873316535301</v>
      </c>
      <c r="X16">
        <v>144.125308840922</v>
      </c>
      <c r="Y16">
        <v>589.527747772358</v>
      </c>
      <c r="Z16">
        <v>143.66139342034899</v>
      </c>
      <c r="AA16">
        <v>358.59473618299398</v>
      </c>
      <c r="AB16">
        <v>555.44468628393395</v>
      </c>
      <c r="AC16">
        <v>475.44718598309498</v>
      </c>
      <c r="AD16">
        <v>558.53879753470596</v>
      </c>
      <c r="AE16">
        <v>485.58381683802702</v>
      </c>
      <c r="AF16">
        <v>331.13561878458398</v>
      </c>
      <c r="AG16">
        <v>391.91211991036198</v>
      </c>
    </row>
    <row r="17" spans="1:33" x14ac:dyDescent="0.25">
      <c r="A17" s="1">
        <v>44068</v>
      </c>
      <c r="B17">
        <v>16896.727355781299</v>
      </c>
      <c r="C17">
        <v>12026.797020682599</v>
      </c>
      <c r="D17">
        <v>15940.153346879</v>
      </c>
      <c r="E17">
        <v>17280.427078838002</v>
      </c>
      <c r="F17">
        <v>15406.381902286899</v>
      </c>
      <c r="G17">
        <v>14512.4192562064</v>
      </c>
      <c r="H17">
        <v>27810.593646617701</v>
      </c>
      <c r="I17">
        <v>19768.6161396399</v>
      </c>
      <c r="J17">
        <v>1780.0880355903601</v>
      </c>
      <c r="K17">
        <v>2057.2977669828001</v>
      </c>
      <c r="L17">
        <v>690.43062529435599</v>
      </c>
      <c r="M17">
        <v>12707.503219341501</v>
      </c>
      <c r="N17">
        <v>2380.4008870423299</v>
      </c>
      <c r="O17">
        <v>652.58693117124005</v>
      </c>
      <c r="P17">
        <v>2368.0913066828002</v>
      </c>
      <c r="Q17">
        <v>10555.0268885727</v>
      </c>
      <c r="R17">
        <v>940.12573606271405</v>
      </c>
      <c r="S17">
        <v>163.38375832934</v>
      </c>
      <c r="T17">
        <v>171.12570944532399</v>
      </c>
      <c r="U17">
        <v>141.402478804178</v>
      </c>
      <c r="V17">
        <v>154.52547055186699</v>
      </c>
      <c r="W17">
        <v>141.86163551238101</v>
      </c>
      <c r="X17">
        <v>142.747564533983</v>
      </c>
      <c r="Y17">
        <v>621.029526237337</v>
      </c>
      <c r="Z17">
        <v>144.623970994301</v>
      </c>
      <c r="AA17">
        <v>360.555059732036</v>
      </c>
      <c r="AB17">
        <v>572.54098446873297</v>
      </c>
      <c r="AC17">
        <v>465.006140681457</v>
      </c>
      <c r="AD17">
        <v>569.524421550434</v>
      </c>
      <c r="AE17">
        <v>506.88619121668302</v>
      </c>
      <c r="AF17">
        <v>327.62676241644698</v>
      </c>
      <c r="AG17">
        <v>399.914861811918</v>
      </c>
    </row>
    <row r="18" spans="1:33" x14ac:dyDescent="0.25">
      <c r="A18" s="1">
        <v>44069</v>
      </c>
      <c r="B18">
        <v>17034.2132494824</v>
      </c>
      <c r="C18">
        <v>11977.366462080099</v>
      </c>
      <c r="D18">
        <v>15987.8511887779</v>
      </c>
      <c r="E18">
        <v>17375.917323345599</v>
      </c>
      <c r="F18">
        <v>15287.699304071401</v>
      </c>
      <c r="G18">
        <v>14018.519942680699</v>
      </c>
      <c r="H18">
        <v>27388.368289130802</v>
      </c>
      <c r="I18">
        <v>19692.9311296858</v>
      </c>
      <c r="J18">
        <v>1797.41849032803</v>
      </c>
      <c r="K18">
        <v>2022.01706331015</v>
      </c>
      <c r="L18">
        <v>702.94649814058505</v>
      </c>
      <c r="M18">
        <v>12499.524749028</v>
      </c>
      <c r="N18">
        <v>2350.5286078342201</v>
      </c>
      <c r="O18">
        <v>674.05999636827903</v>
      </c>
      <c r="P18">
        <v>2344.4436522787701</v>
      </c>
      <c r="Q18">
        <v>10223.2881274057</v>
      </c>
      <c r="R18">
        <v>964.03393722208205</v>
      </c>
      <c r="S18">
        <v>163.93997199872501</v>
      </c>
      <c r="T18">
        <v>167.23721723131601</v>
      </c>
      <c r="U18">
        <v>147.609780225192</v>
      </c>
      <c r="V18">
        <v>154.62432010173899</v>
      </c>
      <c r="W18">
        <v>146.59214710980001</v>
      </c>
      <c r="X18">
        <v>142.20089583737601</v>
      </c>
      <c r="Y18">
        <v>631.32677675259401</v>
      </c>
      <c r="Z18">
        <v>144.30942821388501</v>
      </c>
      <c r="AA18">
        <v>364.76455340895501</v>
      </c>
      <c r="AB18">
        <v>605.08666978601696</v>
      </c>
      <c r="AC18">
        <v>458.00896731226601</v>
      </c>
      <c r="AD18">
        <v>575.77838305893999</v>
      </c>
      <c r="AE18">
        <v>466.93110817797299</v>
      </c>
      <c r="AF18">
        <v>327.50751555263997</v>
      </c>
      <c r="AG18">
        <v>408.10652428370003</v>
      </c>
    </row>
    <row r="19" spans="1:33" x14ac:dyDescent="0.25">
      <c r="A19" s="1">
        <v>44070</v>
      </c>
      <c r="B19">
        <v>17093.3578915822</v>
      </c>
      <c r="C19">
        <v>12079.029653666799</v>
      </c>
      <c r="D19">
        <v>15944.0182394983</v>
      </c>
      <c r="E19">
        <v>17396.008125216998</v>
      </c>
      <c r="F19">
        <v>14878.196792891</v>
      </c>
      <c r="G19">
        <v>13319.3338016703</v>
      </c>
      <c r="H19">
        <v>26656.7905777612</v>
      </c>
      <c r="I19">
        <v>19589.989040319098</v>
      </c>
      <c r="J19">
        <v>1798.5848767612199</v>
      </c>
      <c r="K19">
        <v>1949.5778544315899</v>
      </c>
      <c r="L19">
        <v>721.61044299019397</v>
      </c>
      <c r="M19">
        <v>11719.939798655199</v>
      </c>
      <c r="N19">
        <v>2107.29965763067</v>
      </c>
      <c r="O19">
        <v>652.73101996247101</v>
      </c>
      <c r="P19">
        <v>2280.2820559346201</v>
      </c>
      <c r="Q19">
        <v>9590.1706855652301</v>
      </c>
      <c r="R19">
        <v>940.74344873985797</v>
      </c>
      <c r="S19">
        <v>164.343373350066</v>
      </c>
      <c r="T19">
        <v>162.84187123646299</v>
      </c>
      <c r="U19">
        <v>144.88695631492101</v>
      </c>
      <c r="V19">
        <v>156.03969686765001</v>
      </c>
      <c r="W19">
        <v>145.48176915558599</v>
      </c>
      <c r="X19">
        <v>147.79148315611701</v>
      </c>
      <c r="Y19">
        <v>624.25372551795601</v>
      </c>
      <c r="Z19">
        <v>143.534428175877</v>
      </c>
      <c r="AA19">
        <v>364.33201338071598</v>
      </c>
      <c r="AB19">
        <v>664.17828174348995</v>
      </c>
      <c r="AC19">
        <v>453.952328820275</v>
      </c>
      <c r="AD19">
        <v>575.77543084289505</v>
      </c>
      <c r="AE19">
        <v>553.96852433184699</v>
      </c>
      <c r="AF19">
        <v>327.73764411446001</v>
      </c>
      <c r="AG19">
        <v>411.85617724204002</v>
      </c>
    </row>
    <row r="20" spans="1:33" x14ac:dyDescent="0.25">
      <c r="A20" s="1">
        <v>44071</v>
      </c>
      <c r="B20">
        <v>17110.191216224299</v>
      </c>
      <c r="C20">
        <v>12102.8786120078</v>
      </c>
      <c r="D20">
        <v>15943.4120534821</v>
      </c>
      <c r="E20">
        <v>17426.4123161262</v>
      </c>
      <c r="F20">
        <v>14526.000300809699</v>
      </c>
      <c r="G20">
        <v>12934.1383999933</v>
      </c>
      <c r="H20">
        <v>26399.939667927902</v>
      </c>
      <c r="I20">
        <v>19319.9057577454</v>
      </c>
      <c r="J20">
        <v>1799.31613747644</v>
      </c>
      <c r="K20">
        <v>1915.7946980608899</v>
      </c>
      <c r="L20">
        <v>723.73511231867701</v>
      </c>
      <c r="M20">
        <v>11356.572405662</v>
      </c>
      <c r="N20">
        <v>2034.6522932672201</v>
      </c>
      <c r="O20">
        <v>647.50034646432198</v>
      </c>
      <c r="P20">
        <v>2203.5150509119499</v>
      </c>
      <c r="Q20">
        <v>9204.5144783188098</v>
      </c>
      <c r="R20">
        <v>926.96466171187205</v>
      </c>
      <c r="S20">
        <v>164.50512665341901</v>
      </c>
      <c r="T20">
        <v>162.69358447080401</v>
      </c>
      <c r="U20">
        <v>152.26221820022801</v>
      </c>
      <c r="V20">
        <v>155.778888972896</v>
      </c>
      <c r="W20">
        <v>152.684484126667</v>
      </c>
      <c r="X20">
        <v>146.04317496164001</v>
      </c>
      <c r="Y20">
        <v>625.75296475074401</v>
      </c>
      <c r="Z20">
        <v>145.584678562612</v>
      </c>
      <c r="AA20">
        <v>367.39969314765301</v>
      </c>
      <c r="AB20">
        <v>661.40309464835502</v>
      </c>
      <c r="AC20">
        <v>450.06521254794802</v>
      </c>
      <c r="AD20">
        <v>584.93205528348403</v>
      </c>
      <c r="AE20">
        <v>577.69591614037699</v>
      </c>
      <c r="AF20">
        <v>327.46547066922398</v>
      </c>
      <c r="AG20">
        <v>417.18911272435599</v>
      </c>
    </row>
    <row r="21" spans="1:33" x14ac:dyDescent="0.25">
      <c r="A21" s="1">
        <v>44072</v>
      </c>
      <c r="B21">
        <v>17136.889475762899</v>
      </c>
      <c r="C21">
        <v>11835.660092349601</v>
      </c>
      <c r="D21">
        <v>15949.2864783483</v>
      </c>
      <c r="E21">
        <v>17402.953679077898</v>
      </c>
      <c r="F21">
        <v>14335.156942121799</v>
      </c>
      <c r="G21">
        <v>12647.550326737301</v>
      </c>
      <c r="H21">
        <v>25998.141726506601</v>
      </c>
      <c r="I21">
        <v>19094.472228549399</v>
      </c>
      <c r="J21">
        <v>1788.48117347317</v>
      </c>
      <c r="K21">
        <v>1880.8057349738499</v>
      </c>
      <c r="L21">
        <v>730.42039892290495</v>
      </c>
      <c r="M21">
        <v>10916.765339592899</v>
      </c>
      <c r="N21">
        <v>2130.3321390187298</v>
      </c>
      <c r="O21">
        <v>641.98293658399598</v>
      </c>
      <c r="P21">
        <v>2146.3836495393998</v>
      </c>
      <c r="Q21">
        <v>9011.0078280337893</v>
      </c>
      <c r="R21">
        <v>910.805006314146</v>
      </c>
      <c r="S21">
        <v>164.546401489608</v>
      </c>
      <c r="T21">
        <v>171.01740822494</v>
      </c>
      <c r="U21">
        <v>154.35447650347101</v>
      </c>
      <c r="V21">
        <v>167.41786453752701</v>
      </c>
      <c r="W21">
        <v>157.129034094063</v>
      </c>
      <c r="X21">
        <v>152.78121754202999</v>
      </c>
      <c r="Y21">
        <v>619.82397757126603</v>
      </c>
      <c r="Z21">
        <v>148.19230638146999</v>
      </c>
      <c r="AA21">
        <v>370.09935153486498</v>
      </c>
      <c r="AB21">
        <v>638.59460227252202</v>
      </c>
      <c r="AC21">
        <v>444.99327654135999</v>
      </c>
      <c r="AD21">
        <v>590.52690505153203</v>
      </c>
      <c r="AE21">
        <v>516.83603848219502</v>
      </c>
      <c r="AF21">
        <v>327.05092268556803</v>
      </c>
      <c r="AG21">
        <v>421.20778390613299</v>
      </c>
    </row>
    <row r="22" spans="1:33" x14ac:dyDescent="0.25">
      <c r="A22" s="1">
        <v>44073</v>
      </c>
      <c r="B22">
        <v>17161.943097081199</v>
      </c>
      <c r="C22">
        <v>11606.837917635599</v>
      </c>
      <c r="D22">
        <v>15955.910317006699</v>
      </c>
      <c r="E22">
        <v>17344.714677292501</v>
      </c>
      <c r="F22">
        <v>14006.5440596302</v>
      </c>
      <c r="G22">
        <v>12203.995698577</v>
      </c>
      <c r="H22">
        <v>25439.8549697009</v>
      </c>
      <c r="I22">
        <v>18800.960090398701</v>
      </c>
      <c r="J22">
        <v>1774.3505224891401</v>
      </c>
      <c r="K22">
        <v>1805.79108340163</v>
      </c>
      <c r="L22">
        <v>720.65150871757396</v>
      </c>
      <c r="M22">
        <v>10507.7465110538</v>
      </c>
      <c r="N22">
        <v>2077.2052160337398</v>
      </c>
      <c r="O22">
        <v>616.76358557082597</v>
      </c>
      <c r="P22">
        <v>2065.4311920583</v>
      </c>
      <c r="Q22">
        <v>8650.0590182558608</v>
      </c>
      <c r="R22">
        <v>877.02957665208601</v>
      </c>
      <c r="S22">
        <v>164.448520361058</v>
      </c>
      <c r="T22">
        <v>172.150178206888</v>
      </c>
      <c r="U22">
        <v>157.55513188333799</v>
      </c>
      <c r="V22">
        <v>170.96285372714499</v>
      </c>
      <c r="W22">
        <v>157.20508681717001</v>
      </c>
      <c r="X22">
        <v>155.869187114754</v>
      </c>
      <c r="Y22">
        <v>627.31471913816995</v>
      </c>
      <c r="Z22">
        <v>149.46251667427401</v>
      </c>
      <c r="AA22">
        <v>372.83462240453503</v>
      </c>
      <c r="AB22">
        <v>653.93654235352199</v>
      </c>
      <c r="AC22">
        <v>442.68530449690201</v>
      </c>
      <c r="AD22">
        <v>584.86587408411594</v>
      </c>
      <c r="AE22">
        <v>472.03641404974201</v>
      </c>
      <c r="AF22">
        <v>327.46012829658702</v>
      </c>
      <c r="AG22">
        <v>425.45831001489103</v>
      </c>
    </row>
    <row r="23" spans="1:33" x14ac:dyDescent="0.25">
      <c r="A23" s="1">
        <v>44074</v>
      </c>
      <c r="B23">
        <v>17181.547847540402</v>
      </c>
      <c r="C23">
        <v>11345.4004230673</v>
      </c>
      <c r="D23">
        <v>16019.886916469301</v>
      </c>
      <c r="E23">
        <v>17304.677081959901</v>
      </c>
      <c r="F23">
        <v>13659.258084053299</v>
      </c>
      <c r="G23">
        <v>12074.7498782816</v>
      </c>
      <c r="H23">
        <v>25272.015507518801</v>
      </c>
      <c r="I23">
        <v>18376.4888883817</v>
      </c>
      <c r="J23">
        <v>1754.92405206999</v>
      </c>
      <c r="K23">
        <v>1753.4005953178801</v>
      </c>
      <c r="L23">
        <v>713.90872417864102</v>
      </c>
      <c r="M23">
        <v>10415.008892534001</v>
      </c>
      <c r="N23">
        <v>2150.4043340135399</v>
      </c>
      <c r="O23">
        <v>601.884867871143</v>
      </c>
      <c r="P23">
        <v>1997.4131294282499</v>
      </c>
      <c r="Q23">
        <v>8570.4935217412694</v>
      </c>
      <c r="R23">
        <v>848.19946738558497</v>
      </c>
      <c r="S23">
        <v>164.17848662628899</v>
      </c>
      <c r="T23">
        <v>176.93424950704701</v>
      </c>
      <c r="U23">
        <v>157.52488446533999</v>
      </c>
      <c r="V23">
        <v>177.11345466651699</v>
      </c>
      <c r="W23">
        <v>157.352987669133</v>
      </c>
      <c r="X23">
        <v>157.98540478334201</v>
      </c>
      <c r="Y23">
        <v>638.108031490494</v>
      </c>
      <c r="Z23">
        <v>153.380593419229</v>
      </c>
      <c r="AA23">
        <v>372.872533897739</v>
      </c>
      <c r="AB23">
        <v>672.29389235953897</v>
      </c>
      <c r="AC23">
        <v>444.189957532302</v>
      </c>
      <c r="AD23">
        <v>577.79376226921397</v>
      </c>
      <c r="AE23">
        <v>502.86792274634001</v>
      </c>
      <c r="AF23">
        <v>328.51452418205901</v>
      </c>
      <c r="AG23">
        <v>426.697123843773</v>
      </c>
    </row>
    <row r="24" spans="1:33" x14ac:dyDescent="0.25">
      <c r="A24" s="1">
        <v>44075</v>
      </c>
      <c r="B24">
        <v>17199.842413535302</v>
      </c>
      <c r="C24">
        <v>11131.685993634101</v>
      </c>
      <c r="D24">
        <v>16070.0341272817</v>
      </c>
      <c r="E24">
        <v>17236.190065255199</v>
      </c>
      <c r="F24">
        <v>13392.618994676999</v>
      </c>
      <c r="G24">
        <v>12038.649337616</v>
      </c>
      <c r="H24">
        <v>25036.084968887299</v>
      </c>
      <c r="I24">
        <v>18106.1089964333</v>
      </c>
      <c r="J24">
        <v>1732.8693880453</v>
      </c>
      <c r="K24">
        <v>1687.0298410876901</v>
      </c>
      <c r="L24">
        <v>714.82830514742898</v>
      </c>
      <c r="M24">
        <v>10370.376894045001</v>
      </c>
      <c r="N24">
        <v>2216.4822143081201</v>
      </c>
      <c r="O24">
        <v>604.32039087751195</v>
      </c>
      <c r="P24">
        <v>1898.33762196151</v>
      </c>
      <c r="Q24">
        <v>8547.5079224986894</v>
      </c>
      <c r="R24">
        <v>848.48177022374</v>
      </c>
      <c r="S24">
        <v>163.77623657321701</v>
      </c>
      <c r="T24">
        <v>182.86335881392401</v>
      </c>
      <c r="U24">
        <v>158.19688453982201</v>
      </c>
      <c r="V24">
        <v>181.35846409477401</v>
      </c>
      <c r="W24">
        <v>157.63299954695299</v>
      </c>
      <c r="X24">
        <v>158.020781913663</v>
      </c>
      <c r="Y24">
        <v>631.77374069826897</v>
      </c>
      <c r="Z24">
        <v>156.690921598454</v>
      </c>
      <c r="AA24">
        <v>381.62678086389502</v>
      </c>
      <c r="AB24">
        <v>665.98214466725699</v>
      </c>
      <c r="AC24">
        <v>445.05893229677002</v>
      </c>
      <c r="AD24">
        <v>574.75383974755596</v>
      </c>
      <c r="AE24">
        <v>560.28761977087595</v>
      </c>
      <c r="AF24">
        <v>329.11806539714001</v>
      </c>
      <c r="AG24">
        <v>429.26151735420598</v>
      </c>
    </row>
    <row r="25" spans="1:33" x14ac:dyDescent="0.25">
      <c r="A25" s="1">
        <v>44076</v>
      </c>
      <c r="B25">
        <v>17167.171638868898</v>
      </c>
      <c r="C25">
        <v>10904.8672623246</v>
      </c>
      <c r="D25">
        <v>16071.581860889</v>
      </c>
      <c r="E25">
        <v>17152.368556676502</v>
      </c>
      <c r="F25">
        <v>12866.635496995799</v>
      </c>
      <c r="G25">
        <v>11207.8572404485</v>
      </c>
      <c r="H25">
        <v>24222.0346225582</v>
      </c>
      <c r="I25">
        <v>17810.9639608781</v>
      </c>
      <c r="J25">
        <v>1704.5329891860099</v>
      </c>
      <c r="K25">
        <v>1548.4668015401101</v>
      </c>
      <c r="L25">
        <v>686.45311010229898</v>
      </c>
      <c r="M25">
        <v>9707.5566613507999</v>
      </c>
      <c r="N25">
        <v>1917.7838859964399</v>
      </c>
      <c r="O25">
        <v>546.02033327573895</v>
      </c>
      <c r="P25">
        <v>1729.3001222569701</v>
      </c>
      <c r="Q25">
        <v>7901.6670742987199</v>
      </c>
      <c r="R25">
        <v>773.65273065923304</v>
      </c>
      <c r="S25">
        <v>163.445190173604</v>
      </c>
      <c r="T25">
        <v>177.50460950822699</v>
      </c>
      <c r="U25">
        <v>158.04622063198701</v>
      </c>
      <c r="V25">
        <v>175.19679914061999</v>
      </c>
      <c r="W25">
        <v>157.22170563336201</v>
      </c>
      <c r="X25">
        <v>158.325125916888</v>
      </c>
      <c r="Y25">
        <v>663.57585402680297</v>
      </c>
      <c r="Z25">
        <v>158.35628164543101</v>
      </c>
      <c r="AA25">
        <v>387.45203225488098</v>
      </c>
      <c r="AB25">
        <v>722.39549493588504</v>
      </c>
      <c r="AC25">
        <v>452.94243235880299</v>
      </c>
      <c r="AD25">
        <v>548.52995506704804</v>
      </c>
      <c r="AE25">
        <v>555.23664684127505</v>
      </c>
      <c r="AF25">
        <v>332.04626301056197</v>
      </c>
      <c r="AG25">
        <v>431.48833969869003</v>
      </c>
    </row>
    <row r="26" spans="1:33" x14ac:dyDescent="0.25">
      <c r="A26" s="1">
        <v>44077</v>
      </c>
      <c r="B26">
        <v>17089.209456504599</v>
      </c>
      <c r="C26">
        <v>10654.735356678601</v>
      </c>
      <c r="D26">
        <v>16059.0982312002</v>
      </c>
      <c r="E26">
        <v>17050.963660001002</v>
      </c>
      <c r="F26">
        <v>12036.9899205694</v>
      </c>
      <c r="G26">
        <v>10481.0930486124</v>
      </c>
      <c r="H26">
        <v>23637.2119102016</v>
      </c>
      <c r="I26">
        <v>17355.662376975699</v>
      </c>
      <c r="J26">
        <v>1674.84072804985</v>
      </c>
      <c r="K26">
        <v>1426.1578169218301</v>
      </c>
      <c r="L26">
        <v>638.70674299612995</v>
      </c>
      <c r="M26">
        <v>9008.1221070370302</v>
      </c>
      <c r="N26">
        <v>1550.97444236209</v>
      </c>
      <c r="O26">
        <v>497.07714040133101</v>
      </c>
      <c r="P26">
        <v>1564.56835049504</v>
      </c>
      <c r="Q26">
        <v>7242.97962033569</v>
      </c>
      <c r="R26">
        <v>702.19188497978803</v>
      </c>
      <c r="S26">
        <v>163.30653626761699</v>
      </c>
      <c r="T26">
        <v>170.77497654673601</v>
      </c>
      <c r="U26">
        <v>158.51101262864401</v>
      </c>
      <c r="V26">
        <v>169.79345194797199</v>
      </c>
      <c r="W26">
        <v>158.127395696859</v>
      </c>
      <c r="X26">
        <v>158.098084049844</v>
      </c>
      <c r="Y26">
        <v>656.20412446123203</v>
      </c>
      <c r="Z26">
        <v>158.86958398003401</v>
      </c>
      <c r="AA26">
        <v>382.46786138529501</v>
      </c>
      <c r="AB26">
        <v>716.66566559979503</v>
      </c>
      <c r="AC26">
        <v>473.49918006338402</v>
      </c>
      <c r="AD26">
        <v>516.12377300467699</v>
      </c>
      <c r="AE26">
        <v>547.46421180917605</v>
      </c>
      <c r="AF26">
        <v>336.94150549970902</v>
      </c>
      <c r="AG26">
        <v>438.366685081056</v>
      </c>
    </row>
    <row r="27" spans="1:33" x14ac:dyDescent="0.25">
      <c r="A27" s="1">
        <v>44078</v>
      </c>
      <c r="B27">
        <v>16988.3943091236</v>
      </c>
      <c r="C27">
        <v>10417.886162991899</v>
      </c>
      <c r="D27">
        <v>16051.094097711401</v>
      </c>
      <c r="E27">
        <v>16949.202522089901</v>
      </c>
      <c r="F27">
        <v>11251.425617642601</v>
      </c>
      <c r="G27">
        <v>9835.6815975105492</v>
      </c>
      <c r="H27">
        <v>23110.405479003399</v>
      </c>
      <c r="I27">
        <v>16978.321280682099</v>
      </c>
      <c r="J27">
        <v>1642.0372567894101</v>
      </c>
      <c r="K27">
        <v>1315.4477687768599</v>
      </c>
      <c r="L27">
        <v>595.182476991258</v>
      </c>
      <c r="M27">
        <v>8437.3134342041903</v>
      </c>
      <c r="N27">
        <v>1276.7764554604601</v>
      </c>
      <c r="O27">
        <v>455.00911649335501</v>
      </c>
      <c r="P27">
        <v>1435.62110365842</v>
      </c>
      <c r="Q27">
        <v>6669.72280909862</v>
      </c>
      <c r="R27">
        <v>645.47515166776304</v>
      </c>
      <c r="S27">
        <v>163.23518244380901</v>
      </c>
      <c r="T27">
        <v>167.22409321148299</v>
      </c>
      <c r="U27">
        <v>156.66905662829799</v>
      </c>
      <c r="V27">
        <v>166.01231155341799</v>
      </c>
      <c r="W27">
        <v>155.64171944532001</v>
      </c>
      <c r="X27">
        <v>158.63927761354901</v>
      </c>
      <c r="Y27">
        <v>653.87826342976905</v>
      </c>
      <c r="Z27">
        <v>159.54798578262501</v>
      </c>
      <c r="AA27">
        <v>382.85057825923298</v>
      </c>
      <c r="AB27">
        <v>722.72723332383805</v>
      </c>
      <c r="AC27">
        <v>497.172980423345</v>
      </c>
      <c r="AD27">
        <v>486.79692868470499</v>
      </c>
      <c r="AE27">
        <v>542.31045031459098</v>
      </c>
      <c r="AF27">
        <v>341.97688292592301</v>
      </c>
      <c r="AG27">
        <v>434.63331828647398</v>
      </c>
    </row>
    <row r="28" spans="1:33" x14ac:dyDescent="0.25">
      <c r="A28" s="1">
        <v>44079</v>
      </c>
      <c r="B28">
        <v>16899.654852470499</v>
      </c>
      <c r="C28">
        <v>10019.328012513901</v>
      </c>
      <c r="D28">
        <v>16018.5111274427</v>
      </c>
      <c r="E28">
        <v>16837.675655894</v>
      </c>
      <c r="F28">
        <v>10559.0250120529</v>
      </c>
      <c r="G28">
        <v>9274.76363665184</v>
      </c>
      <c r="H28">
        <v>22494.043252425701</v>
      </c>
      <c r="I28">
        <v>16511.112803903401</v>
      </c>
      <c r="J28">
        <v>1607.37625746135</v>
      </c>
      <c r="K28">
        <v>1224.1879801682701</v>
      </c>
      <c r="L28">
        <v>554.32116761224097</v>
      </c>
      <c r="M28">
        <v>7858.3549027542904</v>
      </c>
      <c r="N28">
        <v>1031.40640196954</v>
      </c>
      <c r="O28">
        <v>387.484619514766</v>
      </c>
      <c r="P28">
        <v>1332.2069592703999</v>
      </c>
      <c r="Q28">
        <v>6018.8861706613197</v>
      </c>
      <c r="R28">
        <v>573.15755448155005</v>
      </c>
      <c r="S28">
        <v>163.326641109928</v>
      </c>
      <c r="T28">
        <v>163.71336043424401</v>
      </c>
      <c r="U28">
        <v>157.101961782215</v>
      </c>
      <c r="V28">
        <v>160.80975024778101</v>
      </c>
      <c r="W28">
        <v>156.51759631221501</v>
      </c>
      <c r="X28">
        <v>156.931977897466</v>
      </c>
      <c r="Y28">
        <v>656.57718338934205</v>
      </c>
      <c r="Z28">
        <v>159.98525548475001</v>
      </c>
      <c r="AA28">
        <v>391.81962445131899</v>
      </c>
      <c r="AB28">
        <v>712.04217735665304</v>
      </c>
      <c r="AC28">
        <v>523.97496146135495</v>
      </c>
      <c r="AD28">
        <v>459.05695923511797</v>
      </c>
      <c r="AE28">
        <v>541.73316735448395</v>
      </c>
      <c r="AF28">
        <v>347.991616413278</v>
      </c>
      <c r="AG28">
        <v>431.94209542569399</v>
      </c>
    </row>
    <row r="29" spans="1:33" x14ac:dyDescent="0.25">
      <c r="A29" s="1">
        <v>44080</v>
      </c>
      <c r="B29">
        <v>16823.076962402301</v>
      </c>
      <c r="C29">
        <v>9535.8448185318994</v>
      </c>
      <c r="D29">
        <v>16005.7557572151</v>
      </c>
      <c r="E29">
        <v>16687.5051240383</v>
      </c>
      <c r="F29">
        <v>10194.914363685601</v>
      </c>
      <c r="G29">
        <v>9294.4298469817204</v>
      </c>
      <c r="H29">
        <v>22731.710926382901</v>
      </c>
      <c r="I29">
        <v>16060.037921495399</v>
      </c>
      <c r="J29">
        <v>1572.91295788463</v>
      </c>
      <c r="K29">
        <v>1166.5341500401901</v>
      </c>
      <c r="L29">
        <v>509.82436044734601</v>
      </c>
      <c r="M29">
        <v>7756.3053375360096</v>
      </c>
      <c r="N29">
        <v>977.73898963284603</v>
      </c>
      <c r="O29">
        <v>360.61903289661501</v>
      </c>
      <c r="P29">
        <v>1265.79220465708</v>
      </c>
      <c r="Q29">
        <v>5831.9421117700103</v>
      </c>
      <c r="R29">
        <v>531.164656765259</v>
      </c>
      <c r="S29">
        <v>163.459830918368</v>
      </c>
      <c r="T29">
        <v>161.97777234422799</v>
      </c>
      <c r="U29">
        <v>155.79201818982401</v>
      </c>
      <c r="V29">
        <v>160.15935051547001</v>
      </c>
      <c r="W29">
        <v>155.41911596258899</v>
      </c>
      <c r="X29">
        <v>157.22616953548601</v>
      </c>
      <c r="Y29">
        <v>666.05594125532696</v>
      </c>
      <c r="Z29">
        <v>160.43758119386899</v>
      </c>
      <c r="AA29">
        <v>392.32816824263801</v>
      </c>
      <c r="AB29">
        <v>703.88554882731898</v>
      </c>
      <c r="AC29">
        <v>543.538791548586</v>
      </c>
      <c r="AD29">
        <v>432.52139775076103</v>
      </c>
      <c r="AE29">
        <v>572.72137006413402</v>
      </c>
      <c r="AF29">
        <v>352.31687414056103</v>
      </c>
      <c r="AG29">
        <v>433.29278147208697</v>
      </c>
    </row>
    <row r="30" spans="1:33" x14ac:dyDescent="0.25">
      <c r="A30" s="1">
        <v>44081</v>
      </c>
      <c r="B30">
        <v>16711.134922884899</v>
      </c>
      <c r="C30">
        <v>9063.6631025148108</v>
      </c>
      <c r="D30">
        <v>16037.314186207401</v>
      </c>
      <c r="E30">
        <v>16482.124991326</v>
      </c>
      <c r="F30">
        <v>10421.177101678601</v>
      </c>
      <c r="G30">
        <v>9885.0418834756802</v>
      </c>
      <c r="H30">
        <v>24369.917939420699</v>
      </c>
      <c r="I30">
        <v>15604.8979172378</v>
      </c>
      <c r="J30">
        <v>1545.8720500888801</v>
      </c>
      <c r="K30">
        <v>1133.87228542807</v>
      </c>
      <c r="L30">
        <v>480.83877856966501</v>
      </c>
      <c r="M30">
        <v>8169.1537177535301</v>
      </c>
      <c r="N30">
        <v>1073.5625997765701</v>
      </c>
      <c r="O30">
        <v>364.37267279667901</v>
      </c>
      <c r="P30">
        <v>1238.9931389625201</v>
      </c>
      <c r="Q30">
        <v>6285.4722662681097</v>
      </c>
      <c r="R30">
        <v>528.17754809193502</v>
      </c>
      <c r="S30">
        <v>164.62450256587201</v>
      </c>
      <c r="T30">
        <v>161.459037879379</v>
      </c>
      <c r="U30">
        <v>156.568847987851</v>
      </c>
      <c r="V30">
        <v>160.41725339043899</v>
      </c>
      <c r="W30">
        <v>156.63200677272999</v>
      </c>
      <c r="X30">
        <v>156.828191679149</v>
      </c>
      <c r="Y30">
        <v>670.11106104717896</v>
      </c>
      <c r="Z30">
        <v>159.99088124382899</v>
      </c>
      <c r="AA30">
        <v>394.24623706870898</v>
      </c>
      <c r="AB30">
        <v>714.85023365336099</v>
      </c>
      <c r="AC30">
        <v>555.23587046038097</v>
      </c>
      <c r="AD30">
        <v>413.32696755009101</v>
      </c>
      <c r="AE30">
        <v>574.47636745095099</v>
      </c>
      <c r="AF30">
        <v>354.50608937260603</v>
      </c>
      <c r="AG30">
        <v>435.75695394536899</v>
      </c>
    </row>
    <row r="31" spans="1:33" x14ac:dyDescent="0.25">
      <c r="A31" s="1">
        <v>44082</v>
      </c>
      <c r="B31">
        <v>16574.137282629701</v>
      </c>
      <c r="C31">
        <v>8301.9170929921002</v>
      </c>
      <c r="D31">
        <v>15982.1197608242</v>
      </c>
      <c r="E31">
        <v>16346.9346208934</v>
      </c>
      <c r="F31">
        <v>10811.402237926201</v>
      </c>
      <c r="G31">
        <v>10090.0869847757</v>
      </c>
      <c r="H31">
        <v>24372.185093775501</v>
      </c>
      <c r="I31">
        <v>15306.3717509708</v>
      </c>
      <c r="J31">
        <v>1523.9104014493901</v>
      </c>
      <c r="K31">
        <v>1073.94722210449</v>
      </c>
      <c r="L31">
        <v>453.12305065189099</v>
      </c>
      <c r="M31">
        <v>7899.6323568809503</v>
      </c>
      <c r="N31">
        <v>812.62968399037197</v>
      </c>
      <c r="O31">
        <v>399.155329284586</v>
      </c>
      <c r="P31">
        <v>1158.32191956725</v>
      </c>
      <c r="Q31">
        <v>5979.6789902406399</v>
      </c>
      <c r="R31">
        <v>530.1986375701</v>
      </c>
      <c r="S31">
        <v>168.94551628092299</v>
      </c>
      <c r="T31">
        <v>160.18518817562099</v>
      </c>
      <c r="U31">
        <v>155.690091974003</v>
      </c>
      <c r="V31">
        <v>158.35033108617</v>
      </c>
      <c r="W31">
        <v>158.355517796328</v>
      </c>
      <c r="X31">
        <v>157.49282839617999</v>
      </c>
      <c r="Y31">
        <v>669.38803992193505</v>
      </c>
      <c r="Z31">
        <v>158.55219838984499</v>
      </c>
      <c r="AA31">
        <v>398.41837107806799</v>
      </c>
      <c r="AB31">
        <v>719.41952824576003</v>
      </c>
      <c r="AC31">
        <v>563.13196815905303</v>
      </c>
      <c r="AD31">
        <v>393.27842666363102</v>
      </c>
      <c r="AE31">
        <v>603.97595963208198</v>
      </c>
      <c r="AF31">
        <v>357.30258813679598</v>
      </c>
      <c r="AG31">
        <v>434.60748896126501</v>
      </c>
    </row>
    <row r="32" spans="1:33" x14ac:dyDescent="0.25">
      <c r="A32" s="1">
        <v>44083</v>
      </c>
      <c r="B32">
        <v>16416.156571216601</v>
      </c>
      <c r="C32">
        <v>6981.6268720428297</v>
      </c>
      <c r="D32">
        <v>15655.9052490379</v>
      </c>
      <c r="E32">
        <v>16234.485221798799</v>
      </c>
      <c r="F32">
        <v>10687.6952871172</v>
      </c>
      <c r="G32">
        <v>9949.9662098439803</v>
      </c>
      <c r="H32">
        <v>25619.648226006</v>
      </c>
      <c r="I32">
        <v>15324.983138928101</v>
      </c>
      <c r="J32">
        <v>1507.5590437293899</v>
      </c>
      <c r="K32">
        <v>1052.6338349555599</v>
      </c>
      <c r="L32">
        <v>422.793791381267</v>
      </c>
      <c r="M32">
        <v>8305.0852000958294</v>
      </c>
      <c r="N32">
        <v>838.533525346072</v>
      </c>
      <c r="O32">
        <v>382.43581797839801</v>
      </c>
      <c r="P32">
        <v>1133.8038616915501</v>
      </c>
      <c r="Q32">
        <v>6211.4298368724903</v>
      </c>
      <c r="R32">
        <v>517.46956261501805</v>
      </c>
      <c r="S32">
        <v>175.10100034647601</v>
      </c>
      <c r="T32">
        <v>160.216772771932</v>
      </c>
      <c r="U32">
        <v>156.28833543731901</v>
      </c>
      <c r="V32">
        <v>159.08658995896701</v>
      </c>
      <c r="W32">
        <v>159.29444718167599</v>
      </c>
      <c r="X32">
        <v>157.56134453527301</v>
      </c>
      <c r="Y32">
        <v>648.782330767654</v>
      </c>
      <c r="Z32">
        <v>158.161883640832</v>
      </c>
      <c r="AA32">
        <v>385.14023329502101</v>
      </c>
      <c r="AB32">
        <v>745.49601418578595</v>
      </c>
      <c r="AC32">
        <v>563.76834244452596</v>
      </c>
      <c r="AD32">
        <v>373.36845607362</v>
      </c>
      <c r="AE32">
        <v>583.95534136007302</v>
      </c>
      <c r="AF32">
        <v>365.87685049116101</v>
      </c>
      <c r="AG32">
        <v>432.66357485531199</v>
      </c>
    </row>
    <row r="33" spans="1:33" x14ac:dyDescent="0.25">
      <c r="A33" s="1">
        <v>44084</v>
      </c>
      <c r="B33">
        <v>16300.9852762511</v>
      </c>
      <c r="C33">
        <v>6132.1447607919899</v>
      </c>
      <c r="D33">
        <v>14161.460461008701</v>
      </c>
      <c r="E33">
        <v>16211.943287104599</v>
      </c>
      <c r="F33">
        <v>10393.7399786238</v>
      </c>
      <c r="G33">
        <v>9328.5314376216902</v>
      </c>
      <c r="H33">
        <v>24948.793910418801</v>
      </c>
      <c r="I33">
        <v>15603.784568188899</v>
      </c>
      <c r="J33">
        <v>1486.1207858732801</v>
      </c>
      <c r="K33">
        <v>998.75478646089903</v>
      </c>
      <c r="L33">
        <v>420.32282736024399</v>
      </c>
      <c r="M33">
        <v>7786.6378995087998</v>
      </c>
      <c r="N33">
        <v>775.551023955348</v>
      </c>
      <c r="O33">
        <v>326.58686653936599</v>
      </c>
      <c r="P33">
        <v>1066.83312101308</v>
      </c>
      <c r="Q33">
        <v>5689.1308924306604</v>
      </c>
      <c r="R33">
        <v>474.65125588777801</v>
      </c>
      <c r="S33">
        <v>183.69023901145701</v>
      </c>
      <c r="T33">
        <v>160.64571511973</v>
      </c>
      <c r="U33">
        <v>160.65865160408299</v>
      </c>
      <c r="V33">
        <v>160.58842343812799</v>
      </c>
      <c r="W33">
        <v>162.00734347858699</v>
      </c>
      <c r="X33">
        <v>158.08980408093501</v>
      </c>
      <c r="Y33">
        <v>647.944395657418</v>
      </c>
      <c r="Z33">
        <v>157.13200167315901</v>
      </c>
      <c r="AA33">
        <v>379.24783845064098</v>
      </c>
      <c r="AB33">
        <v>735.72007436927595</v>
      </c>
      <c r="AC33">
        <v>564.52488106035696</v>
      </c>
      <c r="AD33">
        <v>358.76818519230102</v>
      </c>
      <c r="AE33">
        <v>583.55215190099295</v>
      </c>
      <c r="AF33">
        <v>371.83800832818099</v>
      </c>
      <c r="AG33">
        <v>430.44317963833902</v>
      </c>
    </row>
    <row r="34" spans="1:33" x14ac:dyDescent="0.25">
      <c r="A34" s="1">
        <v>44085</v>
      </c>
      <c r="B34">
        <v>16232.775043076001</v>
      </c>
      <c r="C34">
        <v>5626.7836618912097</v>
      </c>
      <c r="D34">
        <v>12057.426114436499</v>
      </c>
      <c r="E34">
        <v>16083.852845249299</v>
      </c>
      <c r="F34">
        <v>10056.1833279038</v>
      </c>
      <c r="G34">
        <v>9082.8031055109896</v>
      </c>
      <c r="H34">
        <v>24687.113147947501</v>
      </c>
      <c r="I34">
        <v>15480.082034585699</v>
      </c>
      <c r="J34">
        <v>1453.73646545321</v>
      </c>
      <c r="K34">
        <v>946.22358292884803</v>
      </c>
      <c r="L34">
        <v>408.50938601292802</v>
      </c>
      <c r="M34">
        <v>7581.0213646583197</v>
      </c>
      <c r="N34">
        <v>801.35421316254303</v>
      </c>
      <c r="O34">
        <v>314.134257502016</v>
      </c>
      <c r="P34">
        <v>1009.05921214669</v>
      </c>
      <c r="Q34">
        <v>5593.9192638997001</v>
      </c>
      <c r="R34">
        <v>455.05406025072</v>
      </c>
      <c r="S34">
        <v>199.78508271688</v>
      </c>
      <c r="T34">
        <v>162.45809802108701</v>
      </c>
      <c r="U34">
        <v>154.611007929441</v>
      </c>
      <c r="V34">
        <v>164.452542175725</v>
      </c>
      <c r="W34">
        <v>154.81983944910601</v>
      </c>
      <c r="X34">
        <v>161.02356293749301</v>
      </c>
      <c r="Y34">
        <v>656.51386840400698</v>
      </c>
      <c r="Z34">
        <v>157.454997242345</v>
      </c>
      <c r="AA34">
        <v>374.67216825629998</v>
      </c>
      <c r="AB34">
        <v>713.30827597544305</v>
      </c>
      <c r="AC34">
        <v>567.06183306123603</v>
      </c>
      <c r="AD34">
        <v>347.595169507734</v>
      </c>
      <c r="AE34">
        <v>543.74853198006394</v>
      </c>
      <c r="AF34">
        <v>377.68083106420198</v>
      </c>
      <c r="AG34">
        <v>423.57687964398201</v>
      </c>
    </row>
    <row r="35" spans="1:33" x14ac:dyDescent="0.25">
      <c r="A35" s="1">
        <v>44086</v>
      </c>
      <c r="B35">
        <v>16060.443443120201</v>
      </c>
      <c r="C35">
        <v>5536.2029184678104</v>
      </c>
      <c r="D35">
        <v>10408.776390531601</v>
      </c>
      <c r="E35">
        <v>15665.025290032299</v>
      </c>
      <c r="F35">
        <v>10105.086099350299</v>
      </c>
      <c r="G35">
        <v>9484.9923866684003</v>
      </c>
      <c r="H35">
        <v>24848.358979252898</v>
      </c>
      <c r="I35">
        <v>15081.0228025862</v>
      </c>
      <c r="J35">
        <v>1413.3663134394201</v>
      </c>
      <c r="K35">
        <v>914.96011799118003</v>
      </c>
      <c r="L35">
        <v>398.43834793433001</v>
      </c>
      <c r="M35">
        <v>7866.2031448603802</v>
      </c>
      <c r="N35">
        <v>939.76130878547701</v>
      </c>
      <c r="O35">
        <v>326.514092107186</v>
      </c>
      <c r="P35">
        <v>1006.86067545602</v>
      </c>
      <c r="Q35">
        <v>5900.2004163718902</v>
      </c>
      <c r="R35">
        <v>455.94829224493901</v>
      </c>
      <c r="S35">
        <v>209.55009967795201</v>
      </c>
      <c r="T35">
        <v>163.964667145167</v>
      </c>
      <c r="U35">
        <v>152.19383110435601</v>
      </c>
      <c r="V35">
        <v>165.85568427337199</v>
      </c>
      <c r="W35">
        <v>156.88379203896</v>
      </c>
      <c r="X35">
        <v>159.78296871428901</v>
      </c>
      <c r="Y35">
        <v>656.48252998926796</v>
      </c>
      <c r="Z35">
        <v>157.64967558322701</v>
      </c>
      <c r="AA35">
        <v>372.03242081344803</v>
      </c>
      <c r="AB35">
        <v>698.13015439065202</v>
      </c>
      <c r="AC35">
        <v>568.52949461026503</v>
      </c>
      <c r="AD35">
        <v>340.59925573079801</v>
      </c>
      <c r="AE35">
        <v>530.64659883040895</v>
      </c>
      <c r="AF35">
        <v>380.17287839885802</v>
      </c>
      <c r="AG35">
        <v>423.4150675198</v>
      </c>
    </row>
    <row r="36" spans="1:33" x14ac:dyDescent="0.25">
      <c r="A36" s="1">
        <v>44087</v>
      </c>
      <c r="B36">
        <v>15651.9545568212</v>
      </c>
      <c r="C36">
        <v>5826.9834058345696</v>
      </c>
      <c r="D36">
        <v>9060.8250870831398</v>
      </c>
      <c r="E36">
        <v>14871.544204518301</v>
      </c>
      <c r="F36">
        <v>10538.362613543701</v>
      </c>
      <c r="G36">
        <v>9778.1210850520092</v>
      </c>
      <c r="H36">
        <v>24870.3971944474</v>
      </c>
      <c r="I36">
        <v>14762.829823477799</v>
      </c>
      <c r="J36">
        <v>1361.4821216640401</v>
      </c>
      <c r="K36">
        <v>890.54898079949101</v>
      </c>
      <c r="L36">
        <v>395.244823678123</v>
      </c>
      <c r="M36">
        <v>8159.0086375484198</v>
      </c>
      <c r="N36">
        <v>1093.7254630995501</v>
      </c>
      <c r="O36">
        <v>350.12945394704502</v>
      </c>
      <c r="P36">
        <v>982.99237233171095</v>
      </c>
      <c r="Q36">
        <v>6187.1097911241704</v>
      </c>
      <c r="R36">
        <v>465.22564414969702</v>
      </c>
      <c r="S36">
        <v>207.395198561863</v>
      </c>
      <c r="T36">
        <v>165.64267383430601</v>
      </c>
      <c r="U36">
        <v>155.52778990756599</v>
      </c>
      <c r="V36">
        <v>163.954929687434</v>
      </c>
      <c r="W36">
        <v>155.88650932687901</v>
      </c>
      <c r="X36">
        <v>155.107449674452</v>
      </c>
      <c r="Y36">
        <v>644.38658512253596</v>
      </c>
      <c r="Z36">
        <v>158.578166968923</v>
      </c>
      <c r="AA36">
        <v>368.773226884525</v>
      </c>
      <c r="AB36">
        <v>689.81844068719295</v>
      </c>
      <c r="AC36">
        <v>569.97476537551302</v>
      </c>
      <c r="AD36">
        <v>339.40895079081298</v>
      </c>
      <c r="AE36">
        <v>505.27964069542401</v>
      </c>
      <c r="AF36">
        <v>382.12716969045101</v>
      </c>
      <c r="AG36">
        <v>425.09840335498399</v>
      </c>
    </row>
    <row r="37" spans="1:33" x14ac:dyDescent="0.25">
      <c r="A37" s="1">
        <v>44088</v>
      </c>
      <c r="B37">
        <v>14951.912599036799</v>
      </c>
      <c r="C37">
        <v>6106.1352806166296</v>
      </c>
      <c r="D37">
        <v>8077.0802672548898</v>
      </c>
      <c r="E37">
        <v>13824.9815974627</v>
      </c>
      <c r="F37">
        <v>10770.609489131</v>
      </c>
      <c r="G37">
        <v>9517.7587997052706</v>
      </c>
      <c r="H37">
        <v>23685.989817803798</v>
      </c>
      <c r="I37">
        <v>14672.9692722031</v>
      </c>
      <c r="J37">
        <v>1310.3366690448599</v>
      </c>
      <c r="K37">
        <v>849.86837739196301</v>
      </c>
      <c r="L37">
        <v>393.57071989955102</v>
      </c>
      <c r="M37">
        <v>7874.1795614157099</v>
      </c>
      <c r="N37">
        <v>1160.9683107291501</v>
      </c>
      <c r="O37">
        <v>343.76304525199703</v>
      </c>
      <c r="P37">
        <v>933.28905767265303</v>
      </c>
      <c r="Q37">
        <v>6082.8741095548303</v>
      </c>
      <c r="R37">
        <v>449.39930988146801</v>
      </c>
      <c r="S37">
        <v>210.732582190529</v>
      </c>
      <c r="T37">
        <v>168.91521777874499</v>
      </c>
      <c r="U37">
        <v>149.63171734206099</v>
      </c>
      <c r="V37">
        <v>169.772088380946</v>
      </c>
      <c r="W37">
        <v>146.84774769728</v>
      </c>
      <c r="X37">
        <v>159.55687300147699</v>
      </c>
      <c r="Y37">
        <v>627.78851178530397</v>
      </c>
      <c r="Z37">
        <v>159.01599375664799</v>
      </c>
      <c r="AA37">
        <v>363.61810184692001</v>
      </c>
      <c r="AB37">
        <v>685.54295765943095</v>
      </c>
      <c r="AC37">
        <v>572.00984878269196</v>
      </c>
      <c r="AD37">
        <v>336.76908992770399</v>
      </c>
      <c r="AE37">
        <v>514.05102609532003</v>
      </c>
      <c r="AF37">
        <v>391.22516218338399</v>
      </c>
      <c r="AG37">
        <v>422.55847677003101</v>
      </c>
    </row>
    <row r="38" spans="1:33" x14ac:dyDescent="0.25">
      <c r="A38" s="1">
        <v>44089</v>
      </c>
      <c r="B38">
        <v>13979.2001392334</v>
      </c>
      <c r="C38">
        <v>5612.5208497694202</v>
      </c>
      <c r="D38">
        <v>7499.3333344830698</v>
      </c>
      <c r="E38">
        <v>12686.241654089299</v>
      </c>
      <c r="F38">
        <v>10560.2019843587</v>
      </c>
      <c r="G38">
        <v>9167.0036147818391</v>
      </c>
      <c r="H38">
        <v>22579.205275385</v>
      </c>
      <c r="I38">
        <v>14507.253414447299</v>
      </c>
      <c r="J38">
        <v>1259.1267792961901</v>
      </c>
      <c r="K38">
        <v>811.42965682821398</v>
      </c>
      <c r="L38">
        <v>383.70966542157902</v>
      </c>
      <c r="M38">
        <v>7598.2491267858504</v>
      </c>
      <c r="N38">
        <v>1169.38625147221</v>
      </c>
      <c r="O38">
        <v>330.698843096882</v>
      </c>
      <c r="P38">
        <v>884.96031946279095</v>
      </c>
      <c r="Q38">
        <v>5796.8689490598999</v>
      </c>
      <c r="R38">
        <v>428.98047718421998</v>
      </c>
      <c r="S38">
        <v>219.714628057645</v>
      </c>
      <c r="T38">
        <v>167.89431506585399</v>
      </c>
      <c r="U38">
        <v>148.19051294702601</v>
      </c>
      <c r="V38">
        <v>165.943904562119</v>
      </c>
      <c r="W38">
        <v>151.40357147000401</v>
      </c>
      <c r="X38">
        <v>154.727737808505</v>
      </c>
      <c r="Y38">
        <v>622.23913966302996</v>
      </c>
      <c r="Z38">
        <v>156.537070873603</v>
      </c>
      <c r="AA38">
        <v>352.80922730815001</v>
      </c>
      <c r="AB38">
        <v>643.99398593008004</v>
      </c>
      <c r="AC38">
        <v>572.83571378597105</v>
      </c>
      <c r="AD38">
        <v>327.608321107569</v>
      </c>
      <c r="AE38">
        <v>536.82454627154198</v>
      </c>
      <c r="AF38">
        <v>403.18687611316398</v>
      </c>
      <c r="AG38">
        <v>414.22022992365697</v>
      </c>
    </row>
    <row r="39" spans="1:33" x14ac:dyDescent="0.25">
      <c r="A39" s="1">
        <v>44090</v>
      </c>
      <c r="B39">
        <v>12764.9963249518</v>
      </c>
      <c r="C39">
        <v>4932.7283416810496</v>
      </c>
      <c r="D39">
        <v>7241.4712388901899</v>
      </c>
      <c r="E39">
        <v>11596.5325153092</v>
      </c>
      <c r="F39">
        <v>10348.647757943099</v>
      </c>
      <c r="G39">
        <v>9279.37107369158</v>
      </c>
      <c r="H39">
        <v>22193.060219310501</v>
      </c>
      <c r="I39">
        <v>14246.710014472101</v>
      </c>
      <c r="J39">
        <v>1207.59907077093</v>
      </c>
      <c r="K39">
        <v>788.18966969450901</v>
      </c>
      <c r="L39">
        <v>370.32337189959401</v>
      </c>
      <c r="M39">
        <v>7663.1803606881103</v>
      </c>
      <c r="N39">
        <v>1227.91173374343</v>
      </c>
      <c r="O39">
        <v>321.45078609822298</v>
      </c>
      <c r="P39">
        <v>870.37695685757001</v>
      </c>
      <c r="Q39">
        <v>5813.1042445944904</v>
      </c>
      <c r="R39">
        <v>412.015033428317</v>
      </c>
      <c r="S39">
        <v>226.93085579332299</v>
      </c>
      <c r="T39">
        <v>166.54839218856401</v>
      </c>
      <c r="U39">
        <v>151.29084240240201</v>
      </c>
      <c r="V39">
        <v>163.56805641114099</v>
      </c>
      <c r="W39">
        <v>154.95986075917301</v>
      </c>
      <c r="X39">
        <v>151.52411453193599</v>
      </c>
      <c r="Y39">
        <v>604.83061687288705</v>
      </c>
      <c r="Z39">
        <v>155.59548893826701</v>
      </c>
      <c r="AA39">
        <v>339.25936516857701</v>
      </c>
      <c r="AB39">
        <v>610.06892278292401</v>
      </c>
      <c r="AC39">
        <v>571.73590910517396</v>
      </c>
      <c r="AD39">
        <v>318.86041152783599</v>
      </c>
      <c r="AE39">
        <v>532.14098080398401</v>
      </c>
      <c r="AF39">
        <v>412.313583566847</v>
      </c>
      <c r="AG39">
        <v>399.88940175802702</v>
      </c>
    </row>
    <row r="40" spans="1:33" x14ac:dyDescent="0.25">
      <c r="A40" s="1">
        <v>44091</v>
      </c>
      <c r="B40">
        <v>11541.9584037288</v>
      </c>
      <c r="C40">
        <v>4854.8739923151998</v>
      </c>
      <c r="D40">
        <v>6989.6582473421104</v>
      </c>
      <c r="E40">
        <v>10713.5383921786</v>
      </c>
      <c r="F40">
        <v>10458.4177695009</v>
      </c>
      <c r="G40">
        <v>9818.3144984816699</v>
      </c>
      <c r="H40">
        <v>22346.646402685299</v>
      </c>
      <c r="I40">
        <v>14098.283671577101</v>
      </c>
      <c r="J40">
        <v>1161.6121074538601</v>
      </c>
      <c r="K40">
        <v>783.29282817249702</v>
      </c>
      <c r="L40">
        <v>362.58038844291099</v>
      </c>
      <c r="M40">
        <v>8063.6276445695103</v>
      </c>
      <c r="N40">
        <v>1402.7250271529299</v>
      </c>
      <c r="O40">
        <v>326.368781363116</v>
      </c>
      <c r="P40">
        <v>878.16648369827703</v>
      </c>
      <c r="Q40">
        <v>6213.0204229084602</v>
      </c>
      <c r="R40">
        <v>410.82530402141299</v>
      </c>
      <c r="S40">
        <v>226.10451072582401</v>
      </c>
      <c r="T40">
        <v>168.311158635678</v>
      </c>
      <c r="U40">
        <v>154.29317775710399</v>
      </c>
      <c r="V40">
        <v>170.72040956147799</v>
      </c>
      <c r="W40">
        <v>152.06602026287101</v>
      </c>
      <c r="X40">
        <v>156.45787809235901</v>
      </c>
      <c r="Y40">
        <v>579.59583017437205</v>
      </c>
      <c r="Z40">
        <v>154.624897598546</v>
      </c>
      <c r="AA40">
        <v>329.36114734605701</v>
      </c>
      <c r="AB40">
        <v>581.94983942914303</v>
      </c>
      <c r="AC40">
        <v>570.51988775344603</v>
      </c>
      <c r="AD40">
        <v>313.449523237937</v>
      </c>
      <c r="AE40">
        <v>569.15511684108901</v>
      </c>
      <c r="AF40">
        <v>416.40567334913499</v>
      </c>
      <c r="AG40">
        <v>385.09658136729001</v>
      </c>
    </row>
    <row r="41" spans="1:33" x14ac:dyDescent="0.25">
      <c r="A41" s="1">
        <v>44092</v>
      </c>
      <c r="B41">
        <v>10518.120925360099</v>
      </c>
      <c r="C41">
        <v>5224.7094123520301</v>
      </c>
      <c r="D41">
        <v>6664.6159762556899</v>
      </c>
      <c r="E41">
        <v>10035.739033943</v>
      </c>
      <c r="F41">
        <v>10698.5459820052</v>
      </c>
      <c r="G41">
        <v>10134.3416091334</v>
      </c>
      <c r="H41">
        <v>22583.6147139522</v>
      </c>
      <c r="I41">
        <v>14082.6992399911</v>
      </c>
      <c r="J41">
        <v>1126.18289192822</v>
      </c>
      <c r="K41">
        <v>779.09400461978703</v>
      </c>
      <c r="L41">
        <v>357.54863306303298</v>
      </c>
      <c r="M41">
        <v>8417.0974588402096</v>
      </c>
      <c r="N41">
        <v>1543.9743238282399</v>
      </c>
      <c r="O41">
        <v>333.74452860862999</v>
      </c>
      <c r="P41">
        <v>882.90304365356303</v>
      </c>
      <c r="Q41">
        <v>6537.3178102689599</v>
      </c>
      <c r="R41">
        <v>410.95021173197898</v>
      </c>
      <c r="S41">
        <v>220.083357013415</v>
      </c>
      <c r="T41">
        <v>170.761230001028</v>
      </c>
      <c r="U41">
        <v>150.14576629477</v>
      </c>
      <c r="V41">
        <v>174.69992009080801</v>
      </c>
      <c r="W41">
        <v>154.44675251422899</v>
      </c>
      <c r="X41">
        <v>158.884751856111</v>
      </c>
      <c r="Y41">
        <v>567.65338263188403</v>
      </c>
      <c r="Z41">
        <v>151.554000551359</v>
      </c>
      <c r="AA41">
        <v>321.32747645512802</v>
      </c>
      <c r="AB41">
        <v>557.20458795258196</v>
      </c>
      <c r="AC41">
        <v>570.13720199372995</v>
      </c>
      <c r="AD41">
        <v>309.595490884068</v>
      </c>
      <c r="AE41">
        <v>601.49362107438697</v>
      </c>
      <c r="AF41">
        <v>420.28279928710998</v>
      </c>
      <c r="AG41">
        <v>371.72599865841801</v>
      </c>
    </row>
    <row r="42" spans="1:33" x14ac:dyDescent="0.25">
      <c r="A42" s="1">
        <v>44093</v>
      </c>
      <c r="B42">
        <v>9695.0256955334098</v>
      </c>
      <c r="C42">
        <v>5477.2750723362897</v>
      </c>
      <c r="D42">
        <v>6371.2502387943396</v>
      </c>
      <c r="E42">
        <v>9502.0586621924194</v>
      </c>
      <c r="F42">
        <v>10770.339752841101</v>
      </c>
      <c r="G42">
        <v>10084.093988385999</v>
      </c>
      <c r="H42">
        <v>22311.670123929802</v>
      </c>
      <c r="I42">
        <v>14060.0372859034</v>
      </c>
      <c r="J42">
        <v>1098.4435585298299</v>
      </c>
      <c r="K42">
        <v>777.08951142974797</v>
      </c>
      <c r="L42">
        <v>357.57161915118098</v>
      </c>
      <c r="M42">
        <v>8493.5976494610404</v>
      </c>
      <c r="N42">
        <v>1614.5201823094701</v>
      </c>
      <c r="O42">
        <v>321.37685470203701</v>
      </c>
      <c r="P42">
        <v>888.28379891097097</v>
      </c>
      <c r="Q42">
        <v>6604.3693120623202</v>
      </c>
      <c r="R42">
        <v>399.52428814597403</v>
      </c>
      <c r="S42">
        <v>217.930068504807</v>
      </c>
      <c r="T42">
        <v>171.481620407783</v>
      </c>
      <c r="U42">
        <v>152.79336943135601</v>
      </c>
      <c r="V42">
        <v>172.23686521011399</v>
      </c>
      <c r="W42">
        <v>146.45039866548299</v>
      </c>
      <c r="X42">
        <v>153.832767162067</v>
      </c>
      <c r="Y42">
        <v>555.34172960707303</v>
      </c>
      <c r="Z42">
        <v>152.316354148285</v>
      </c>
      <c r="AA42">
        <v>315.58878175404698</v>
      </c>
      <c r="AB42">
        <v>539.830785739818</v>
      </c>
      <c r="AC42">
        <v>569.53866596579405</v>
      </c>
      <c r="AD42">
        <v>305.65510162158699</v>
      </c>
      <c r="AE42">
        <v>598.236044245279</v>
      </c>
      <c r="AF42">
        <v>428.45864638201601</v>
      </c>
      <c r="AG42">
        <v>360.36839404733001</v>
      </c>
    </row>
    <row r="43" spans="1:33" x14ac:dyDescent="0.25">
      <c r="A43" s="1">
        <v>44094</v>
      </c>
      <c r="B43">
        <v>9106.4550631103193</v>
      </c>
      <c r="C43">
        <v>5576.7791101947596</v>
      </c>
      <c r="D43">
        <v>6209.5987661777299</v>
      </c>
      <c r="E43">
        <v>9118.6868528410796</v>
      </c>
      <c r="F43">
        <v>10847.2769024189</v>
      </c>
      <c r="G43">
        <v>10201.5848034839</v>
      </c>
      <c r="H43">
        <v>22408.890587358801</v>
      </c>
      <c r="I43">
        <v>13989.4597108164</v>
      </c>
      <c r="J43">
        <v>1072.55555801999</v>
      </c>
      <c r="K43">
        <v>788.91399153918906</v>
      </c>
      <c r="L43">
        <v>351.57391132597002</v>
      </c>
      <c r="M43">
        <v>8612.9054151266901</v>
      </c>
      <c r="N43">
        <v>1647.7940226523399</v>
      </c>
      <c r="O43">
        <v>313.34073177611901</v>
      </c>
      <c r="P43">
        <v>910.84282971425796</v>
      </c>
      <c r="Q43">
        <v>6733.8477512191703</v>
      </c>
      <c r="R43">
        <v>392.46879531202802</v>
      </c>
      <c r="S43">
        <v>218.01253668747501</v>
      </c>
      <c r="T43">
        <v>172.25469639302599</v>
      </c>
      <c r="U43">
        <v>142.708507175015</v>
      </c>
      <c r="V43">
        <v>175.69676866288799</v>
      </c>
      <c r="W43">
        <v>143.01661277000301</v>
      </c>
      <c r="X43">
        <v>158.47368367962801</v>
      </c>
      <c r="Y43">
        <v>534.94435632741602</v>
      </c>
      <c r="Z43">
        <v>154.52881082545599</v>
      </c>
      <c r="AA43">
        <v>307.17919143907102</v>
      </c>
      <c r="AB43">
        <v>533.42290952016106</v>
      </c>
      <c r="AC43">
        <v>568.897110474942</v>
      </c>
      <c r="AD43">
        <v>302.48170572772801</v>
      </c>
      <c r="AE43">
        <v>601.98988660771397</v>
      </c>
      <c r="AF43">
        <v>436.04661982347199</v>
      </c>
      <c r="AG43">
        <v>349.81321473122898</v>
      </c>
    </row>
    <row r="44" spans="1:33" x14ac:dyDescent="0.25">
      <c r="A44" s="1">
        <v>44095</v>
      </c>
      <c r="B44">
        <v>8814.8769157872393</v>
      </c>
      <c r="C44">
        <v>5942.8995661306199</v>
      </c>
      <c r="D44">
        <v>6141.2992299650496</v>
      </c>
      <c r="E44">
        <v>8905.55270671158</v>
      </c>
      <c r="F44">
        <v>11138.1153061886</v>
      </c>
      <c r="G44">
        <v>10526.124906601101</v>
      </c>
      <c r="H44">
        <v>23094.016437779501</v>
      </c>
      <c r="I44">
        <v>14010.919386095</v>
      </c>
      <c r="J44">
        <v>1052.1708770714099</v>
      </c>
      <c r="K44">
        <v>820.23341128605102</v>
      </c>
      <c r="L44">
        <v>350.87330170863402</v>
      </c>
      <c r="M44">
        <v>8968.2399709370802</v>
      </c>
      <c r="N44">
        <v>1796.7372593673099</v>
      </c>
      <c r="O44">
        <v>315.62913468330999</v>
      </c>
      <c r="P44">
        <v>956.19988785193095</v>
      </c>
      <c r="Q44">
        <v>7129.0291495230103</v>
      </c>
      <c r="R44">
        <v>397.511640294899</v>
      </c>
      <c r="S44">
        <v>214.88277861969701</v>
      </c>
      <c r="T44">
        <v>175.75794398405</v>
      </c>
      <c r="U44">
        <v>147.53933758096699</v>
      </c>
      <c r="V44">
        <v>174.92541569441099</v>
      </c>
      <c r="W44">
        <v>142.45573794111499</v>
      </c>
      <c r="X44">
        <v>150.142528249196</v>
      </c>
      <c r="Y44">
        <v>517.95883619675601</v>
      </c>
      <c r="Z44">
        <v>154.676490282244</v>
      </c>
      <c r="AA44">
        <v>302.58717923735003</v>
      </c>
      <c r="AB44">
        <v>506.01398240397998</v>
      </c>
      <c r="AC44">
        <v>568.86374794359006</v>
      </c>
      <c r="AD44">
        <v>302.47416939082001</v>
      </c>
      <c r="AE44">
        <v>571.68472510787205</v>
      </c>
      <c r="AF44">
        <v>440.17870505834202</v>
      </c>
      <c r="AG44">
        <v>339.76741468717501</v>
      </c>
    </row>
    <row r="45" spans="1:33" x14ac:dyDescent="0.25">
      <c r="A45" s="1">
        <v>44096</v>
      </c>
      <c r="B45">
        <v>8637.45605652827</v>
      </c>
      <c r="C45">
        <v>6487.62711858493</v>
      </c>
      <c r="D45">
        <v>6060.25575938567</v>
      </c>
      <c r="E45">
        <v>8767.4195227077398</v>
      </c>
      <c r="F45">
        <v>11388.4526908148</v>
      </c>
      <c r="G45">
        <v>10593.282192005599</v>
      </c>
      <c r="H45">
        <v>23388.735083503601</v>
      </c>
      <c r="I45">
        <v>14104.0712321875</v>
      </c>
      <c r="J45">
        <v>1039.48739032104</v>
      </c>
      <c r="K45">
        <v>832.23137020126296</v>
      </c>
      <c r="L45">
        <v>351.03458227948602</v>
      </c>
      <c r="M45">
        <v>9062.3104734222907</v>
      </c>
      <c r="N45">
        <v>1866.70258408308</v>
      </c>
      <c r="O45">
        <v>313.21261742832002</v>
      </c>
      <c r="P45">
        <v>967.57728847327201</v>
      </c>
      <c r="Q45">
        <v>7292.31868764713</v>
      </c>
      <c r="R45">
        <v>399.44756615851702</v>
      </c>
      <c r="S45">
        <v>213.84487178836901</v>
      </c>
      <c r="T45">
        <v>176.29134788053099</v>
      </c>
      <c r="U45">
        <v>140.625858915202</v>
      </c>
      <c r="V45">
        <v>173.50901245536301</v>
      </c>
      <c r="W45">
        <v>134.04254800101501</v>
      </c>
      <c r="X45">
        <v>148.58402389764299</v>
      </c>
      <c r="Y45">
        <v>500.24720284281898</v>
      </c>
      <c r="Z45">
        <v>154.313740418918</v>
      </c>
      <c r="AA45">
        <v>302.15350615048601</v>
      </c>
      <c r="AB45">
        <v>510.03499180298797</v>
      </c>
      <c r="AC45">
        <v>571.71434762286299</v>
      </c>
      <c r="AD45">
        <v>300.39030674619602</v>
      </c>
      <c r="AE45">
        <v>584.95131480882401</v>
      </c>
      <c r="AF45">
        <v>446.223023277447</v>
      </c>
      <c r="AG45">
        <v>333.408182182546</v>
      </c>
    </row>
    <row r="46" spans="1:33" x14ac:dyDescent="0.25">
      <c r="A46" s="1">
        <v>44097</v>
      </c>
      <c r="B46">
        <v>8531.6826895020804</v>
      </c>
      <c r="C46">
        <v>6905.1014972911198</v>
      </c>
      <c r="D46">
        <v>6073.6141541731704</v>
      </c>
      <c r="E46">
        <v>8698.8737576482799</v>
      </c>
      <c r="F46">
        <v>11394.5541383205</v>
      </c>
      <c r="G46">
        <v>10249.6741230814</v>
      </c>
      <c r="H46">
        <v>23276.8322654359</v>
      </c>
      <c r="I46">
        <v>14166.222508168899</v>
      </c>
      <c r="J46">
        <v>1022.60817710908</v>
      </c>
      <c r="K46">
        <v>836.27814899573502</v>
      </c>
      <c r="L46">
        <v>347.90723925378001</v>
      </c>
      <c r="M46">
        <v>8889.6598723019306</v>
      </c>
      <c r="N46">
        <v>1765.6700959826001</v>
      </c>
      <c r="O46">
        <v>309.84860156475298</v>
      </c>
      <c r="P46">
        <v>964.60128123162599</v>
      </c>
      <c r="Q46">
        <v>7061.2093907389999</v>
      </c>
      <c r="R46">
        <v>399.74250410792098</v>
      </c>
      <c r="S46">
        <v>218.625248692724</v>
      </c>
      <c r="T46">
        <v>175.74710181458499</v>
      </c>
      <c r="U46">
        <v>133.98417957495701</v>
      </c>
      <c r="V46">
        <v>170.85999449485001</v>
      </c>
      <c r="W46">
        <v>128.75657195584</v>
      </c>
      <c r="X46">
        <v>143.99787028759999</v>
      </c>
      <c r="Y46">
        <v>495.94286201787298</v>
      </c>
      <c r="Z46">
        <v>152.19573186418799</v>
      </c>
      <c r="AA46">
        <v>296.39202273969698</v>
      </c>
      <c r="AB46">
        <v>498.29387335717701</v>
      </c>
      <c r="AC46">
        <v>575.45970045709305</v>
      </c>
      <c r="AD46">
        <v>297.76401079967502</v>
      </c>
      <c r="AE46">
        <v>615.93980439269603</v>
      </c>
      <c r="AF46">
        <v>456.12920399189198</v>
      </c>
      <c r="AG46">
        <v>328.60310810135297</v>
      </c>
    </row>
    <row r="47" spans="1:33" x14ac:dyDescent="0.25">
      <c r="A47" s="1">
        <v>44098</v>
      </c>
      <c r="B47">
        <v>8408.7731865359492</v>
      </c>
      <c r="C47">
        <v>6493.2742858164602</v>
      </c>
      <c r="D47">
        <v>6347.3894635412498</v>
      </c>
      <c r="E47">
        <v>8676.8208504869908</v>
      </c>
      <c r="F47">
        <v>11371.940393448</v>
      </c>
      <c r="G47">
        <v>10286.2801378808</v>
      </c>
      <c r="H47">
        <v>23574.109427528099</v>
      </c>
      <c r="I47">
        <v>14183.776918125899</v>
      </c>
      <c r="J47">
        <v>1011.86281814187</v>
      </c>
      <c r="K47">
        <v>859.02335692191502</v>
      </c>
      <c r="L47">
        <v>343.05329157274599</v>
      </c>
      <c r="M47">
        <v>9001.8106264770195</v>
      </c>
      <c r="N47">
        <v>1886.6854593777</v>
      </c>
      <c r="O47">
        <v>318.2903734583</v>
      </c>
      <c r="P47">
        <v>1011.78716721872</v>
      </c>
      <c r="Q47">
        <v>7133.2364796042903</v>
      </c>
      <c r="R47">
        <v>410.14485825489601</v>
      </c>
      <c r="S47">
        <v>216.21499170224999</v>
      </c>
      <c r="T47">
        <v>176.82883215809099</v>
      </c>
      <c r="U47">
        <v>126.166096543937</v>
      </c>
      <c r="V47">
        <v>167.52890562902601</v>
      </c>
      <c r="W47">
        <v>126.464976199145</v>
      </c>
      <c r="X47">
        <v>136.27489081885199</v>
      </c>
      <c r="Y47">
        <v>488.00888222047899</v>
      </c>
      <c r="Z47">
        <v>148.33988869539499</v>
      </c>
      <c r="AA47">
        <v>290.39907336384601</v>
      </c>
      <c r="AB47">
        <v>476.30700244558102</v>
      </c>
      <c r="AC47">
        <v>576.44841705924796</v>
      </c>
      <c r="AD47">
        <v>295.20276875301403</v>
      </c>
      <c r="AE47">
        <v>653.23301953821704</v>
      </c>
      <c r="AF47">
        <v>458.97217890819002</v>
      </c>
      <c r="AG47">
        <v>321.54980038415198</v>
      </c>
    </row>
    <row r="48" spans="1:33" x14ac:dyDescent="0.25">
      <c r="A48" s="1">
        <v>44099</v>
      </c>
      <c r="B48">
        <v>8324.2347085925994</v>
      </c>
      <c r="C48">
        <v>7135.2491438752604</v>
      </c>
      <c r="D48">
        <v>6586.7758411185896</v>
      </c>
      <c r="E48">
        <v>8765.5015190851209</v>
      </c>
      <c r="F48">
        <v>11306.4783061218</v>
      </c>
      <c r="G48">
        <v>10097.9767488371</v>
      </c>
      <c r="H48">
        <v>23076.014040092799</v>
      </c>
      <c r="I48">
        <v>14203.7701465722</v>
      </c>
      <c r="J48">
        <v>1006.58489417543</v>
      </c>
      <c r="K48">
        <v>834.11021796368198</v>
      </c>
      <c r="L48">
        <v>342.30615219870998</v>
      </c>
      <c r="M48">
        <v>8665.6707531093107</v>
      </c>
      <c r="N48">
        <v>1768.85919918985</v>
      </c>
      <c r="O48">
        <v>312.00010460870499</v>
      </c>
      <c r="P48">
        <v>982.15055125088804</v>
      </c>
      <c r="Q48">
        <v>6940.1629891134198</v>
      </c>
      <c r="R48">
        <v>403.46546261848499</v>
      </c>
      <c r="S48">
        <v>208.22314203408999</v>
      </c>
      <c r="T48">
        <v>168.839671297905</v>
      </c>
      <c r="U48">
        <v>135.965604836202</v>
      </c>
      <c r="V48">
        <v>151.40880607586001</v>
      </c>
      <c r="W48">
        <v>132.96204960111501</v>
      </c>
      <c r="X48">
        <v>128.958117429911</v>
      </c>
      <c r="Y48">
        <v>478.91351877696701</v>
      </c>
      <c r="Z48">
        <v>146.833149916732</v>
      </c>
      <c r="AA48">
        <v>287.80224055911702</v>
      </c>
      <c r="AB48">
        <v>450.30709716747498</v>
      </c>
      <c r="AC48">
        <v>577.93578036523604</v>
      </c>
      <c r="AD48">
        <v>291.738439175005</v>
      </c>
      <c r="AE48">
        <v>631.91948250343603</v>
      </c>
      <c r="AF48">
        <v>465.23738122568199</v>
      </c>
      <c r="AG48">
        <v>314.48238889642499</v>
      </c>
    </row>
    <row r="49" spans="1:33" x14ac:dyDescent="0.25">
      <c r="A49" s="1">
        <v>44100</v>
      </c>
      <c r="B49">
        <v>8379.9604432963006</v>
      </c>
      <c r="C49">
        <v>7451.2210092466103</v>
      </c>
      <c r="D49">
        <v>6781.3544496287004</v>
      </c>
      <c r="E49">
        <v>8870.7951420999198</v>
      </c>
      <c r="F49">
        <v>10943.2700899383</v>
      </c>
      <c r="G49">
        <v>9380.8530493336202</v>
      </c>
      <c r="H49">
        <v>21930.400931238099</v>
      </c>
      <c r="I49">
        <v>14126.0865204576</v>
      </c>
      <c r="J49">
        <v>996.495800358069</v>
      </c>
      <c r="K49">
        <v>809.83537999590499</v>
      </c>
      <c r="L49">
        <v>337.67868619036898</v>
      </c>
      <c r="M49">
        <v>7956.5370014605196</v>
      </c>
      <c r="N49">
        <v>1500.66397026001</v>
      </c>
      <c r="O49">
        <v>283.78797789887699</v>
      </c>
      <c r="P49">
        <v>950.50422487537696</v>
      </c>
      <c r="Q49">
        <v>6284.1930985181298</v>
      </c>
      <c r="R49">
        <v>381.69702429525302</v>
      </c>
      <c r="S49">
        <v>208.35431253306501</v>
      </c>
      <c r="T49">
        <v>160.94364260671099</v>
      </c>
      <c r="U49">
        <v>131.67250270218199</v>
      </c>
      <c r="V49">
        <v>144.29592404463699</v>
      </c>
      <c r="W49">
        <v>128.608414831613</v>
      </c>
      <c r="X49">
        <v>130.67366585220799</v>
      </c>
      <c r="Y49">
        <v>470.07373940142497</v>
      </c>
      <c r="Z49">
        <v>144.247367537917</v>
      </c>
      <c r="AA49">
        <v>284.74808732806201</v>
      </c>
      <c r="AB49">
        <v>438.916400841913</v>
      </c>
      <c r="AC49">
        <v>580.64082291240595</v>
      </c>
      <c r="AD49">
        <v>287.58984202977098</v>
      </c>
      <c r="AE49">
        <v>629.16316357019502</v>
      </c>
      <c r="AF49">
        <v>475.33101972736</v>
      </c>
      <c r="AG49">
        <v>310.885997945459</v>
      </c>
    </row>
    <row r="50" spans="1:33" x14ac:dyDescent="0.25">
      <c r="A50" s="1">
        <v>44101</v>
      </c>
      <c r="B50">
        <v>8527.6748506053009</v>
      </c>
      <c r="C50">
        <v>7538.0060695096099</v>
      </c>
      <c r="D50">
        <v>7144.5741834302398</v>
      </c>
      <c r="E50">
        <v>9153.1444110257798</v>
      </c>
      <c r="F50">
        <v>10682.2163744441</v>
      </c>
      <c r="G50">
        <v>9251.6565344351493</v>
      </c>
      <c r="H50">
        <v>21660.832685711299</v>
      </c>
      <c r="I50">
        <v>13942.7323029608</v>
      </c>
      <c r="J50">
        <v>983.62381077311204</v>
      </c>
      <c r="K50">
        <v>812.36186717002499</v>
      </c>
      <c r="L50">
        <v>329.13068871422098</v>
      </c>
      <c r="M50">
        <v>7853.0370619617797</v>
      </c>
      <c r="N50">
        <v>1465.62476914219</v>
      </c>
      <c r="O50">
        <v>274.130238336177</v>
      </c>
      <c r="P50">
        <v>958.89005161223599</v>
      </c>
      <c r="Q50">
        <v>6117.0537787251496</v>
      </c>
      <c r="R50">
        <v>371.69038456644</v>
      </c>
      <c r="S50">
        <v>204.959929865807</v>
      </c>
      <c r="T50">
        <v>157.16230219995799</v>
      </c>
      <c r="U50">
        <v>128.94200385398901</v>
      </c>
      <c r="V50">
        <v>146.225891216734</v>
      </c>
      <c r="W50">
        <v>125.182690877167</v>
      </c>
      <c r="X50">
        <v>131.90235759590999</v>
      </c>
      <c r="Y50">
        <v>458.58384974005099</v>
      </c>
      <c r="Z50">
        <v>139.07466131868301</v>
      </c>
      <c r="AA50">
        <v>281.767269461311</v>
      </c>
      <c r="AB50">
        <v>432.021561785404</v>
      </c>
      <c r="AC50">
        <v>585.50350436844803</v>
      </c>
      <c r="AD50">
        <v>282.92608984997003</v>
      </c>
      <c r="AE50">
        <v>628.53475968033604</v>
      </c>
      <c r="AF50">
        <v>482.23317815748902</v>
      </c>
      <c r="AG50">
        <v>308.49736365936798</v>
      </c>
    </row>
    <row r="51" spans="1:33" x14ac:dyDescent="0.25">
      <c r="A51" s="1">
        <v>44102</v>
      </c>
      <c r="B51">
        <v>8798.4130371037409</v>
      </c>
      <c r="C51">
        <v>7482.80542896107</v>
      </c>
      <c r="D51">
        <v>7594.3338893210002</v>
      </c>
      <c r="E51">
        <v>9539.6591883971505</v>
      </c>
      <c r="F51">
        <v>10804.1581782678</v>
      </c>
      <c r="G51">
        <v>9656.6666218607406</v>
      </c>
      <c r="H51">
        <v>22425.553379014698</v>
      </c>
      <c r="I51">
        <v>13802.807393609</v>
      </c>
      <c r="J51">
        <v>969.763773576944</v>
      </c>
      <c r="K51">
        <v>839.49808450535204</v>
      </c>
      <c r="L51">
        <v>329.51116620666301</v>
      </c>
      <c r="M51">
        <v>8230.6966661976003</v>
      </c>
      <c r="N51">
        <v>1595.61195138425</v>
      </c>
      <c r="O51">
        <v>282.85851922343198</v>
      </c>
      <c r="P51">
        <v>1002.82304981009</v>
      </c>
      <c r="Q51">
        <v>6450.6442891214701</v>
      </c>
      <c r="R51">
        <v>376.79158180164399</v>
      </c>
      <c r="S51">
        <v>200.31299736443199</v>
      </c>
      <c r="T51">
        <v>157.05970346462999</v>
      </c>
      <c r="U51">
        <v>126.46096729737801</v>
      </c>
      <c r="V51">
        <v>150.193020617065</v>
      </c>
      <c r="W51">
        <v>119.53702033136101</v>
      </c>
      <c r="X51">
        <v>131.249066437838</v>
      </c>
      <c r="Y51">
        <v>450.46549688743198</v>
      </c>
      <c r="Z51">
        <v>134.68527896172299</v>
      </c>
      <c r="AA51">
        <v>279.522392694681</v>
      </c>
      <c r="AB51">
        <v>423.40139571481001</v>
      </c>
      <c r="AC51">
        <v>591.44857506225696</v>
      </c>
      <c r="AD51">
        <v>282.174201212897</v>
      </c>
      <c r="AE51">
        <v>658.06195658980596</v>
      </c>
      <c r="AF51">
        <v>485.26539037949101</v>
      </c>
      <c r="AG51">
        <v>304.10409651841701</v>
      </c>
    </row>
    <row r="52" spans="1:33" x14ac:dyDescent="0.25">
      <c r="A52" s="1">
        <v>44103</v>
      </c>
      <c r="B52">
        <v>9187.0649823981403</v>
      </c>
      <c r="C52">
        <v>7405.8379788441998</v>
      </c>
      <c r="D52">
        <v>7983.0208508045398</v>
      </c>
      <c r="E52">
        <v>9897.1837588021408</v>
      </c>
      <c r="F52">
        <v>11138.2204770401</v>
      </c>
      <c r="G52">
        <v>10384.663926020099</v>
      </c>
      <c r="H52">
        <v>23421.0777117285</v>
      </c>
      <c r="I52">
        <v>13794.501573526501</v>
      </c>
      <c r="J52">
        <v>962.80318798083897</v>
      </c>
      <c r="K52">
        <v>885.43198241857795</v>
      </c>
      <c r="L52">
        <v>336.58340539331198</v>
      </c>
      <c r="M52">
        <v>8763.2297964359495</v>
      </c>
      <c r="N52">
        <v>1799.8219480576699</v>
      </c>
      <c r="O52">
        <v>298.736021624763</v>
      </c>
      <c r="P52">
        <v>1067.42527820136</v>
      </c>
      <c r="Q52">
        <v>7057.4802277761801</v>
      </c>
      <c r="R52">
        <v>397.97240212956302</v>
      </c>
      <c r="S52">
        <v>193.52415888641301</v>
      </c>
      <c r="T52">
        <v>160.46483875204001</v>
      </c>
      <c r="U52">
        <v>118.660498282551</v>
      </c>
      <c r="V52">
        <v>155.564040230296</v>
      </c>
      <c r="W52">
        <v>119.439910708776</v>
      </c>
      <c r="X52">
        <v>129.55451942379301</v>
      </c>
      <c r="Y52">
        <v>442.40264199814601</v>
      </c>
      <c r="Z52">
        <v>135.584283572738</v>
      </c>
      <c r="AA52">
        <v>276.64307938024001</v>
      </c>
      <c r="AB52">
        <v>417.11697265521502</v>
      </c>
      <c r="AC52">
        <v>595.85100610297604</v>
      </c>
      <c r="AD52">
        <v>285.90041632241099</v>
      </c>
      <c r="AE52">
        <v>682.55466465419101</v>
      </c>
      <c r="AF52">
        <v>484.60512093131098</v>
      </c>
      <c r="AG52">
        <v>298.35922352429498</v>
      </c>
    </row>
    <row r="53" spans="1:33" x14ac:dyDescent="0.25">
      <c r="A53" s="1">
        <v>44104</v>
      </c>
      <c r="B53">
        <v>9495.6908927250806</v>
      </c>
      <c r="C53">
        <v>7359.7466909555997</v>
      </c>
      <c r="D53">
        <v>8195.9478711066295</v>
      </c>
      <c r="E53">
        <v>10091.8851082412</v>
      </c>
      <c r="F53">
        <v>11293.643534688499</v>
      </c>
      <c r="G53">
        <v>10327.273237675199</v>
      </c>
      <c r="H53">
        <v>23109.2386386824</v>
      </c>
      <c r="I53">
        <v>13950.0824915096</v>
      </c>
      <c r="J53">
        <v>966.116025592906</v>
      </c>
      <c r="K53">
        <v>897.34651222874902</v>
      </c>
      <c r="L53">
        <v>338.49717411521902</v>
      </c>
      <c r="M53">
        <v>8767.7292012297494</v>
      </c>
      <c r="N53">
        <v>1729.93967863168</v>
      </c>
      <c r="O53">
        <v>296.41770355873598</v>
      </c>
      <c r="P53">
        <v>1066.3473818612499</v>
      </c>
      <c r="Q53">
        <v>7011.96740232304</v>
      </c>
      <c r="R53">
        <v>401.27902107492503</v>
      </c>
      <c r="S53">
        <v>189.90580876957199</v>
      </c>
      <c r="T53">
        <v>155.611948378596</v>
      </c>
      <c r="U53">
        <v>118.336319428151</v>
      </c>
      <c r="V53">
        <v>143.857999678596</v>
      </c>
      <c r="W53">
        <v>113.216151159079</v>
      </c>
      <c r="X53">
        <v>121.858981685366</v>
      </c>
      <c r="Y53">
        <v>445.67772086775</v>
      </c>
      <c r="Z53">
        <v>135.33105376260701</v>
      </c>
      <c r="AA53">
        <v>273.52356047600398</v>
      </c>
      <c r="AB53">
        <v>401.36651070054899</v>
      </c>
      <c r="AC53">
        <v>600.23588417981</v>
      </c>
      <c r="AD53">
        <v>286.10640741705203</v>
      </c>
      <c r="AE53">
        <v>605.90909629353496</v>
      </c>
      <c r="AF53">
        <v>487.025067578159</v>
      </c>
      <c r="AG53">
        <v>293.50753083686902</v>
      </c>
    </row>
    <row r="54" spans="1:33" x14ac:dyDescent="0.25">
      <c r="A54" s="1">
        <v>44105</v>
      </c>
      <c r="B54">
        <v>9863.1723787395804</v>
      </c>
      <c r="C54">
        <v>7347.32660290883</v>
      </c>
      <c r="D54">
        <v>8554.7832341058092</v>
      </c>
      <c r="E54">
        <v>10387.0764848583</v>
      </c>
      <c r="F54">
        <v>11252.3820156442</v>
      </c>
      <c r="G54">
        <v>10403.401436783701</v>
      </c>
      <c r="H54">
        <v>23007.830882746199</v>
      </c>
      <c r="I54">
        <v>14112.7618454605</v>
      </c>
      <c r="J54">
        <v>970.09488562341403</v>
      </c>
      <c r="K54">
        <v>898.20465262340804</v>
      </c>
      <c r="L54">
        <v>334.911102302112</v>
      </c>
      <c r="M54">
        <v>8841.9151123115607</v>
      </c>
      <c r="N54">
        <v>1676.72085106653</v>
      </c>
      <c r="O54">
        <v>283.39270483499303</v>
      </c>
      <c r="P54">
        <v>1072.0106778473501</v>
      </c>
      <c r="Q54">
        <v>7003.2653571337696</v>
      </c>
      <c r="R54">
        <v>389.80910818407199</v>
      </c>
      <c r="S54">
        <v>187.29974265438</v>
      </c>
      <c r="T54">
        <v>149.71168595304701</v>
      </c>
      <c r="U54">
        <v>113.067931932397</v>
      </c>
      <c r="V54">
        <v>138.97582531313299</v>
      </c>
      <c r="W54">
        <v>115.3502291002</v>
      </c>
      <c r="X54">
        <v>121.570753042514</v>
      </c>
      <c r="Y54">
        <v>440.85389031863502</v>
      </c>
      <c r="Z54">
        <v>132.522790737793</v>
      </c>
      <c r="AA54">
        <v>270.95122141561302</v>
      </c>
      <c r="AB54">
        <v>410.40625218514901</v>
      </c>
      <c r="AC54">
        <v>605.86906106335903</v>
      </c>
      <c r="AD54">
        <v>281.73213211674903</v>
      </c>
      <c r="AE54">
        <v>598.99577588208501</v>
      </c>
      <c r="AF54">
        <v>492.754312883355</v>
      </c>
      <c r="AG54">
        <v>290.41176031334402</v>
      </c>
    </row>
    <row r="55" spans="1:33" x14ac:dyDescent="0.25">
      <c r="A55" s="1">
        <v>44106</v>
      </c>
      <c r="B55">
        <v>10330.731592690199</v>
      </c>
      <c r="C55">
        <v>7351.3953643832601</v>
      </c>
      <c r="D55">
        <v>9034.8839897417092</v>
      </c>
      <c r="E55">
        <v>10790.333762918301</v>
      </c>
      <c r="F55">
        <v>11461.358634489399</v>
      </c>
      <c r="G55">
        <v>10820.1561401936</v>
      </c>
      <c r="H55">
        <v>23643.3754681235</v>
      </c>
      <c r="I55">
        <v>14243.7515109326</v>
      </c>
      <c r="J55">
        <v>974.84436170899801</v>
      </c>
      <c r="K55">
        <v>914.55982818707605</v>
      </c>
      <c r="L55">
        <v>333.01962926291799</v>
      </c>
      <c r="M55">
        <v>9157.3975742980801</v>
      </c>
      <c r="N55">
        <v>1771.10876358881</v>
      </c>
      <c r="O55">
        <v>284.248135411134</v>
      </c>
      <c r="P55">
        <v>1096.7077453756799</v>
      </c>
      <c r="Q55">
        <v>7320.4000385585296</v>
      </c>
      <c r="R55">
        <v>390.20765723560498</v>
      </c>
      <c r="S55">
        <v>183.66505374695501</v>
      </c>
      <c r="T55">
        <v>147.334832298392</v>
      </c>
      <c r="U55">
        <v>119.672299716097</v>
      </c>
      <c r="V55">
        <v>138.41934280151301</v>
      </c>
      <c r="W55">
        <v>116.775071618932</v>
      </c>
      <c r="X55">
        <v>118.976448229803</v>
      </c>
      <c r="Y55">
        <v>437.39765626076297</v>
      </c>
      <c r="Z55">
        <v>128.848435392894</v>
      </c>
      <c r="AA55">
        <v>267.78880697666801</v>
      </c>
      <c r="AB55">
        <v>416.00874367317402</v>
      </c>
      <c r="AC55">
        <v>610.75125634165704</v>
      </c>
      <c r="AD55">
        <v>280.13119342670899</v>
      </c>
      <c r="AE55">
        <v>652.40891983620702</v>
      </c>
      <c r="AF55">
        <v>495.52619883652699</v>
      </c>
      <c r="AG55">
        <v>287.772775526543</v>
      </c>
    </row>
    <row r="56" spans="1:33" x14ac:dyDescent="0.25">
      <c r="A56" s="1">
        <v>44107</v>
      </c>
      <c r="B56">
        <v>10830.7351055126</v>
      </c>
      <c r="C56">
        <v>7359.7844824002404</v>
      </c>
      <c r="D56">
        <v>9511.5996881461397</v>
      </c>
      <c r="E56">
        <v>11165.120960261</v>
      </c>
      <c r="F56">
        <v>11797.4152751821</v>
      </c>
      <c r="G56">
        <v>11270.6939795531</v>
      </c>
      <c r="H56">
        <v>24273.1099634069</v>
      </c>
      <c r="I56">
        <v>14397.620432036299</v>
      </c>
      <c r="J56">
        <v>983.674497755988</v>
      </c>
      <c r="K56">
        <v>938.22206611068805</v>
      </c>
      <c r="L56">
        <v>333.727164565051</v>
      </c>
      <c r="M56">
        <v>9594.5792204490099</v>
      </c>
      <c r="N56">
        <v>1881.5113160272699</v>
      </c>
      <c r="O56">
        <v>292.16442221562897</v>
      </c>
      <c r="P56">
        <v>1132.3450008151301</v>
      </c>
      <c r="Q56">
        <v>7742.8092053256496</v>
      </c>
      <c r="R56">
        <v>399.90468842768797</v>
      </c>
      <c r="S56">
        <v>180.37686802975199</v>
      </c>
      <c r="T56">
        <v>146.24792338146599</v>
      </c>
      <c r="U56">
        <v>113.707501711944</v>
      </c>
      <c r="V56">
        <v>140.507091251654</v>
      </c>
      <c r="W56">
        <v>113.496303290065</v>
      </c>
      <c r="X56">
        <v>122.283943897179</v>
      </c>
      <c r="Y56">
        <v>431.92098102547999</v>
      </c>
      <c r="Z56">
        <v>125.277316887694</v>
      </c>
      <c r="AA56">
        <v>266.06839667674501</v>
      </c>
      <c r="AB56">
        <v>413.74264907261301</v>
      </c>
      <c r="AC56">
        <v>615.68182498726503</v>
      </c>
      <c r="AD56">
        <v>280.08646133001599</v>
      </c>
      <c r="AE56">
        <v>634.11920042622398</v>
      </c>
      <c r="AF56">
        <v>497.13489772225398</v>
      </c>
      <c r="AG56">
        <v>284.27088799308098</v>
      </c>
    </row>
    <row r="57" spans="1:33" x14ac:dyDescent="0.25">
      <c r="A57" s="1">
        <v>44108</v>
      </c>
      <c r="B57">
        <v>11202.590186214</v>
      </c>
      <c r="C57">
        <v>7401.5120295597299</v>
      </c>
      <c r="D57">
        <v>9778.1358276189494</v>
      </c>
      <c r="E57">
        <v>11349.2703632013</v>
      </c>
      <c r="F57">
        <v>11927.3133029212</v>
      </c>
      <c r="G57">
        <v>11286.872747150401</v>
      </c>
      <c r="H57">
        <v>24257.0184952282</v>
      </c>
      <c r="I57">
        <v>14576.919140845201</v>
      </c>
      <c r="J57">
        <v>991.06993906977095</v>
      </c>
      <c r="K57">
        <v>941.72528507812797</v>
      </c>
      <c r="L57">
        <v>330.28433383947697</v>
      </c>
      <c r="M57">
        <v>9620.9550475522901</v>
      </c>
      <c r="N57">
        <v>1821.6160168270301</v>
      </c>
      <c r="O57">
        <v>291.43715120581101</v>
      </c>
      <c r="P57">
        <v>1124.65582293995</v>
      </c>
      <c r="Q57">
        <v>7784.1646232583698</v>
      </c>
      <c r="R57">
        <v>400.52214628564298</v>
      </c>
      <c r="S57">
        <v>178.57854947391499</v>
      </c>
      <c r="T57">
        <v>143.71507018467801</v>
      </c>
      <c r="U57">
        <v>111.45320305497999</v>
      </c>
      <c r="V57">
        <v>136.52878268885601</v>
      </c>
      <c r="W57">
        <v>113.004803006724</v>
      </c>
      <c r="X57">
        <v>119.734923092811</v>
      </c>
      <c r="Y57">
        <v>435.01096985369799</v>
      </c>
      <c r="Z57">
        <v>121.86300429342199</v>
      </c>
      <c r="AA57">
        <v>265.10950990924601</v>
      </c>
      <c r="AB57">
        <v>407.48944598058603</v>
      </c>
      <c r="AC57">
        <v>620.97704973193095</v>
      </c>
      <c r="AD57">
        <v>278.02271984101901</v>
      </c>
      <c r="AE57">
        <v>644.22536101187495</v>
      </c>
      <c r="AF57">
        <v>501.32855547239501</v>
      </c>
      <c r="AG57">
        <v>281.17596594114099</v>
      </c>
    </row>
    <row r="58" spans="1:33" x14ac:dyDescent="0.25">
      <c r="A58" s="1">
        <v>44109</v>
      </c>
      <c r="B58">
        <v>11465.566668718</v>
      </c>
      <c r="C58">
        <v>7502.8130930541802</v>
      </c>
      <c r="D58">
        <v>9942.6627119887999</v>
      </c>
      <c r="E58">
        <v>11500.0078245896</v>
      </c>
      <c r="F58">
        <v>11918.1698236185</v>
      </c>
      <c r="G58">
        <v>11080.7313512889</v>
      </c>
      <c r="H58">
        <v>24006.195791820999</v>
      </c>
      <c r="I58">
        <v>14710.919706888</v>
      </c>
      <c r="J58">
        <v>993.36175153235604</v>
      </c>
      <c r="K58">
        <v>938.09496790762103</v>
      </c>
      <c r="L58">
        <v>324.944087038573</v>
      </c>
      <c r="M58">
        <v>9441.3383370059801</v>
      </c>
      <c r="N58">
        <v>1696.8685865986699</v>
      </c>
      <c r="O58">
        <v>289.05949737903001</v>
      </c>
      <c r="P58">
        <v>1114.50325571902</v>
      </c>
      <c r="Q58">
        <v>7621.9916112763904</v>
      </c>
      <c r="R58">
        <v>395.84642252854098</v>
      </c>
      <c r="S58">
        <v>177.61001909676699</v>
      </c>
      <c r="T58">
        <v>140.07123589968401</v>
      </c>
      <c r="U58">
        <v>111.070305680516</v>
      </c>
      <c r="V58">
        <v>131.43800436939699</v>
      </c>
      <c r="W58">
        <v>112.70081463617601</v>
      </c>
      <c r="X58">
        <v>117.378531161439</v>
      </c>
      <c r="Y58">
        <v>441.99583213914002</v>
      </c>
      <c r="Z58">
        <v>119.606541687313</v>
      </c>
      <c r="AA58">
        <v>263.373040720277</v>
      </c>
      <c r="AB58">
        <v>417.22854321142302</v>
      </c>
      <c r="AC58">
        <v>620.64834833800398</v>
      </c>
      <c r="AD58">
        <v>274.34441933759302</v>
      </c>
      <c r="AE58">
        <v>622.63068021160996</v>
      </c>
      <c r="AF58">
        <v>508.24154577452799</v>
      </c>
      <c r="AG58">
        <v>278.90358187146302</v>
      </c>
    </row>
    <row r="59" spans="1:33" x14ac:dyDescent="0.25">
      <c r="A59" s="1">
        <v>44110</v>
      </c>
      <c r="B59">
        <v>11774.0569102106</v>
      </c>
      <c r="C59">
        <v>7633.4073215762401</v>
      </c>
      <c r="D59">
        <v>10289.7024397609</v>
      </c>
      <c r="E59">
        <v>11874.9207020745</v>
      </c>
      <c r="F59">
        <v>11936.9380703142</v>
      </c>
      <c r="G59">
        <v>11296.935581612201</v>
      </c>
      <c r="H59">
        <v>24981.9976524595</v>
      </c>
      <c r="I59">
        <v>14769.0206343585</v>
      </c>
      <c r="J59">
        <v>997.62428179780397</v>
      </c>
      <c r="K59">
        <v>961.74119615618497</v>
      </c>
      <c r="L59">
        <v>327.50013393390901</v>
      </c>
      <c r="M59">
        <v>9759.3893896803493</v>
      </c>
      <c r="N59">
        <v>1887.7802011112401</v>
      </c>
      <c r="O59">
        <v>304.63239175823998</v>
      </c>
      <c r="P59">
        <v>1146.0840263975399</v>
      </c>
      <c r="Q59">
        <v>7892.7550595520597</v>
      </c>
      <c r="R59">
        <v>410.11463632178101</v>
      </c>
      <c r="S59">
        <v>175.57522363619799</v>
      </c>
      <c r="T59">
        <v>142.030118993098</v>
      </c>
      <c r="U59">
        <v>110.35673216655999</v>
      </c>
      <c r="V59">
        <v>137.50071420363301</v>
      </c>
      <c r="W59">
        <v>113.86035495518701</v>
      </c>
      <c r="X59">
        <v>118.72898804228601</v>
      </c>
      <c r="Y59">
        <v>430.697948656628</v>
      </c>
      <c r="Z59">
        <v>121.14915560615999</v>
      </c>
      <c r="AA59">
        <v>262.33286881481899</v>
      </c>
      <c r="AB59">
        <v>412.692838404817</v>
      </c>
      <c r="AC59">
        <v>620.05151640242104</v>
      </c>
      <c r="AD59">
        <v>275.01477315178897</v>
      </c>
      <c r="AE59">
        <v>570.40683033981702</v>
      </c>
      <c r="AF59">
        <v>512.12210953573106</v>
      </c>
      <c r="AG59">
        <v>277.13494873044499</v>
      </c>
    </row>
    <row r="60" spans="1:33" x14ac:dyDescent="0.25">
      <c r="A60" s="1">
        <v>44111</v>
      </c>
      <c r="B60">
        <v>12067.6791529862</v>
      </c>
      <c r="C60">
        <v>7748.5179208930003</v>
      </c>
      <c r="D60">
        <v>10629.516828470099</v>
      </c>
      <c r="E60">
        <v>12227.202770488</v>
      </c>
      <c r="F60">
        <v>12183.468237093</v>
      </c>
      <c r="G60">
        <v>11435.744689117601</v>
      </c>
      <c r="H60">
        <v>25799.3870005313</v>
      </c>
      <c r="I60">
        <v>14855.6539507166</v>
      </c>
      <c r="J60">
        <v>1005.44111449681</v>
      </c>
      <c r="K60">
        <v>978.78856219091199</v>
      </c>
      <c r="L60">
        <v>328.77366883554299</v>
      </c>
      <c r="M60">
        <v>10104.789627144801</v>
      </c>
      <c r="N60">
        <v>2167.2403836360299</v>
      </c>
      <c r="O60">
        <v>333.86727906876899</v>
      </c>
      <c r="P60">
        <v>1167.9115711172101</v>
      </c>
      <c r="Q60">
        <v>8169.5079700701999</v>
      </c>
      <c r="R60">
        <v>439.85073082756202</v>
      </c>
      <c r="S60">
        <v>173.83685972349701</v>
      </c>
      <c r="T60">
        <v>151.04316799465499</v>
      </c>
      <c r="U60">
        <v>110.553244802571</v>
      </c>
      <c r="V60">
        <v>142.81275199612401</v>
      </c>
      <c r="W60">
        <v>109.77793256423701</v>
      </c>
      <c r="X60">
        <v>118.98229735087099</v>
      </c>
      <c r="Y60">
        <v>419.11549770041199</v>
      </c>
      <c r="Z60">
        <v>120.463815973989</v>
      </c>
      <c r="AA60">
        <v>262.23408147094602</v>
      </c>
      <c r="AB60">
        <v>408.41518655325302</v>
      </c>
      <c r="AC60">
        <v>622.26791494383997</v>
      </c>
      <c r="AD60">
        <v>276.68410949663303</v>
      </c>
      <c r="AE60">
        <v>538.44983530371906</v>
      </c>
      <c r="AF60">
        <v>514.48949462390601</v>
      </c>
      <c r="AG60">
        <v>276.00804469805701</v>
      </c>
    </row>
    <row r="61" spans="1:33" x14ac:dyDescent="0.25">
      <c r="A61" s="1">
        <v>44112</v>
      </c>
      <c r="B61">
        <v>12352.359956161299</v>
      </c>
      <c r="C61">
        <v>7890.5112206619497</v>
      </c>
      <c r="D61">
        <v>10814.0212988804</v>
      </c>
      <c r="E61">
        <v>12510.806030456601</v>
      </c>
      <c r="F61">
        <v>12269.0176701659</v>
      </c>
      <c r="G61">
        <v>11461.434884488701</v>
      </c>
      <c r="H61">
        <v>26000.611553913201</v>
      </c>
      <c r="I61">
        <v>14990.806405392899</v>
      </c>
      <c r="J61">
        <v>1008.21121747636</v>
      </c>
      <c r="K61">
        <v>976.08191479432901</v>
      </c>
      <c r="L61">
        <v>326.45898126312301</v>
      </c>
      <c r="M61">
        <v>10160.3530735729</v>
      </c>
      <c r="N61">
        <v>2389.9950164583802</v>
      </c>
      <c r="O61">
        <v>335.07802060732098</v>
      </c>
      <c r="P61">
        <v>1160.7937506619601</v>
      </c>
      <c r="Q61">
        <v>8215.87930062749</v>
      </c>
      <c r="R61">
        <v>444.92995345087598</v>
      </c>
      <c r="S61">
        <v>172.50402572985999</v>
      </c>
      <c r="T61">
        <v>154.31448207094201</v>
      </c>
      <c r="U61">
        <v>108.575626153665</v>
      </c>
      <c r="V61">
        <v>141.60834005547699</v>
      </c>
      <c r="W61">
        <v>109.770574030582</v>
      </c>
      <c r="X61">
        <v>118.017788615727</v>
      </c>
      <c r="Y61">
        <v>427.69222896642901</v>
      </c>
      <c r="Z61">
        <v>118.206145609423</v>
      </c>
      <c r="AA61">
        <v>262.55744096744797</v>
      </c>
      <c r="AB61">
        <v>414.19185977830602</v>
      </c>
      <c r="AC61">
        <v>621.89236368065599</v>
      </c>
      <c r="AD61">
        <v>274.71953364132702</v>
      </c>
      <c r="AE61">
        <v>549.34279718786695</v>
      </c>
      <c r="AF61">
        <v>520.10059098987199</v>
      </c>
      <c r="AG61">
        <v>274.98385104599299</v>
      </c>
    </row>
    <row r="62" spans="1:33" x14ac:dyDescent="0.25">
      <c r="A62" s="1">
        <v>44113</v>
      </c>
      <c r="B62">
        <v>12529.8388472809</v>
      </c>
      <c r="C62">
        <v>8301.6688697946993</v>
      </c>
      <c r="D62">
        <v>10681.0249331783</v>
      </c>
      <c r="E62">
        <v>12672.4018002308</v>
      </c>
      <c r="F62">
        <v>11865.600617415599</v>
      </c>
      <c r="G62">
        <v>11101.154545793401</v>
      </c>
      <c r="H62">
        <v>25382.169212782901</v>
      </c>
      <c r="I62">
        <v>15158.521347256001</v>
      </c>
      <c r="J62">
        <v>997.82820809852399</v>
      </c>
      <c r="K62">
        <v>921.19731913029</v>
      </c>
      <c r="L62">
        <v>320.60567548156098</v>
      </c>
      <c r="M62">
        <v>9652.7590990764293</v>
      </c>
      <c r="N62">
        <v>2089.6694752199301</v>
      </c>
      <c r="O62">
        <v>298.02888199722003</v>
      </c>
      <c r="P62">
        <v>1075.9372589674799</v>
      </c>
      <c r="Q62">
        <v>7770.5972324863997</v>
      </c>
      <c r="R62">
        <v>409.486137646342</v>
      </c>
      <c r="S62">
        <v>170.636591459953</v>
      </c>
      <c r="T62">
        <v>144.25656572745399</v>
      </c>
      <c r="U62">
        <v>108.762607593136</v>
      </c>
      <c r="V62">
        <v>127.912721629611</v>
      </c>
      <c r="W62">
        <v>109.564749295016</v>
      </c>
      <c r="X62">
        <v>111.705162449707</v>
      </c>
      <c r="Y62">
        <v>430.249492242538</v>
      </c>
      <c r="Z62">
        <v>116.688483708067</v>
      </c>
      <c r="AA62">
        <v>263.86356090896101</v>
      </c>
      <c r="AB62">
        <v>412.03990588438899</v>
      </c>
      <c r="AC62">
        <v>618.25470952302601</v>
      </c>
      <c r="AD62">
        <v>270.67873755740601</v>
      </c>
      <c r="AE62">
        <v>549.14375658616905</v>
      </c>
      <c r="AF62">
        <v>529.22359707926898</v>
      </c>
      <c r="AG62">
        <v>274.73968422038803</v>
      </c>
    </row>
    <row r="63" spans="1:33" x14ac:dyDescent="0.25">
      <c r="A63" s="1">
        <v>44114</v>
      </c>
      <c r="B63">
        <v>12533.646548066299</v>
      </c>
      <c r="C63">
        <v>8463.6787172043805</v>
      </c>
      <c r="D63">
        <v>9840.4544501452892</v>
      </c>
      <c r="E63">
        <v>12670.1094571261</v>
      </c>
      <c r="F63">
        <v>11558.6541517801</v>
      </c>
      <c r="G63">
        <v>10851.1205704243</v>
      </c>
      <c r="H63">
        <v>25128.9003041211</v>
      </c>
      <c r="I63">
        <v>15152.3590097939</v>
      </c>
      <c r="J63">
        <v>985.24629828453601</v>
      </c>
      <c r="K63">
        <v>888.648409264782</v>
      </c>
      <c r="L63">
        <v>311.38199539468002</v>
      </c>
      <c r="M63">
        <v>9413.9559386119399</v>
      </c>
      <c r="N63">
        <v>1938.8840892482101</v>
      </c>
      <c r="O63">
        <v>285.08951062462597</v>
      </c>
      <c r="P63">
        <v>1035.1591178864701</v>
      </c>
      <c r="Q63">
        <v>7398.1400745507199</v>
      </c>
      <c r="R63">
        <v>393.46020442582</v>
      </c>
      <c r="S63">
        <v>168.38013630786301</v>
      </c>
      <c r="T63">
        <v>142.043678983343</v>
      </c>
      <c r="U63">
        <v>108.67924868582099</v>
      </c>
      <c r="V63">
        <v>129.806544034518</v>
      </c>
      <c r="W63">
        <v>112.816085450128</v>
      </c>
      <c r="X63">
        <v>113.805850995436</v>
      </c>
      <c r="Y63">
        <v>429.946415227518</v>
      </c>
      <c r="Z63">
        <v>116.549861810832</v>
      </c>
      <c r="AA63">
        <v>264.31584748760298</v>
      </c>
      <c r="AB63">
        <v>407.65550553792099</v>
      </c>
      <c r="AC63">
        <v>613.05648789901102</v>
      </c>
      <c r="AD63">
        <v>263.97468777063301</v>
      </c>
      <c r="AE63">
        <v>510.77608870804801</v>
      </c>
      <c r="AF63">
        <v>537.79085114590703</v>
      </c>
      <c r="AG63">
        <v>274.88672208711802</v>
      </c>
    </row>
    <row r="64" spans="1:33" x14ac:dyDescent="0.25">
      <c r="A64" s="1">
        <v>44115</v>
      </c>
      <c r="B64">
        <v>12431.1860527766</v>
      </c>
      <c r="C64">
        <v>7567.9267257981901</v>
      </c>
      <c r="D64">
        <v>8903.0963853653302</v>
      </c>
      <c r="E64">
        <v>12217.5092840773</v>
      </c>
      <c r="F64">
        <v>11244.043003905101</v>
      </c>
      <c r="G64">
        <v>10135.165980130399</v>
      </c>
      <c r="H64">
        <v>23464.936568685898</v>
      </c>
      <c r="I64">
        <v>15027.857210829699</v>
      </c>
      <c r="J64">
        <v>967.609805917014</v>
      </c>
      <c r="K64">
        <v>804.62358916466496</v>
      </c>
      <c r="L64">
        <v>302.74762505891601</v>
      </c>
      <c r="M64">
        <v>8528.4738050844699</v>
      </c>
      <c r="N64">
        <v>1417.39754281399</v>
      </c>
      <c r="O64">
        <v>259.88578352642497</v>
      </c>
      <c r="P64">
        <v>917.54874870708704</v>
      </c>
      <c r="Q64">
        <v>6638.7700435050401</v>
      </c>
      <c r="R64">
        <v>355.102589244819</v>
      </c>
      <c r="S64">
        <v>164.583571470328</v>
      </c>
      <c r="T64">
        <v>133.59061769257301</v>
      </c>
      <c r="U64">
        <v>110.883982362579</v>
      </c>
      <c r="V64">
        <v>120.522577925167</v>
      </c>
      <c r="W64">
        <v>112.835170315773</v>
      </c>
      <c r="X64">
        <v>111.807438813724</v>
      </c>
      <c r="Y64">
        <v>435.38653923714799</v>
      </c>
      <c r="Z64">
        <v>117.14467027229099</v>
      </c>
      <c r="AA64">
        <v>265.00832377345301</v>
      </c>
      <c r="AB64">
        <v>406.41752281994798</v>
      </c>
      <c r="AC64">
        <v>607.798470265373</v>
      </c>
      <c r="AD64">
        <v>253.08392935440301</v>
      </c>
      <c r="AE64">
        <v>501.60777750816101</v>
      </c>
      <c r="AF64">
        <v>549.12697547954599</v>
      </c>
      <c r="AG64">
        <v>275.36340521829402</v>
      </c>
    </row>
    <row r="65" spans="1:33" x14ac:dyDescent="0.25">
      <c r="A65" s="1">
        <v>44116</v>
      </c>
      <c r="B65">
        <v>12047.569920977599</v>
      </c>
      <c r="C65">
        <v>6708.7259662831102</v>
      </c>
      <c r="D65">
        <v>8676.3202191329692</v>
      </c>
      <c r="E65">
        <v>11809.766842146601</v>
      </c>
      <c r="F65">
        <v>10972.4983649964</v>
      </c>
      <c r="G65">
        <v>9930.6082910688492</v>
      </c>
      <c r="H65">
        <v>23204.044004498301</v>
      </c>
      <c r="I65">
        <v>14793.2180870964</v>
      </c>
      <c r="J65">
        <v>953.628549202557</v>
      </c>
      <c r="K65">
        <v>776.43859970983101</v>
      </c>
      <c r="L65">
        <v>295.12726607081203</v>
      </c>
      <c r="M65">
        <v>8284.9681167968592</v>
      </c>
      <c r="N65">
        <v>1364.8552090317501</v>
      </c>
      <c r="O65">
        <v>248.09937416684099</v>
      </c>
      <c r="P65">
        <v>890.26510061661304</v>
      </c>
      <c r="Q65">
        <v>6339.7474404753002</v>
      </c>
      <c r="R65">
        <v>335.83921813828198</v>
      </c>
      <c r="S65">
        <v>163.08358085632599</v>
      </c>
      <c r="T65">
        <v>132.39376878721899</v>
      </c>
      <c r="U65">
        <v>111.088664145518</v>
      </c>
      <c r="V65">
        <v>127.683780720462</v>
      </c>
      <c r="W65">
        <v>108.998040846224</v>
      </c>
      <c r="X65">
        <v>115.513407710606</v>
      </c>
      <c r="Y65">
        <v>439.521519608858</v>
      </c>
      <c r="Z65">
        <v>116.573982953889</v>
      </c>
      <c r="AA65">
        <v>265.67011188760699</v>
      </c>
      <c r="AB65">
        <v>374.12370776519799</v>
      </c>
      <c r="AC65">
        <v>603.25624006127202</v>
      </c>
      <c r="AD65">
        <v>247.92897320170999</v>
      </c>
      <c r="AE65">
        <v>521.65850575381603</v>
      </c>
      <c r="AF65">
        <v>559.909094577838</v>
      </c>
      <c r="AG65">
        <v>275.77628978821599</v>
      </c>
    </row>
    <row r="66" spans="1:33" x14ac:dyDescent="0.25">
      <c r="A66" s="1">
        <v>44117</v>
      </c>
      <c r="B66">
        <v>11638.4163936926</v>
      </c>
      <c r="C66">
        <v>6171.7249863451498</v>
      </c>
      <c r="D66">
        <v>8423.9258811004293</v>
      </c>
      <c r="E66">
        <v>11498.306880886001</v>
      </c>
      <c r="F66">
        <v>11312.975706887</v>
      </c>
      <c r="G66">
        <v>10561.7252391785</v>
      </c>
      <c r="H66">
        <v>23613.364107537502</v>
      </c>
      <c r="I66">
        <v>14613.163997020099</v>
      </c>
      <c r="J66">
        <v>937.51884177777902</v>
      </c>
      <c r="K66">
        <v>789.72014903715899</v>
      </c>
      <c r="L66">
        <v>293.907280707724</v>
      </c>
      <c r="M66">
        <v>8842.0304468531303</v>
      </c>
      <c r="N66">
        <v>1634.9830892785101</v>
      </c>
      <c r="O66">
        <v>258.78788300070602</v>
      </c>
      <c r="P66">
        <v>931.06436992936494</v>
      </c>
      <c r="Q66">
        <v>6914.46947534437</v>
      </c>
      <c r="R66">
        <v>343.423250570672</v>
      </c>
      <c r="S66">
        <v>159.39162645266501</v>
      </c>
      <c r="T66">
        <v>137.20694174618501</v>
      </c>
      <c r="U66">
        <v>108.651305230174</v>
      </c>
      <c r="V66">
        <v>141.33326284244501</v>
      </c>
      <c r="W66">
        <v>109.59102627487999</v>
      </c>
      <c r="X66">
        <v>120.394014043784</v>
      </c>
      <c r="Y66">
        <v>434.37938394293701</v>
      </c>
      <c r="Z66">
        <v>115.198521282763</v>
      </c>
      <c r="AA66">
        <v>267.442110112043</v>
      </c>
      <c r="AB66">
        <v>397.995811595112</v>
      </c>
      <c r="AC66">
        <v>599.06379149944098</v>
      </c>
      <c r="AD66">
        <v>247.980851775178</v>
      </c>
      <c r="AE66">
        <v>513.66175959722</v>
      </c>
      <c r="AF66">
        <v>565.08526957825404</v>
      </c>
      <c r="AG66">
        <v>275.833304329724</v>
      </c>
    </row>
    <row r="67" spans="1:33" x14ac:dyDescent="0.25">
      <c r="A67" s="1">
        <v>44118</v>
      </c>
      <c r="B67">
        <v>11222.3404837162</v>
      </c>
      <c r="C67">
        <v>6256.9267196029195</v>
      </c>
      <c r="D67">
        <v>7936.5910083339904</v>
      </c>
      <c r="E67">
        <v>11121.963694501999</v>
      </c>
      <c r="F67">
        <v>11652.414766284901</v>
      </c>
      <c r="G67">
        <v>10711.3336716429</v>
      </c>
      <c r="H67">
        <v>23099.021371870302</v>
      </c>
      <c r="I67">
        <v>14621.844493046299</v>
      </c>
      <c r="J67">
        <v>924.31777101662601</v>
      </c>
      <c r="K67">
        <v>799.67851804804104</v>
      </c>
      <c r="L67">
        <v>303.64844227959799</v>
      </c>
      <c r="M67">
        <v>8998.9393054647808</v>
      </c>
      <c r="N67">
        <v>1704.3072524096599</v>
      </c>
      <c r="O67">
        <v>283.18357652036298</v>
      </c>
      <c r="P67">
        <v>949.26844962031703</v>
      </c>
      <c r="Q67">
        <v>6992.5567697674996</v>
      </c>
      <c r="R67">
        <v>351.65847229747499</v>
      </c>
      <c r="S67">
        <v>157.24672432692799</v>
      </c>
      <c r="T67">
        <v>138.93481742133301</v>
      </c>
      <c r="U67">
        <v>108.41582367603399</v>
      </c>
      <c r="V67">
        <v>128.624504126033</v>
      </c>
      <c r="W67">
        <v>106.493809529358</v>
      </c>
      <c r="X67">
        <v>112.282286097121</v>
      </c>
      <c r="Y67">
        <v>437.90365213705502</v>
      </c>
      <c r="Z67">
        <v>115.11783841449</v>
      </c>
      <c r="AA67">
        <v>268.83795383982601</v>
      </c>
      <c r="AB67">
        <v>388.19759673871198</v>
      </c>
      <c r="AC67">
        <v>592.69752332620305</v>
      </c>
      <c r="AD67">
        <v>249.510852078949</v>
      </c>
      <c r="AE67">
        <v>508.12657837273099</v>
      </c>
      <c r="AF67">
        <v>570.36838584760596</v>
      </c>
      <c r="AG67">
        <v>274.85669116794298</v>
      </c>
    </row>
    <row r="68" spans="1:33" x14ac:dyDescent="0.25">
      <c r="A68" s="1">
        <v>44119</v>
      </c>
      <c r="B68">
        <v>10660.0513726011</v>
      </c>
      <c r="C68">
        <v>6205.2836969072996</v>
      </c>
      <c r="D68">
        <v>7633.3512116778602</v>
      </c>
      <c r="E68">
        <v>10766.240046584</v>
      </c>
      <c r="F68">
        <v>11978.442815010299</v>
      </c>
      <c r="G68">
        <v>11124.7605881786</v>
      </c>
      <c r="H68">
        <v>23295.067334838201</v>
      </c>
      <c r="I68">
        <v>14724.779576634701</v>
      </c>
      <c r="J68">
        <v>919.28569441952402</v>
      </c>
      <c r="K68">
        <v>828.13816829476002</v>
      </c>
      <c r="L68">
        <v>311.731668169241</v>
      </c>
      <c r="M68">
        <v>9391.9495563260298</v>
      </c>
      <c r="N68">
        <v>1834.55129547618</v>
      </c>
      <c r="O68">
        <v>309.20145010481701</v>
      </c>
      <c r="P68">
        <v>996.79842863236001</v>
      </c>
      <c r="Q68">
        <v>7335.0729936330299</v>
      </c>
      <c r="R68">
        <v>370.18053621798902</v>
      </c>
      <c r="S68">
        <v>155.194925256115</v>
      </c>
      <c r="T68">
        <v>137.70326009029699</v>
      </c>
      <c r="U68">
        <v>108.46934393987399</v>
      </c>
      <c r="V68">
        <v>125.945119168874</v>
      </c>
      <c r="W68">
        <v>108.584318576724</v>
      </c>
      <c r="X68">
        <v>109.91963958044001</v>
      </c>
      <c r="Y68">
        <v>435.79203271401798</v>
      </c>
      <c r="Z68">
        <v>115.81759151504301</v>
      </c>
      <c r="AA68">
        <v>271.100308929655</v>
      </c>
      <c r="AB68">
        <v>396.76607721949603</v>
      </c>
      <c r="AC68">
        <v>591.138554095666</v>
      </c>
      <c r="AD68">
        <v>256.64136198094798</v>
      </c>
      <c r="AE68">
        <v>483.463093244736</v>
      </c>
      <c r="AF68">
        <v>575.478893601197</v>
      </c>
      <c r="AG68">
        <v>274.83568241134202</v>
      </c>
    </row>
    <row r="69" spans="1:33" x14ac:dyDescent="0.25">
      <c r="A69" s="1">
        <v>44120</v>
      </c>
      <c r="B69">
        <v>10160.3803060931</v>
      </c>
      <c r="C69">
        <v>6336.8489398698202</v>
      </c>
      <c r="D69">
        <v>7548.1140424985897</v>
      </c>
      <c r="E69">
        <v>10493.5152621423</v>
      </c>
      <c r="F69">
        <v>12592.5310841765</v>
      </c>
      <c r="G69">
        <v>12216.7172277216</v>
      </c>
      <c r="H69">
        <v>24062.065768268199</v>
      </c>
      <c r="I69">
        <v>14904.4431203329</v>
      </c>
      <c r="J69">
        <v>925.90210016902699</v>
      </c>
      <c r="K69">
        <v>906.36876460153496</v>
      </c>
      <c r="L69">
        <v>329.50156691205598</v>
      </c>
      <c r="M69">
        <v>10371.8569851096</v>
      </c>
      <c r="N69">
        <v>2228.0794273742299</v>
      </c>
      <c r="O69">
        <v>344.13146463757602</v>
      </c>
      <c r="P69">
        <v>1115.61497533329</v>
      </c>
      <c r="Q69">
        <v>8230.4246066970609</v>
      </c>
      <c r="R69">
        <v>404.26893538138597</v>
      </c>
      <c r="S69">
        <v>152.42325330834299</v>
      </c>
      <c r="T69">
        <v>144.316898544297</v>
      </c>
      <c r="U69">
        <v>108.763066315633</v>
      </c>
      <c r="V69">
        <v>139.57441316629399</v>
      </c>
      <c r="W69">
        <v>109.86034329818899</v>
      </c>
      <c r="X69">
        <v>111.923468681884</v>
      </c>
      <c r="Y69">
        <v>430.95579503239799</v>
      </c>
      <c r="Z69">
        <v>116.664782689974</v>
      </c>
      <c r="AA69">
        <v>272.627050732962</v>
      </c>
      <c r="AB69">
        <v>398.98652601597098</v>
      </c>
      <c r="AC69">
        <v>591.474956991103</v>
      </c>
      <c r="AD69">
        <v>273.49774362572498</v>
      </c>
      <c r="AE69">
        <v>397.40861495036398</v>
      </c>
      <c r="AF69">
        <v>577.48777121230103</v>
      </c>
      <c r="AG69">
        <v>275.07726557487098</v>
      </c>
    </row>
    <row r="70" spans="1:33" x14ac:dyDescent="0.25">
      <c r="A70" s="1">
        <v>44121</v>
      </c>
      <c r="B70">
        <v>9835.7246372852205</v>
      </c>
      <c r="C70">
        <v>7070.9773946262803</v>
      </c>
      <c r="D70">
        <v>7496.44779269428</v>
      </c>
      <c r="E70">
        <v>10308.8116123204</v>
      </c>
      <c r="F70">
        <v>13371.9107873744</v>
      </c>
      <c r="G70">
        <v>13353.387799395799</v>
      </c>
      <c r="H70">
        <v>25040.5542188748</v>
      </c>
      <c r="I70">
        <v>15268.251889770199</v>
      </c>
      <c r="J70">
        <v>946.77644258838495</v>
      </c>
      <c r="K70">
        <v>1019.18951534604</v>
      </c>
      <c r="L70">
        <v>357.57881169632998</v>
      </c>
      <c r="M70">
        <v>11412.654844005099</v>
      </c>
      <c r="N70">
        <v>2800.7210911512602</v>
      </c>
      <c r="O70">
        <v>377.29629058523398</v>
      </c>
      <c r="P70">
        <v>1281.5742348569299</v>
      </c>
      <c r="Q70">
        <v>9359.7152752209004</v>
      </c>
      <c r="R70">
        <v>443.61494809449198</v>
      </c>
      <c r="S70">
        <v>149.840922831592</v>
      </c>
      <c r="T70">
        <v>168.184493427409</v>
      </c>
      <c r="U70">
        <v>111.890414463436</v>
      </c>
      <c r="V70">
        <v>180.29957667629799</v>
      </c>
      <c r="W70">
        <v>112.06001120158599</v>
      </c>
      <c r="X70">
        <v>126.528718786417</v>
      </c>
      <c r="Y70">
        <v>442.30394952895801</v>
      </c>
      <c r="Z70">
        <v>117.116511215266</v>
      </c>
      <c r="AA70">
        <v>273.359070235263</v>
      </c>
      <c r="AB70">
        <v>403.16284160845601</v>
      </c>
      <c r="AC70">
        <v>586.81863271837096</v>
      </c>
      <c r="AD70">
        <v>295.76870051635001</v>
      </c>
      <c r="AE70">
        <v>341.13789211518798</v>
      </c>
      <c r="AF70">
        <v>579.85465806507204</v>
      </c>
      <c r="AG70">
        <v>275.62454294316302</v>
      </c>
    </row>
    <row r="71" spans="1:33" x14ac:dyDescent="0.25">
      <c r="A71" s="1">
        <v>44122</v>
      </c>
      <c r="B71">
        <v>9741.0223781588593</v>
      </c>
      <c r="C71">
        <v>7968.0312833271701</v>
      </c>
      <c r="D71">
        <v>7455.0015186461796</v>
      </c>
      <c r="E71">
        <v>10210.9343048342</v>
      </c>
      <c r="F71">
        <v>14048.5925443162</v>
      </c>
      <c r="G71">
        <v>13884.459722670699</v>
      </c>
      <c r="H71">
        <v>25650.334614421299</v>
      </c>
      <c r="I71">
        <v>15809.748063184999</v>
      </c>
      <c r="J71">
        <v>973.03818722358801</v>
      </c>
      <c r="K71">
        <v>1093.72399120214</v>
      </c>
      <c r="L71">
        <v>375.579160978912</v>
      </c>
      <c r="M71">
        <v>12028.0434375776</v>
      </c>
      <c r="N71">
        <v>3281.2941297746202</v>
      </c>
      <c r="O71">
        <v>371.02099325649402</v>
      </c>
      <c r="P71">
        <v>1376.28509580375</v>
      </c>
      <c r="Q71">
        <v>10040.731736599</v>
      </c>
      <c r="R71">
        <v>458.03837229042301</v>
      </c>
      <c r="S71">
        <v>148.06705960018499</v>
      </c>
      <c r="T71">
        <v>213.69444935598099</v>
      </c>
      <c r="U71">
        <v>114.55446238739199</v>
      </c>
      <c r="V71">
        <v>240.874974188984</v>
      </c>
      <c r="W71">
        <v>113.418303897876</v>
      </c>
      <c r="X71">
        <v>147.737421407037</v>
      </c>
      <c r="Y71">
        <v>463.18898065631703</v>
      </c>
      <c r="Z71">
        <v>116.613953813931</v>
      </c>
      <c r="AA71">
        <v>274.69499882956802</v>
      </c>
      <c r="AB71">
        <v>404.04783534873798</v>
      </c>
      <c r="AC71">
        <v>559.05157342377095</v>
      </c>
      <c r="AD71">
        <v>307.23187405012402</v>
      </c>
      <c r="AE71">
        <v>267.514274402696</v>
      </c>
      <c r="AF71">
        <v>583.762168833685</v>
      </c>
      <c r="AG71">
        <v>277.63521660714702</v>
      </c>
    </row>
    <row r="72" spans="1:33" x14ac:dyDescent="0.25">
      <c r="A72" s="1">
        <v>44123</v>
      </c>
      <c r="B72">
        <v>9727.9667148610497</v>
      </c>
      <c r="C72">
        <v>8641.4434960709295</v>
      </c>
      <c r="D72">
        <v>7514.8357846161998</v>
      </c>
      <c r="E72">
        <v>10201.9293198206</v>
      </c>
      <c r="F72">
        <v>14367.171984979899</v>
      </c>
      <c r="G72">
        <v>13871.2512674029</v>
      </c>
      <c r="H72">
        <v>25659.922279164301</v>
      </c>
      <c r="I72">
        <v>16304.848074240501</v>
      </c>
      <c r="J72">
        <v>993.80813486967998</v>
      </c>
      <c r="K72">
        <v>1126.9649118756399</v>
      </c>
      <c r="L72">
        <v>377.98753439091001</v>
      </c>
      <c r="M72">
        <v>12070.342013822999</v>
      </c>
      <c r="N72">
        <v>3426.2583441728898</v>
      </c>
      <c r="O72">
        <v>357.34523738667701</v>
      </c>
      <c r="P72">
        <v>1407.3820509238401</v>
      </c>
      <c r="Q72">
        <v>10177.9739450489</v>
      </c>
      <c r="R72">
        <v>455.09174799302599</v>
      </c>
      <c r="S72">
        <v>146.89228454439501</v>
      </c>
      <c r="T72">
        <v>247.77325839112299</v>
      </c>
      <c r="U72">
        <v>109.443334426004</v>
      </c>
      <c r="V72">
        <v>265.02905156314301</v>
      </c>
      <c r="W72">
        <v>108.509037932361</v>
      </c>
      <c r="X72">
        <v>158.36553975248501</v>
      </c>
      <c r="Y72">
        <v>477.21710297151799</v>
      </c>
      <c r="Z72">
        <v>115.939415271836</v>
      </c>
      <c r="AA72">
        <v>276.19193786724799</v>
      </c>
      <c r="AB72">
        <v>408.459258453487</v>
      </c>
      <c r="AC72">
        <v>527.65744263967497</v>
      </c>
      <c r="AD72">
        <v>308.07146828498901</v>
      </c>
      <c r="AE72">
        <v>209.946283911943</v>
      </c>
      <c r="AF72">
        <v>586.602320976795</v>
      </c>
      <c r="AG72">
        <v>281.31016342423402</v>
      </c>
    </row>
    <row r="73" spans="1:33" x14ac:dyDescent="0.25">
      <c r="A73" s="1">
        <v>44124</v>
      </c>
      <c r="B73">
        <v>9697.6584513800208</v>
      </c>
      <c r="C73">
        <v>8939.3051510142195</v>
      </c>
      <c r="D73">
        <v>7734.3635401375604</v>
      </c>
      <c r="E73">
        <v>10272.380430008099</v>
      </c>
      <c r="F73">
        <v>14516.4653718517</v>
      </c>
      <c r="G73">
        <v>13813.3054667699</v>
      </c>
      <c r="H73">
        <v>25766.122350350601</v>
      </c>
      <c r="I73">
        <v>16633.586582274002</v>
      </c>
      <c r="J73">
        <v>1005.93925929392</v>
      </c>
      <c r="K73">
        <v>1157.85881939622</v>
      </c>
      <c r="L73">
        <v>379.03713553973103</v>
      </c>
      <c r="M73">
        <v>12038.953034374001</v>
      </c>
      <c r="N73">
        <v>3556.7471390513801</v>
      </c>
      <c r="O73">
        <v>350.160067724187</v>
      </c>
      <c r="P73">
        <v>1445.03254442206</v>
      </c>
      <c r="Q73">
        <v>10248.042739448199</v>
      </c>
      <c r="R73">
        <v>452.98968700652699</v>
      </c>
      <c r="S73">
        <v>145.96311614096601</v>
      </c>
      <c r="T73">
        <v>276.93288297715702</v>
      </c>
      <c r="U73">
        <v>111.15432979457</v>
      </c>
      <c r="V73">
        <v>281.59688064571401</v>
      </c>
      <c r="W73">
        <v>115.44764527169001</v>
      </c>
      <c r="X73">
        <v>166.041617511499</v>
      </c>
      <c r="Y73">
        <v>472.96659845919498</v>
      </c>
      <c r="Z73">
        <v>116.52043288506501</v>
      </c>
      <c r="AA73">
        <v>278.50206025379902</v>
      </c>
      <c r="AB73">
        <v>413.155168286947</v>
      </c>
      <c r="AC73">
        <v>485.16549509613799</v>
      </c>
      <c r="AD73">
        <v>307.60982731867603</v>
      </c>
      <c r="AE73">
        <v>201.05634421302301</v>
      </c>
      <c r="AF73">
        <v>586.380217858538</v>
      </c>
      <c r="AG73">
        <v>286.89147831341398</v>
      </c>
    </row>
    <row r="74" spans="1:33" x14ac:dyDescent="0.25">
      <c r="A74" s="1">
        <v>44125</v>
      </c>
      <c r="B74">
        <v>9728.5774835051598</v>
      </c>
      <c r="C74">
        <v>9300.5382148523695</v>
      </c>
      <c r="D74">
        <v>8042.9062239187097</v>
      </c>
      <c r="E74">
        <v>10484.5298677587</v>
      </c>
      <c r="F74">
        <v>14603.0163883815</v>
      </c>
      <c r="G74">
        <v>14014.8060380939</v>
      </c>
      <c r="H74">
        <v>26097.596443873001</v>
      </c>
      <c r="I74">
        <v>16868.6434734459</v>
      </c>
      <c r="J74">
        <v>1017.95241808439</v>
      </c>
      <c r="K74">
        <v>1228.50131020966</v>
      </c>
      <c r="L74">
        <v>383.37881049952</v>
      </c>
      <c r="M74">
        <v>12283.912361734299</v>
      </c>
      <c r="N74">
        <v>3735.2788728717301</v>
      </c>
      <c r="O74">
        <v>365.08505223503403</v>
      </c>
      <c r="P74">
        <v>1550.0750382455501</v>
      </c>
      <c r="Q74">
        <v>10433.2145470954</v>
      </c>
      <c r="R74">
        <v>470.95993940435301</v>
      </c>
      <c r="S74">
        <v>144.951963021663</v>
      </c>
      <c r="T74">
        <v>283.45448868596901</v>
      </c>
      <c r="U74">
        <v>113.629720336182</v>
      </c>
      <c r="V74">
        <v>239.636735009246</v>
      </c>
      <c r="W74">
        <v>109.48134241489301</v>
      </c>
      <c r="X74">
        <v>121.936538295232</v>
      </c>
      <c r="Y74">
        <v>457.37487874704601</v>
      </c>
      <c r="Z74">
        <v>117.62634620807199</v>
      </c>
      <c r="AA74">
        <v>282.23350492755401</v>
      </c>
      <c r="AB74">
        <v>424.82651779948998</v>
      </c>
      <c r="AC74">
        <v>429.42904049036002</v>
      </c>
      <c r="AD74">
        <v>313.34221918839597</v>
      </c>
      <c r="AE74">
        <v>234.61666879416799</v>
      </c>
      <c r="AF74">
        <v>580.40548677615902</v>
      </c>
      <c r="AG74">
        <v>292.77435428978498</v>
      </c>
    </row>
    <row r="75" spans="1:33" x14ac:dyDescent="0.25">
      <c r="A75" s="1">
        <v>44126</v>
      </c>
      <c r="B75">
        <v>9837.4158773504896</v>
      </c>
      <c r="C75">
        <v>9834.08294913389</v>
      </c>
      <c r="D75">
        <v>8330.4374929685091</v>
      </c>
      <c r="E75">
        <v>10622.157255229</v>
      </c>
      <c r="F75">
        <v>14652.172734256201</v>
      </c>
      <c r="G75">
        <v>14035.833755603</v>
      </c>
      <c r="H75">
        <v>26332.152501036398</v>
      </c>
      <c r="I75">
        <v>17015.040084086399</v>
      </c>
      <c r="J75">
        <v>1028.1331265039</v>
      </c>
      <c r="K75">
        <v>1278.7498311177001</v>
      </c>
      <c r="L75">
        <v>395.14400575960201</v>
      </c>
      <c r="M75">
        <v>12316.8311091098</v>
      </c>
      <c r="N75">
        <v>3637.79271646384</v>
      </c>
      <c r="O75">
        <v>394.88732213259698</v>
      </c>
      <c r="P75">
        <v>1623.93003159194</v>
      </c>
      <c r="Q75">
        <v>10324.915874483801</v>
      </c>
      <c r="R75">
        <v>496.36467844126503</v>
      </c>
      <c r="S75">
        <v>144.15921661415899</v>
      </c>
      <c r="T75">
        <v>253.544680951549</v>
      </c>
      <c r="U75">
        <v>113.312409889099</v>
      </c>
      <c r="V75">
        <v>198.22152857197199</v>
      </c>
      <c r="W75">
        <v>108.93731418816201</v>
      </c>
      <c r="X75">
        <v>117.864623628705</v>
      </c>
      <c r="Y75">
        <v>439.34325755494001</v>
      </c>
      <c r="Z75">
        <v>119.123675553282</v>
      </c>
      <c r="AA75">
        <v>288.28490241187097</v>
      </c>
      <c r="AB75">
        <v>425.07987466006301</v>
      </c>
      <c r="AC75">
        <v>403.63378094414099</v>
      </c>
      <c r="AD75">
        <v>323.04273482614599</v>
      </c>
      <c r="AE75">
        <v>289.79983774736502</v>
      </c>
      <c r="AF75">
        <v>569.74111800523997</v>
      </c>
      <c r="AG75">
        <v>294.68029464253698</v>
      </c>
    </row>
    <row r="76" spans="1:33" x14ac:dyDescent="0.25">
      <c r="A76" s="1">
        <v>44127</v>
      </c>
      <c r="B76">
        <v>9995.3389199502308</v>
      </c>
      <c r="C76">
        <v>9846.6098316514308</v>
      </c>
      <c r="D76">
        <v>8566.05342376308</v>
      </c>
      <c r="E76">
        <v>10630.5318601159</v>
      </c>
      <c r="F76">
        <v>14577.8341233146</v>
      </c>
      <c r="G76">
        <v>13914.0912201756</v>
      </c>
      <c r="H76">
        <v>26574.280706301699</v>
      </c>
      <c r="I76">
        <v>17066.384551609299</v>
      </c>
      <c r="J76">
        <v>1037.0438317102601</v>
      </c>
      <c r="K76">
        <v>1282.23442560987</v>
      </c>
      <c r="L76">
        <v>404.95540787061498</v>
      </c>
      <c r="M76">
        <v>12232.480353892301</v>
      </c>
      <c r="N76">
        <v>3371.7673021394899</v>
      </c>
      <c r="O76">
        <v>415.57384609928499</v>
      </c>
      <c r="P76">
        <v>1589.7306957952101</v>
      </c>
      <c r="Q76">
        <v>10132.7053786652</v>
      </c>
      <c r="R76">
        <v>520.11185187180797</v>
      </c>
      <c r="S76">
        <v>144.24934120069801</v>
      </c>
      <c r="T76">
        <v>219.51835061086399</v>
      </c>
      <c r="U76">
        <v>113.552680461032</v>
      </c>
      <c r="V76">
        <v>159.018634476757</v>
      </c>
      <c r="W76">
        <v>107.442303057918</v>
      </c>
      <c r="X76">
        <v>110.393165234072</v>
      </c>
      <c r="Y76">
        <v>431.68313860127</v>
      </c>
      <c r="Z76">
        <v>120.14189883654799</v>
      </c>
      <c r="AA76">
        <v>296.22881182694101</v>
      </c>
      <c r="AB76">
        <v>423.47314198740702</v>
      </c>
      <c r="AC76">
        <v>383.05229935136202</v>
      </c>
      <c r="AD76">
        <v>329.92138122457902</v>
      </c>
      <c r="AE76">
        <v>330.80583985203702</v>
      </c>
      <c r="AF76">
        <v>555.42336347170897</v>
      </c>
      <c r="AG76">
        <v>295.04475938658601</v>
      </c>
    </row>
    <row r="77" spans="1:33" x14ac:dyDescent="0.25">
      <c r="A77" s="1">
        <v>44128</v>
      </c>
      <c r="B77">
        <v>10126.615376805299</v>
      </c>
      <c r="C77">
        <v>10125.439155787801</v>
      </c>
      <c r="D77">
        <v>8870.4121180693801</v>
      </c>
      <c r="E77">
        <v>10664.713080920201</v>
      </c>
      <c r="F77">
        <v>14384.392265520901</v>
      </c>
      <c r="G77">
        <v>13598.9157573554</v>
      </c>
      <c r="H77">
        <v>26118.949627711401</v>
      </c>
      <c r="I77">
        <v>17065.021383697698</v>
      </c>
      <c r="J77">
        <v>1041.18517783427</v>
      </c>
      <c r="K77">
        <v>1239.0152128336699</v>
      </c>
      <c r="L77">
        <v>416.58536468166699</v>
      </c>
      <c r="M77">
        <v>11814.239663800099</v>
      </c>
      <c r="N77">
        <v>3079.2361951968501</v>
      </c>
      <c r="O77">
        <v>414.15730361379701</v>
      </c>
      <c r="P77">
        <v>1523.16902750794</v>
      </c>
      <c r="Q77">
        <v>9826.7844663477899</v>
      </c>
      <c r="R77">
        <v>519.67790321268399</v>
      </c>
      <c r="S77">
        <v>144.38086689404301</v>
      </c>
      <c r="T77">
        <v>199.17181032544201</v>
      </c>
      <c r="U77">
        <v>110.142848102627</v>
      </c>
      <c r="V77">
        <v>176.90415078482701</v>
      </c>
      <c r="W77">
        <v>116.538356825845</v>
      </c>
      <c r="X77">
        <v>116.416939596245</v>
      </c>
      <c r="Y77">
        <v>427.031629144183</v>
      </c>
      <c r="Z77">
        <v>120.578255200485</v>
      </c>
      <c r="AA77">
        <v>305.48377774227203</v>
      </c>
      <c r="AB77">
        <v>427.226386538648</v>
      </c>
      <c r="AC77">
        <v>405.596450654325</v>
      </c>
      <c r="AD77">
        <v>333.35212312791202</v>
      </c>
      <c r="AE77">
        <v>307.19132201343399</v>
      </c>
      <c r="AF77">
        <v>541.27605521799103</v>
      </c>
      <c r="AG77">
        <v>298.10393810052199</v>
      </c>
    </row>
    <row r="78" spans="1:33" x14ac:dyDescent="0.25">
      <c r="A78" s="1">
        <v>44129</v>
      </c>
      <c r="B78">
        <v>10298.92792271</v>
      </c>
      <c r="C78">
        <v>10003.160500484801</v>
      </c>
      <c r="D78">
        <v>9144.7960867720303</v>
      </c>
      <c r="E78">
        <v>10539.0608814877</v>
      </c>
      <c r="F78">
        <v>14231.2622004808</v>
      </c>
      <c r="G78">
        <v>13175.57308944</v>
      </c>
      <c r="H78">
        <v>24859.523299725799</v>
      </c>
      <c r="I78">
        <v>17092.351488853801</v>
      </c>
      <c r="J78">
        <v>1042.18918858439</v>
      </c>
      <c r="K78">
        <v>1174.05693315845</v>
      </c>
      <c r="L78">
        <v>415.07152487016401</v>
      </c>
      <c r="M78">
        <v>11183.8613201389</v>
      </c>
      <c r="N78">
        <v>2505.4726266807202</v>
      </c>
      <c r="O78">
        <v>378.86871416069999</v>
      </c>
      <c r="P78">
        <v>1419.7308940929699</v>
      </c>
      <c r="Q78">
        <v>9377.8345067902901</v>
      </c>
      <c r="R78">
        <v>492.80766838786798</v>
      </c>
      <c r="S78">
        <v>144.10567387494501</v>
      </c>
      <c r="T78">
        <v>180.46596318718801</v>
      </c>
      <c r="U78">
        <v>115.565901382536</v>
      </c>
      <c r="V78">
        <v>160.47131547080099</v>
      </c>
      <c r="W78">
        <v>110.75316909921099</v>
      </c>
      <c r="X78">
        <v>119.61567710261301</v>
      </c>
      <c r="Y78">
        <v>422.10594583528598</v>
      </c>
      <c r="Z78">
        <v>120.301358298496</v>
      </c>
      <c r="AA78">
        <v>313.82058589932097</v>
      </c>
      <c r="AB78">
        <v>421.93819090004399</v>
      </c>
      <c r="AC78">
        <v>424.92706486748801</v>
      </c>
      <c r="AD78">
        <v>327.96637515962698</v>
      </c>
      <c r="AE78">
        <v>226.645349685447</v>
      </c>
      <c r="AF78">
        <v>518.69415296352497</v>
      </c>
      <c r="AG78">
        <v>301.39899202631199</v>
      </c>
    </row>
    <row r="79" spans="1:33" x14ac:dyDescent="0.25">
      <c r="A79" s="1">
        <v>44130</v>
      </c>
      <c r="B79">
        <v>10277.351812905301</v>
      </c>
      <c r="C79">
        <v>9296.3611008763</v>
      </c>
      <c r="D79">
        <v>9415.5171540915799</v>
      </c>
      <c r="E79">
        <v>10425.2754943121</v>
      </c>
      <c r="F79">
        <v>13374.5569601518</v>
      </c>
      <c r="G79">
        <v>11717.193683945001</v>
      </c>
      <c r="H79">
        <v>23171.961455687</v>
      </c>
      <c r="I79">
        <v>17106.825717965301</v>
      </c>
      <c r="J79">
        <v>1011.79958243189</v>
      </c>
      <c r="K79">
        <v>1039.1153281783199</v>
      </c>
      <c r="L79">
        <v>385.15355275884099</v>
      </c>
      <c r="M79">
        <v>9524.92646240672</v>
      </c>
      <c r="N79">
        <v>1623.2845497839201</v>
      </c>
      <c r="O79">
        <v>318.01470175056699</v>
      </c>
      <c r="P79">
        <v>1177.4103677395501</v>
      </c>
      <c r="Q79">
        <v>7657.6553880282099</v>
      </c>
      <c r="R79">
        <v>419.77147471496801</v>
      </c>
      <c r="S79">
        <v>144.856596356219</v>
      </c>
      <c r="T79">
        <v>158.700521643896</v>
      </c>
      <c r="U79">
        <v>109.810739189472</v>
      </c>
      <c r="V79">
        <v>135.84410209974899</v>
      </c>
      <c r="W79">
        <v>108.808670473037</v>
      </c>
      <c r="X79">
        <v>119.11636459177799</v>
      </c>
      <c r="Y79">
        <v>407.22661582222702</v>
      </c>
      <c r="Z79">
        <v>119.894790206021</v>
      </c>
      <c r="AA79">
        <v>314.427897795484</v>
      </c>
      <c r="AB79">
        <v>418.25047125446002</v>
      </c>
      <c r="AC79">
        <v>432.56689815695597</v>
      </c>
      <c r="AD79">
        <v>305.76804141522899</v>
      </c>
      <c r="AE79">
        <v>239.75272904774801</v>
      </c>
      <c r="AF79">
        <v>462.481075803549</v>
      </c>
      <c r="AG79">
        <v>312.15221724210699</v>
      </c>
    </row>
    <row r="80" spans="1:33" x14ac:dyDescent="0.25">
      <c r="A80" s="1">
        <v>44131</v>
      </c>
      <c r="B80">
        <v>10438.9701857944</v>
      </c>
      <c r="C80">
        <v>7812.3917264131896</v>
      </c>
      <c r="D80">
        <v>9534.9586865168494</v>
      </c>
      <c r="E80">
        <v>10842.3843430656</v>
      </c>
      <c r="F80">
        <v>12938.141049157201</v>
      </c>
      <c r="G80">
        <v>11820.819870011301</v>
      </c>
      <c r="H80">
        <v>24048.6237277453</v>
      </c>
      <c r="I80">
        <v>16790.625973272799</v>
      </c>
      <c r="J80">
        <v>1014.7680896452</v>
      </c>
      <c r="K80">
        <v>991.35119624869606</v>
      </c>
      <c r="L80">
        <v>355.78188510806399</v>
      </c>
      <c r="M80">
        <v>10102.960759731401</v>
      </c>
      <c r="N80">
        <v>2197.5073758786298</v>
      </c>
      <c r="O80">
        <v>304.21067263283101</v>
      </c>
      <c r="P80">
        <v>1174.6180800324801</v>
      </c>
      <c r="Q80">
        <v>8128.2663243345096</v>
      </c>
      <c r="R80">
        <v>407.28987550580302</v>
      </c>
      <c r="S80">
        <v>145.62360269307399</v>
      </c>
      <c r="T80">
        <v>163.63092704498001</v>
      </c>
      <c r="U80">
        <v>108.32234542267101</v>
      </c>
      <c r="V80">
        <v>158.992244732274</v>
      </c>
      <c r="W80">
        <v>108.201344755311</v>
      </c>
      <c r="X80">
        <v>122.509320969977</v>
      </c>
      <c r="Y80">
        <v>418.08660843310599</v>
      </c>
      <c r="Z80">
        <v>120.34129320128901</v>
      </c>
      <c r="AA80">
        <v>326.79321168022602</v>
      </c>
      <c r="AB80">
        <v>421.97330931866901</v>
      </c>
      <c r="AC80">
        <v>428.18633864596802</v>
      </c>
      <c r="AD80">
        <v>295.12450308655502</v>
      </c>
      <c r="AE80">
        <v>281.405659330753</v>
      </c>
      <c r="AF80">
        <v>441.356692059642</v>
      </c>
      <c r="AG80">
        <v>311.41396349219002</v>
      </c>
    </row>
    <row r="81" spans="1:33" x14ac:dyDescent="0.25">
      <c r="A81" s="1">
        <v>44132</v>
      </c>
      <c r="B81">
        <v>10835.9133640236</v>
      </c>
      <c r="C81">
        <v>7604.6181958052903</v>
      </c>
      <c r="D81">
        <v>9457.6467896685899</v>
      </c>
      <c r="E81">
        <v>11013.1171815327</v>
      </c>
      <c r="F81">
        <v>13083.240719809201</v>
      </c>
      <c r="G81">
        <v>12264.3535311416</v>
      </c>
      <c r="H81">
        <v>24721.403759938199</v>
      </c>
      <c r="I81">
        <v>16510.666186063499</v>
      </c>
      <c r="J81">
        <v>1014.74492873903</v>
      </c>
      <c r="K81">
        <v>973.30184684942105</v>
      </c>
      <c r="L81">
        <v>346.46104017187298</v>
      </c>
      <c r="M81">
        <v>10390.369188259499</v>
      </c>
      <c r="N81">
        <v>2357.64398252009</v>
      </c>
      <c r="O81">
        <v>299.877142542157</v>
      </c>
      <c r="P81">
        <v>1152.87542468731</v>
      </c>
      <c r="Q81">
        <v>8437.1037026190897</v>
      </c>
      <c r="R81">
        <v>399.62844809713403</v>
      </c>
      <c r="S81">
        <v>145.69605289010599</v>
      </c>
      <c r="T81">
        <v>164.202076830701</v>
      </c>
      <c r="U81">
        <v>108.538479886025</v>
      </c>
      <c r="V81">
        <v>169.790539464977</v>
      </c>
      <c r="W81">
        <v>111.10872650461501</v>
      </c>
      <c r="X81">
        <v>123.78674780333</v>
      </c>
      <c r="Y81">
        <v>424.08424577491297</v>
      </c>
      <c r="Z81">
        <v>120.16554208794599</v>
      </c>
      <c r="AA81">
        <v>340.347072868579</v>
      </c>
      <c r="AB81">
        <v>433.05074102632602</v>
      </c>
      <c r="AC81">
        <v>395.49459362476102</v>
      </c>
      <c r="AD81">
        <v>289.67905780567901</v>
      </c>
      <c r="AE81">
        <v>337.29968820484299</v>
      </c>
      <c r="AF81">
        <v>441.48971205354201</v>
      </c>
      <c r="AG81">
        <v>313.78717444417998</v>
      </c>
    </row>
    <row r="82" spans="1:33" x14ac:dyDescent="0.25">
      <c r="A82" s="1">
        <v>44133</v>
      </c>
      <c r="B82">
        <v>10958.702244412299</v>
      </c>
      <c r="C82">
        <v>7803.2291627282702</v>
      </c>
      <c r="D82">
        <v>9093.4306231802893</v>
      </c>
      <c r="E82">
        <v>11077.5892473645</v>
      </c>
      <c r="F82">
        <v>13322.498667883599</v>
      </c>
      <c r="G82">
        <v>12574.896132945099</v>
      </c>
      <c r="H82">
        <v>25043.540837230801</v>
      </c>
      <c r="I82">
        <v>16472.550546738501</v>
      </c>
      <c r="J82">
        <v>1017.29881704058</v>
      </c>
      <c r="K82">
        <v>976.82467548264401</v>
      </c>
      <c r="L82">
        <v>347.18634965303801</v>
      </c>
      <c r="M82">
        <v>10697.081787273301</v>
      </c>
      <c r="N82">
        <v>2378.7067866870898</v>
      </c>
      <c r="O82">
        <v>325.89478354411102</v>
      </c>
      <c r="P82">
        <v>1153.9326145090099</v>
      </c>
      <c r="Q82">
        <v>8643.8089961438509</v>
      </c>
      <c r="R82">
        <v>408.98755080758701</v>
      </c>
      <c r="S82">
        <v>145.73984152073899</v>
      </c>
      <c r="T82">
        <v>161.72993492385399</v>
      </c>
      <c r="U82">
        <v>108.950069946784</v>
      </c>
      <c r="V82">
        <v>143.87515639424399</v>
      </c>
      <c r="W82">
        <v>118.85654943585</v>
      </c>
      <c r="X82">
        <v>111.114974523661</v>
      </c>
      <c r="Y82">
        <v>423.79888159290198</v>
      </c>
      <c r="Z82">
        <v>120.151289991135</v>
      </c>
      <c r="AA82">
        <v>348.803118336811</v>
      </c>
      <c r="AB82">
        <v>433.55885815015199</v>
      </c>
      <c r="AC82">
        <v>404.31548734102398</v>
      </c>
      <c r="AD82">
        <v>289.287027019871</v>
      </c>
      <c r="AE82">
        <v>357.305895769041</v>
      </c>
      <c r="AF82">
        <v>447.96877416130098</v>
      </c>
      <c r="AG82">
        <v>318.01976566319502</v>
      </c>
    </row>
    <row r="83" spans="1:33" x14ac:dyDescent="0.25">
      <c r="A83" s="1">
        <v>44134</v>
      </c>
      <c r="B83">
        <v>10960.071575099901</v>
      </c>
      <c r="C83">
        <v>7867.3878483360204</v>
      </c>
      <c r="D83">
        <v>8757.0706262451404</v>
      </c>
      <c r="E83">
        <v>11078.9366274112</v>
      </c>
      <c r="F83">
        <v>13409.788169064001</v>
      </c>
      <c r="G83">
        <v>12656.661477884199</v>
      </c>
      <c r="H83">
        <v>25203.090171469601</v>
      </c>
      <c r="I83">
        <v>16508.130542103001</v>
      </c>
      <c r="J83">
        <v>1025.5400769443399</v>
      </c>
      <c r="K83">
        <v>984.16381201654599</v>
      </c>
      <c r="L83">
        <v>353.26727885457302</v>
      </c>
      <c r="M83">
        <v>10802.8837931089</v>
      </c>
      <c r="N83">
        <v>2290.6801904784202</v>
      </c>
      <c r="O83">
        <v>346.20366147671598</v>
      </c>
      <c r="P83">
        <v>1161.7254343749801</v>
      </c>
      <c r="Q83">
        <v>8735.1801191566992</v>
      </c>
      <c r="R83">
        <v>424.97485265647299</v>
      </c>
      <c r="S83">
        <v>145.75314537988899</v>
      </c>
      <c r="T83">
        <v>155.43928335875</v>
      </c>
      <c r="U83">
        <v>108.988487035408</v>
      </c>
      <c r="V83">
        <v>138.573426780544</v>
      </c>
      <c r="W83">
        <v>108.833386135635</v>
      </c>
      <c r="X83">
        <v>113.741827576186</v>
      </c>
      <c r="Y83">
        <v>424.04470424587498</v>
      </c>
      <c r="Z83">
        <v>120.49394034892001</v>
      </c>
      <c r="AA83">
        <v>360.43763549598202</v>
      </c>
      <c r="AB83">
        <v>432.16632254422899</v>
      </c>
      <c r="AC83">
        <v>425.787358046235</v>
      </c>
      <c r="AD83">
        <v>293.16741272302102</v>
      </c>
      <c r="AE83">
        <v>311.65928954307401</v>
      </c>
      <c r="AF83">
        <v>453.32656479581902</v>
      </c>
      <c r="AG83">
        <v>321.55778040581401</v>
      </c>
    </row>
    <row r="84" spans="1:33" x14ac:dyDescent="0.25">
      <c r="A84" s="1">
        <v>44135</v>
      </c>
      <c r="B84">
        <v>10872.925924212699</v>
      </c>
      <c r="C84">
        <v>7939.2866475950696</v>
      </c>
      <c r="D84">
        <v>8485.2866097428905</v>
      </c>
      <c r="E84">
        <v>10970.181921089101</v>
      </c>
      <c r="F84">
        <v>13244.451950206199</v>
      </c>
      <c r="G84">
        <v>12190.2672090696</v>
      </c>
      <c r="H84">
        <v>24395.202796357102</v>
      </c>
      <c r="I84">
        <v>16541.241502511701</v>
      </c>
      <c r="J84">
        <v>1024.4095057227901</v>
      </c>
      <c r="K84">
        <v>962.50217923233402</v>
      </c>
      <c r="L84">
        <v>356.216065986991</v>
      </c>
      <c r="M84">
        <v>10430.7264317402</v>
      </c>
      <c r="N84">
        <v>2087.3975799852901</v>
      </c>
      <c r="O84">
        <v>335.29775319885101</v>
      </c>
      <c r="P84">
        <v>1133.3730038430999</v>
      </c>
      <c r="Q84">
        <v>8412.0220076385503</v>
      </c>
      <c r="R84">
        <v>413.59494837500199</v>
      </c>
      <c r="S84">
        <v>145.777903559501</v>
      </c>
      <c r="T84">
        <v>150.15520972389299</v>
      </c>
      <c r="U84">
        <v>107.866505492906</v>
      </c>
      <c r="V84">
        <v>145.61819048020601</v>
      </c>
      <c r="W84">
        <v>114.573857799979</v>
      </c>
      <c r="X84">
        <v>123.371863413715</v>
      </c>
      <c r="Y84">
        <v>417.36038186584398</v>
      </c>
      <c r="Z84">
        <v>120.73038035721299</v>
      </c>
      <c r="AA84">
        <v>372.24574990895297</v>
      </c>
      <c r="AB84">
        <v>431.238721783242</v>
      </c>
      <c r="AC84">
        <v>424.36169898336402</v>
      </c>
      <c r="AD84">
        <v>296.01302421605698</v>
      </c>
      <c r="AE84">
        <v>297.13379828813402</v>
      </c>
      <c r="AF84">
        <v>445.41377780952803</v>
      </c>
      <c r="AG84">
        <v>328.82770820894802</v>
      </c>
    </row>
    <row r="85" spans="1:33" x14ac:dyDescent="0.25">
      <c r="A85" s="1">
        <v>44136</v>
      </c>
      <c r="B85">
        <v>10714.2881578327</v>
      </c>
      <c r="C85">
        <v>7580.0549747737896</v>
      </c>
      <c r="D85">
        <v>8349.8654466747503</v>
      </c>
      <c r="E85">
        <v>10807.9301438355</v>
      </c>
      <c r="F85">
        <v>12880.747248203401</v>
      </c>
      <c r="G85">
        <v>12016.503096405901</v>
      </c>
      <c r="H85">
        <v>24219.0140949866</v>
      </c>
      <c r="I85">
        <v>16466.663676689401</v>
      </c>
      <c r="J85">
        <v>1016.21268848118</v>
      </c>
      <c r="K85">
        <v>934.45769767392198</v>
      </c>
      <c r="L85">
        <v>348.08532141473</v>
      </c>
      <c r="M85">
        <v>10283.5910689222</v>
      </c>
      <c r="N85">
        <v>2130.2524455518601</v>
      </c>
      <c r="O85">
        <v>304.26726803274101</v>
      </c>
      <c r="P85">
        <v>1100.96901943127</v>
      </c>
      <c r="Q85">
        <v>8324.2754596034993</v>
      </c>
      <c r="R85">
        <v>393.742704541313</v>
      </c>
      <c r="S85">
        <v>145.705594439999</v>
      </c>
      <c r="T85">
        <v>152.146450610203</v>
      </c>
      <c r="U85">
        <v>112.268287079562</v>
      </c>
      <c r="V85">
        <v>156.87630583518899</v>
      </c>
      <c r="W85">
        <v>111.13694120741</v>
      </c>
      <c r="X85">
        <v>121.326915623674</v>
      </c>
      <c r="Y85">
        <v>410.15825316746702</v>
      </c>
      <c r="Z85">
        <v>119.726886189469</v>
      </c>
      <c r="AA85">
        <v>385.27558746980498</v>
      </c>
      <c r="AB85">
        <v>430.37538966400598</v>
      </c>
      <c r="AC85">
        <v>418.15060235964802</v>
      </c>
      <c r="AD85">
        <v>294.07116894659299</v>
      </c>
      <c r="AE85">
        <v>242.21313508186299</v>
      </c>
      <c r="AF85">
        <v>433.68141076739897</v>
      </c>
      <c r="AG85">
        <v>338.04654991169099</v>
      </c>
    </row>
    <row r="86" spans="1:33" x14ac:dyDescent="0.25">
      <c r="A86" s="1">
        <v>44137</v>
      </c>
      <c r="B86">
        <v>10516.7245842754</v>
      </c>
      <c r="C86">
        <v>7541.7019351941199</v>
      </c>
      <c r="D86">
        <v>8296.7421499335396</v>
      </c>
      <c r="E86">
        <v>10706.8830133091</v>
      </c>
      <c r="F86">
        <v>12861.851979714</v>
      </c>
      <c r="G86">
        <v>12275.793960469</v>
      </c>
      <c r="H86">
        <v>24703.301419605901</v>
      </c>
      <c r="I86">
        <v>16328.377438592801</v>
      </c>
      <c r="J86">
        <v>1004.5907096395</v>
      </c>
      <c r="K86">
        <v>932.35550427851604</v>
      </c>
      <c r="L86">
        <v>341.57653205400101</v>
      </c>
      <c r="M86">
        <v>10514.639598948001</v>
      </c>
      <c r="N86">
        <v>2379.41533000042</v>
      </c>
      <c r="O86">
        <v>305.85843398278797</v>
      </c>
      <c r="P86">
        <v>1116.13193928141</v>
      </c>
      <c r="Q86">
        <v>8600.7928421034594</v>
      </c>
      <c r="R86">
        <v>388.72572754055801</v>
      </c>
      <c r="S86">
        <v>145.487779038653</v>
      </c>
      <c r="T86">
        <v>164.608665079172</v>
      </c>
      <c r="U86">
        <v>111.23558888567</v>
      </c>
      <c r="V86">
        <v>168.264087066717</v>
      </c>
      <c r="W86">
        <v>112.50382737358299</v>
      </c>
      <c r="X86">
        <v>121.935293152304</v>
      </c>
      <c r="Y86">
        <v>421.54719760535102</v>
      </c>
      <c r="Z86">
        <v>118.510588170958</v>
      </c>
      <c r="AA86">
        <v>393.97668478264501</v>
      </c>
      <c r="AB86">
        <v>436.74922781741202</v>
      </c>
      <c r="AC86">
        <v>418.076448102043</v>
      </c>
      <c r="AD86">
        <v>292.06976109198899</v>
      </c>
      <c r="AE86">
        <v>256.96099915232298</v>
      </c>
      <c r="AF86">
        <v>436.88000740200698</v>
      </c>
      <c r="AG86">
        <v>354.93202062700101</v>
      </c>
    </row>
    <row r="87" spans="1:33" x14ac:dyDescent="0.25">
      <c r="A87" s="1">
        <v>44138</v>
      </c>
      <c r="B87">
        <v>10375.617050519601</v>
      </c>
      <c r="C87">
        <v>7963.1183988660696</v>
      </c>
      <c r="D87">
        <v>8212.32426570401</v>
      </c>
      <c r="E87">
        <v>10711.6330220129</v>
      </c>
      <c r="F87">
        <v>13103.412268456699</v>
      </c>
      <c r="G87">
        <v>12493.4565763968</v>
      </c>
      <c r="H87">
        <v>25390.743136823101</v>
      </c>
      <c r="I87">
        <v>16277.950430843401</v>
      </c>
      <c r="J87">
        <v>993.411968471362</v>
      </c>
      <c r="K87">
        <v>953.71441316855896</v>
      </c>
      <c r="L87">
        <v>348.163497368847</v>
      </c>
      <c r="M87">
        <v>10853.2140789593</v>
      </c>
      <c r="N87">
        <v>2582.0088050274198</v>
      </c>
      <c r="O87">
        <v>331.99910469414601</v>
      </c>
      <c r="P87">
        <v>1155.2291028669499</v>
      </c>
      <c r="Q87">
        <v>8874.7378452499306</v>
      </c>
      <c r="R87">
        <v>407.19544770681603</v>
      </c>
      <c r="S87">
        <v>145.18227146664901</v>
      </c>
      <c r="T87">
        <v>179.96020156037301</v>
      </c>
      <c r="U87">
        <v>110.825843546367</v>
      </c>
      <c r="V87">
        <v>168.44369435873301</v>
      </c>
      <c r="W87">
        <v>117.661378490104</v>
      </c>
      <c r="X87">
        <v>114.904287315784</v>
      </c>
      <c r="Y87">
        <v>432.70757514466197</v>
      </c>
      <c r="Z87">
        <v>118.415187274621</v>
      </c>
      <c r="AA87">
        <v>397.30835671585299</v>
      </c>
      <c r="AB87">
        <v>441.40076479317497</v>
      </c>
      <c r="AC87">
        <v>414.746391302088</v>
      </c>
      <c r="AD87">
        <v>296.93016308600801</v>
      </c>
      <c r="AE87">
        <v>329.95315876078899</v>
      </c>
      <c r="AF87">
        <v>438.22900676117899</v>
      </c>
      <c r="AG87">
        <v>360.63689039909298</v>
      </c>
    </row>
    <row r="88" spans="1:33" x14ac:dyDescent="0.25">
      <c r="A88" s="1">
        <v>44139</v>
      </c>
      <c r="B88">
        <v>10303.7374833128</v>
      </c>
      <c r="C88">
        <v>8631.6516828483309</v>
      </c>
      <c r="D88">
        <v>8032.0981432916697</v>
      </c>
      <c r="E88">
        <v>10597.7369748499</v>
      </c>
      <c r="F88">
        <v>12875.9675028117</v>
      </c>
      <c r="G88">
        <v>11946.7511711058</v>
      </c>
      <c r="H88">
        <v>24607.766230964899</v>
      </c>
      <c r="I88">
        <v>16276.6842255672</v>
      </c>
      <c r="J88">
        <v>978.94876881229004</v>
      </c>
      <c r="K88">
        <v>935.13921352080001</v>
      </c>
      <c r="L88">
        <v>356.00431093610899</v>
      </c>
      <c r="M88">
        <v>10464.7411160187</v>
      </c>
      <c r="N88">
        <v>2347.6258073010699</v>
      </c>
      <c r="O88">
        <v>333.01428949252698</v>
      </c>
      <c r="P88">
        <v>1136.6927764644599</v>
      </c>
      <c r="Q88">
        <v>8388.2107939669495</v>
      </c>
      <c r="R88">
        <v>404.78908355707398</v>
      </c>
      <c r="S88">
        <v>144.95673039409601</v>
      </c>
      <c r="T88">
        <v>165.56404257987501</v>
      </c>
      <c r="U88">
        <v>111.004455856077</v>
      </c>
      <c r="V88">
        <v>141.17971506088901</v>
      </c>
      <c r="W88">
        <v>119.53156212768199</v>
      </c>
      <c r="X88">
        <v>111.73416789629201</v>
      </c>
      <c r="Y88">
        <v>432.531948809445</v>
      </c>
      <c r="Z88">
        <v>118.623247031331</v>
      </c>
      <c r="AA88">
        <v>398.75081295502901</v>
      </c>
      <c r="AB88">
        <v>444.527687834267</v>
      </c>
      <c r="AC88">
        <v>406.88568309466098</v>
      </c>
      <c r="AD88">
        <v>300.967624013651</v>
      </c>
      <c r="AE88">
        <v>428.06531732032403</v>
      </c>
      <c r="AF88">
        <v>435.24923328279903</v>
      </c>
      <c r="AG88">
        <v>366.78470991638301</v>
      </c>
    </row>
    <row r="89" spans="1:33" x14ac:dyDescent="0.25">
      <c r="A89" s="1">
        <v>44140</v>
      </c>
      <c r="B89">
        <v>10175.220297599501</v>
      </c>
      <c r="C89">
        <v>8057.4050990634196</v>
      </c>
      <c r="D89">
        <v>7976.7582123338898</v>
      </c>
      <c r="E89">
        <v>10495.298790930799</v>
      </c>
      <c r="F89">
        <v>12358.249389623999</v>
      </c>
      <c r="G89">
        <v>11630.1139544858</v>
      </c>
      <c r="H89">
        <v>24277.316573837601</v>
      </c>
      <c r="I89">
        <v>16145.765775330001</v>
      </c>
      <c r="J89">
        <v>962.85794016596003</v>
      </c>
      <c r="K89">
        <v>950.59838092907603</v>
      </c>
      <c r="L89">
        <v>360.547206708494</v>
      </c>
      <c r="M89">
        <v>10113.8655194566</v>
      </c>
      <c r="N89">
        <v>2165.2129205451902</v>
      </c>
      <c r="O89">
        <v>325.262648208597</v>
      </c>
      <c r="P89">
        <v>1161.96721358523</v>
      </c>
      <c r="Q89">
        <v>8027.9680944186002</v>
      </c>
      <c r="R89">
        <v>404.38754952579802</v>
      </c>
      <c r="S89">
        <v>144.72400167663201</v>
      </c>
      <c r="T89">
        <v>159.492590982471</v>
      </c>
      <c r="U89">
        <v>111.072036351389</v>
      </c>
      <c r="V89">
        <v>142.73274722408399</v>
      </c>
      <c r="W89">
        <v>114.833130836536</v>
      </c>
      <c r="X89">
        <v>117.73386117788699</v>
      </c>
      <c r="Y89">
        <v>430.950231886143</v>
      </c>
      <c r="Z89">
        <v>119.45264162788401</v>
      </c>
      <c r="AA89">
        <v>405.09268188826201</v>
      </c>
      <c r="AB89">
        <v>450.09706844924801</v>
      </c>
      <c r="AC89">
        <v>419.44822233472502</v>
      </c>
      <c r="AD89">
        <v>305.904975152394</v>
      </c>
      <c r="AE89">
        <v>475.069859690339</v>
      </c>
      <c r="AF89">
        <v>434.11468364965299</v>
      </c>
      <c r="AG89">
        <v>377.70692559133101</v>
      </c>
    </row>
    <row r="90" spans="1:33" x14ac:dyDescent="0.25">
      <c r="A90" s="1">
        <v>44141</v>
      </c>
      <c r="B90">
        <v>10124.307438789299</v>
      </c>
      <c r="C90">
        <v>7643.29697193625</v>
      </c>
      <c r="D90">
        <v>8024.6162522997101</v>
      </c>
      <c r="E90">
        <v>10659.7545195976</v>
      </c>
      <c r="F90">
        <v>12668.8327166566</v>
      </c>
      <c r="G90">
        <v>12344.478391651301</v>
      </c>
      <c r="H90">
        <v>26758.8269467028</v>
      </c>
      <c r="I90">
        <v>16123.258827481301</v>
      </c>
      <c r="J90">
        <v>966.918461850433</v>
      </c>
      <c r="K90">
        <v>1071.7204259858299</v>
      </c>
      <c r="L90">
        <v>363.75229361900102</v>
      </c>
      <c r="M90">
        <v>10960.910245065201</v>
      </c>
      <c r="N90">
        <v>2614.1612445387</v>
      </c>
      <c r="O90">
        <v>373.11471553306001</v>
      </c>
      <c r="P90">
        <v>1313.87313895392</v>
      </c>
      <c r="Q90">
        <v>8891.5103186905599</v>
      </c>
      <c r="R90">
        <v>460.74935776054798</v>
      </c>
      <c r="S90">
        <v>144.133997794198</v>
      </c>
      <c r="T90">
        <v>186.84392370255</v>
      </c>
      <c r="U90">
        <v>115.082253266222</v>
      </c>
      <c r="V90">
        <v>167.00640878505001</v>
      </c>
      <c r="W90">
        <v>115.74433904295699</v>
      </c>
      <c r="X90">
        <v>121.608842911119</v>
      </c>
      <c r="Y90">
        <v>440.79573516726498</v>
      </c>
      <c r="Z90">
        <v>120.393867162524</v>
      </c>
      <c r="AA90">
        <v>407.70162317911002</v>
      </c>
      <c r="AB90">
        <v>455.26435514223999</v>
      </c>
      <c r="AC90">
        <v>447.41827654449298</v>
      </c>
      <c r="AD90">
        <v>313.25295772936198</v>
      </c>
      <c r="AE90">
        <v>527.83972112980496</v>
      </c>
      <c r="AF90">
        <v>434.16474675897302</v>
      </c>
      <c r="AG90">
        <v>384.15715957763399</v>
      </c>
    </row>
    <row r="91" spans="1:33" x14ac:dyDescent="0.25">
      <c r="A91" s="1">
        <v>44142</v>
      </c>
      <c r="B91">
        <v>10162.5027475881</v>
      </c>
      <c r="C91">
        <v>9328.0371075113799</v>
      </c>
      <c r="D91">
        <v>8038.0573793315998</v>
      </c>
      <c r="E91">
        <v>10376.118515091801</v>
      </c>
      <c r="F91">
        <v>12661.0079193901</v>
      </c>
      <c r="G91">
        <v>11787.0800545411</v>
      </c>
      <c r="H91">
        <v>24944.477896203301</v>
      </c>
      <c r="I91">
        <v>16102.3297808721</v>
      </c>
      <c r="J91">
        <v>966.94350535898297</v>
      </c>
      <c r="K91">
        <v>946.80182812996702</v>
      </c>
      <c r="L91">
        <v>365.78732929289799</v>
      </c>
      <c r="M91">
        <v>10205.3534943427</v>
      </c>
      <c r="N91">
        <v>2334.64995429281</v>
      </c>
      <c r="O91">
        <v>340.17027791676099</v>
      </c>
      <c r="P91">
        <v>1140.8710247630499</v>
      </c>
      <c r="Q91">
        <v>8184.5598535766903</v>
      </c>
      <c r="R91">
        <v>424.65922952645798</v>
      </c>
      <c r="S91">
        <v>143.985292263308</v>
      </c>
      <c r="T91">
        <v>163.587454291478</v>
      </c>
      <c r="U91">
        <v>120.15491363742299</v>
      </c>
      <c r="V91">
        <v>152.50391833556799</v>
      </c>
      <c r="W91">
        <v>123.429200106249</v>
      </c>
      <c r="X91">
        <v>117.384915746741</v>
      </c>
      <c r="Y91">
        <v>440.88000324672402</v>
      </c>
      <c r="Z91">
        <v>120.51409390718</v>
      </c>
      <c r="AA91">
        <v>403.89226498572998</v>
      </c>
      <c r="AB91">
        <v>458.26449259070603</v>
      </c>
      <c r="AC91">
        <v>483.17886496203602</v>
      </c>
      <c r="AD91">
        <v>308.629213961956</v>
      </c>
      <c r="AE91">
        <v>586.55488462962398</v>
      </c>
      <c r="AF91">
        <v>433.44398447020097</v>
      </c>
      <c r="AG91">
        <v>390.69106798715899</v>
      </c>
    </row>
    <row r="92" spans="1:33" x14ac:dyDescent="0.25">
      <c r="A92" s="1">
        <v>44143</v>
      </c>
      <c r="B92">
        <v>10084.0972979858</v>
      </c>
      <c r="C92">
        <v>8185.1374214343195</v>
      </c>
      <c r="D92">
        <v>7813.8976198957998</v>
      </c>
      <c r="E92">
        <v>10017.4101416022</v>
      </c>
      <c r="F92">
        <v>11879.843114020599</v>
      </c>
      <c r="G92">
        <v>10320.0094163386</v>
      </c>
      <c r="H92">
        <v>23458.622408755102</v>
      </c>
      <c r="I92">
        <v>16057.739693191599</v>
      </c>
      <c r="J92">
        <v>952.58302631492802</v>
      </c>
      <c r="K92">
        <v>821.64282853324596</v>
      </c>
      <c r="L92">
        <v>348.52623942300801</v>
      </c>
      <c r="M92">
        <v>8500.8477492659003</v>
      </c>
      <c r="N92">
        <v>1390.71116856449</v>
      </c>
      <c r="O92">
        <v>299.515708089312</v>
      </c>
      <c r="P92">
        <v>930.60437597312205</v>
      </c>
      <c r="Q92">
        <v>6912.88414845427</v>
      </c>
      <c r="R92">
        <v>375.66624428782899</v>
      </c>
      <c r="S92">
        <v>143.465523759945</v>
      </c>
      <c r="T92">
        <v>142.08667697314601</v>
      </c>
      <c r="U92">
        <v>123.709862313185</v>
      </c>
      <c r="V92">
        <v>125.482781284335</v>
      </c>
      <c r="W92">
        <v>124.60413087273599</v>
      </c>
      <c r="X92">
        <v>116.145609863465</v>
      </c>
      <c r="Y92">
        <v>440.64031137970898</v>
      </c>
      <c r="Z92">
        <v>120.075371968616</v>
      </c>
      <c r="AA92">
        <v>397.46229298520097</v>
      </c>
      <c r="AB92">
        <v>456.933133057818</v>
      </c>
      <c r="AC92">
        <v>519.91601929006799</v>
      </c>
      <c r="AD92">
        <v>297.36951314011799</v>
      </c>
      <c r="AE92">
        <v>582.35939187131896</v>
      </c>
      <c r="AF92">
        <v>431.75230902567898</v>
      </c>
      <c r="AG92">
        <v>396.16718472946798</v>
      </c>
    </row>
    <row r="93" spans="1:33" x14ac:dyDescent="0.25">
      <c r="A93" s="1">
        <v>44144</v>
      </c>
      <c r="B93">
        <v>9905.4919246553909</v>
      </c>
      <c r="C93">
        <v>7234.4545369919897</v>
      </c>
      <c r="D93">
        <v>8012.6805827040098</v>
      </c>
      <c r="E93">
        <v>9853.8147371336108</v>
      </c>
      <c r="F93">
        <v>10727.6082516144</v>
      </c>
      <c r="G93">
        <v>9266.4996283329401</v>
      </c>
      <c r="H93">
        <v>22107.268324672499</v>
      </c>
      <c r="I93">
        <v>15449.9892466567</v>
      </c>
      <c r="J93">
        <v>931.18141580746203</v>
      </c>
      <c r="K93">
        <v>733.52276865204396</v>
      </c>
      <c r="L93">
        <v>331.944660124314</v>
      </c>
      <c r="M93">
        <v>7610.8430757533097</v>
      </c>
      <c r="N93">
        <v>1099.5680716944401</v>
      </c>
      <c r="O93">
        <v>255.03328492316601</v>
      </c>
      <c r="P93">
        <v>811.15198643783401</v>
      </c>
      <c r="Q93">
        <v>5749.9556355534196</v>
      </c>
      <c r="R93">
        <v>329.702485689441</v>
      </c>
      <c r="S93">
        <v>144.15513883249099</v>
      </c>
      <c r="T93">
        <v>139.92804974025799</v>
      </c>
      <c r="U93">
        <v>124.248455665988</v>
      </c>
      <c r="V93">
        <v>132.75971342294801</v>
      </c>
      <c r="W93">
        <v>125.087298860864</v>
      </c>
      <c r="X93">
        <v>124.659603338785</v>
      </c>
      <c r="Y93">
        <v>441.26400082311699</v>
      </c>
      <c r="Z93">
        <v>120.881024403588</v>
      </c>
      <c r="AA93">
        <v>395.33653619966799</v>
      </c>
      <c r="AB93">
        <v>461.92015645812597</v>
      </c>
      <c r="AC93">
        <v>559.94350069021004</v>
      </c>
      <c r="AD93">
        <v>291.25513650768198</v>
      </c>
      <c r="AE93">
        <v>611.38004949599201</v>
      </c>
      <c r="AF93">
        <v>429.37045145057198</v>
      </c>
      <c r="AG93">
        <v>401.570855922607</v>
      </c>
    </row>
    <row r="94" spans="1:33" x14ac:dyDescent="0.25">
      <c r="A94" s="1">
        <v>44145</v>
      </c>
      <c r="B94">
        <v>9709.5819378921697</v>
      </c>
      <c r="C94">
        <v>5881.1226875750699</v>
      </c>
      <c r="D94">
        <v>8096.75409620966</v>
      </c>
      <c r="E94">
        <v>9736.9849956845792</v>
      </c>
      <c r="F94">
        <v>10207.3039619219</v>
      </c>
      <c r="G94">
        <v>9045.3411755331308</v>
      </c>
      <c r="H94">
        <v>22170.9914717799</v>
      </c>
      <c r="I94">
        <v>14791.7393430559</v>
      </c>
      <c r="J94">
        <v>913.84429703932699</v>
      </c>
      <c r="K94">
        <v>701.210980313307</v>
      </c>
      <c r="L94">
        <v>325.19279087040297</v>
      </c>
      <c r="M94">
        <v>7444.9745466268996</v>
      </c>
      <c r="N94">
        <v>1065.8645512077701</v>
      </c>
      <c r="O94">
        <v>257.83226640529398</v>
      </c>
      <c r="P94">
        <v>794.49832472028095</v>
      </c>
      <c r="Q94">
        <v>5480.44750897209</v>
      </c>
      <c r="R94">
        <v>316.20602025054598</v>
      </c>
      <c r="S94">
        <v>143.92655907200501</v>
      </c>
      <c r="T94">
        <v>138.23008482435401</v>
      </c>
      <c r="U94">
        <v>123.949332877549</v>
      </c>
      <c r="V94">
        <v>133.24790960028099</v>
      </c>
      <c r="W94">
        <v>124.881685834045</v>
      </c>
      <c r="X94">
        <v>125.24870918376899</v>
      </c>
      <c r="Y94">
        <v>451.64143021632901</v>
      </c>
      <c r="Z94">
        <v>122.01227789865899</v>
      </c>
      <c r="AA94">
        <v>395.80599309776801</v>
      </c>
      <c r="AB94">
        <v>476.62064054779597</v>
      </c>
      <c r="AC94">
        <v>565.19393729172702</v>
      </c>
      <c r="AD94">
        <v>286.89284508831901</v>
      </c>
      <c r="AE94">
        <v>604.37938592236503</v>
      </c>
      <c r="AF94">
        <v>434.38666854370501</v>
      </c>
      <c r="AG94">
        <v>404.572391163068</v>
      </c>
    </row>
    <row r="95" spans="1:33" x14ac:dyDescent="0.25">
      <c r="A95" s="1">
        <v>44146</v>
      </c>
      <c r="B95">
        <v>9581.2095467005802</v>
      </c>
      <c r="C95">
        <v>5452.8774763418796</v>
      </c>
      <c r="D95">
        <v>7859.4870070291099</v>
      </c>
      <c r="E95">
        <v>9708.7779372670302</v>
      </c>
      <c r="F95">
        <v>10540.9135484621</v>
      </c>
      <c r="G95">
        <v>9743.8132142019094</v>
      </c>
      <c r="H95">
        <v>22580.735649761798</v>
      </c>
      <c r="I95">
        <v>14295.5208820152</v>
      </c>
      <c r="J95">
        <v>896.07159855452596</v>
      </c>
      <c r="K95">
        <v>718.44929529979402</v>
      </c>
      <c r="L95">
        <v>324.29150646118501</v>
      </c>
      <c r="M95">
        <v>8089.4927708973601</v>
      </c>
      <c r="N95">
        <v>1289.9130683439801</v>
      </c>
      <c r="O95">
        <v>285.58284485896002</v>
      </c>
      <c r="P95">
        <v>839.57840734300703</v>
      </c>
      <c r="Q95">
        <v>5986.5225561888201</v>
      </c>
      <c r="R95">
        <v>335.15669830544499</v>
      </c>
      <c r="S95">
        <v>143.04816685491201</v>
      </c>
      <c r="T95">
        <v>140.10420199780799</v>
      </c>
      <c r="U95">
        <v>123.98668813490799</v>
      </c>
      <c r="V95">
        <v>138.112331705679</v>
      </c>
      <c r="W95">
        <v>124.51613667205601</v>
      </c>
      <c r="X95">
        <v>126.29227475403999</v>
      </c>
      <c r="Y95">
        <v>463.61191400832098</v>
      </c>
      <c r="Z95">
        <v>123.510694974358</v>
      </c>
      <c r="AA95">
        <v>395.92230410857297</v>
      </c>
      <c r="AB95">
        <v>487.72221368036099</v>
      </c>
      <c r="AC95">
        <v>570.39875587712004</v>
      </c>
      <c r="AD95">
        <v>284.37925022102098</v>
      </c>
      <c r="AE95">
        <v>591.31965919563197</v>
      </c>
      <c r="AF95">
        <v>444.04855870353299</v>
      </c>
      <c r="AG95">
        <v>407.31051053590102</v>
      </c>
    </row>
    <row r="96" spans="1:33" x14ac:dyDescent="0.25">
      <c r="A96" s="1">
        <v>44147</v>
      </c>
      <c r="B96">
        <v>9534.6347871193502</v>
      </c>
      <c r="C96">
        <v>5798.3974580469103</v>
      </c>
      <c r="D96">
        <v>7369.9231199325304</v>
      </c>
      <c r="E96">
        <v>9695.5733753569093</v>
      </c>
      <c r="F96">
        <v>11087.649665091199</v>
      </c>
      <c r="G96">
        <v>10268.0911418587</v>
      </c>
      <c r="H96">
        <v>22953.655181715902</v>
      </c>
      <c r="I96">
        <v>14157.4381862593</v>
      </c>
      <c r="J96">
        <v>881.903221257533</v>
      </c>
      <c r="K96">
        <v>740.24006285927396</v>
      </c>
      <c r="L96">
        <v>331.94744789302098</v>
      </c>
      <c r="M96">
        <v>8562.5104764838907</v>
      </c>
      <c r="N96">
        <v>1476.7753680373901</v>
      </c>
      <c r="O96">
        <v>302.21935232387301</v>
      </c>
      <c r="P96">
        <v>868.74308743915299</v>
      </c>
      <c r="Q96">
        <v>6495.5023360863897</v>
      </c>
      <c r="R96">
        <v>351.96055556558002</v>
      </c>
      <c r="S96">
        <v>142.267164070875</v>
      </c>
      <c r="T96">
        <v>142.26067868963099</v>
      </c>
      <c r="U96">
        <v>124.0389738498</v>
      </c>
      <c r="V96">
        <v>142.479312884975</v>
      </c>
      <c r="W96">
        <v>118.407420596759</v>
      </c>
      <c r="X96">
        <v>126.882052141391</v>
      </c>
      <c r="Y96">
        <v>483.433476618349</v>
      </c>
      <c r="Z96">
        <v>125.012571621178</v>
      </c>
      <c r="AA96">
        <v>395.01512046060702</v>
      </c>
      <c r="AB96">
        <v>490.489738772024</v>
      </c>
      <c r="AC96">
        <v>576.54160863078505</v>
      </c>
      <c r="AD96">
        <v>286.24703440823203</v>
      </c>
      <c r="AE96">
        <v>613.17833957030803</v>
      </c>
      <c r="AF96">
        <v>452.80062398264403</v>
      </c>
      <c r="AG96">
        <v>405.89842000445202</v>
      </c>
    </row>
    <row r="97" spans="1:33" x14ac:dyDescent="0.25">
      <c r="A97" s="1">
        <v>44148</v>
      </c>
      <c r="B97">
        <v>9432.0570113909507</v>
      </c>
      <c r="C97">
        <v>6088.8018403395999</v>
      </c>
      <c r="D97">
        <v>7089.9044939104297</v>
      </c>
      <c r="E97">
        <v>9744.4028372121902</v>
      </c>
      <c r="F97">
        <v>11648.3035865902</v>
      </c>
      <c r="G97">
        <v>11503.9201519782</v>
      </c>
      <c r="H97">
        <v>24095.444820951401</v>
      </c>
      <c r="I97">
        <v>14264.0513794858</v>
      </c>
      <c r="J97">
        <v>877.73725393109305</v>
      </c>
      <c r="K97">
        <v>798.27090219327397</v>
      </c>
      <c r="L97">
        <v>335.55202176595901</v>
      </c>
      <c r="M97">
        <v>9666.2317090403903</v>
      </c>
      <c r="N97">
        <v>1963.7256102077899</v>
      </c>
      <c r="O97">
        <v>320.26997254178502</v>
      </c>
      <c r="P97">
        <v>964.48970856396295</v>
      </c>
      <c r="Q97">
        <v>7585.8586362156902</v>
      </c>
      <c r="R97">
        <v>376.52081323125202</v>
      </c>
      <c r="S97">
        <v>141.50734338243899</v>
      </c>
      <c r="T97">
        <v>153.66275899502199</v>
      </c>
      <c r="U97">
        <v>121.407578046344</v>
      </c>
      <c r="V97">
        <v>169.51426082635999</v>
      </c>
      <c r="W97">
        <v>123.688036353877</v>
      </c>
      <c r="X97">
        <v>135.42825213651801</v>
      </c>
      <c r="Y97">
        <v>499.06946399375198</v>
      </c>
      <c r="Z97">
        <v>127.144036809784</v>
      </c>
      <c r="AA97">
        <v>396.39962915759298</v>
      </c>
      <c r="AB97">
        <v>494.72076274850798</v>
      </c>
      <c r="AC97">
        <v>576.01583061142298</v>
      </c>
      <c r="AD97">
        <v>294.44361361352799</v>
      </c>
      <c r="AE97">
        <v>611.797008804146</v>
      </c>
      <c r="AF97">
        <v>458.349525735437</v>
      </c>
      <c r="AG97">
        <v>399.80940576455299</v>
      </c>
    </row>
    <row r="98" spans="1:33" x14ac:dyDescent="0.25">
      <c r="A98" s="1">
        <v>44149</v>
      </c>
      <c r="B98">
        <v>9390.4758039852604</v>
      </c>
      <c r="C98">
        <v>6819.2485752748798</v>
      </c>
      <c r="D98">
        <v>6811.9809984788599</v>
      </c>
      <c r="E98">
        <v>9616.9344158467302</v>
      </c>
      <c r="F98">
        <v>12247.374478018801</v>
      </c>
      <c r="G98">
        <v>11612.8751520975</v>
      </c>
      <c r="H98">
        <v>23490.074311831799</v>
      </c>
      <c r="I98">
        <v>14512.6733878546</v>
      </c>
      <c r="J98">
        <v>878.12528920923603</v>
      </c>
      <c r="K98">
        <v>817.73075441197602</v>
      </c>
      <c r="L98">
        <v>345.21797633482601</v>
      </c>
      <c r="M98">
        <v>9776.6519674345309</v>
      </c>
      <c r="N98">
        <v>2143.4556598614299</v>
      </c>
      <c r="O98">
        <v>302.02361289783602</v>
      </c>
      <c r="P98">
        <v>975.05920646085099</v>
      </c>
      <c r="Q98">
        <v>7784.3894192769703</v>
      </c>
      <c r="R98">
        <v>377.840343375158</v>
      </c>
      <c r="S98">
        <v>140.52650506872101</v>
      </c>
      <c r="T98">
        <v>162.80227536995699</v>
      </c>
      <c r="U98">
        <v>123.751684514376</v>
      </c>
      <c r="V98">
        <v>182.16540985551001</v>
      </c>
      <c r="W98">
        <v>123.81184978719099</v>
      </c>
      <c r="X98">
        <v>137.20901144449701</v>
      </c>
      <c r="Y98">
        <v>508.07374440504799</v>
      </c>
      <c r="Z98">
        <v>129.58775403421899</v>
      </c>
      <c r="AA98">
        <v>393.832746988922</v>
      </c>
      <c r="AB98">
        <v>495.55800093138203</v>
      </c>
      <c r="AC98">
        <v>573.07620252134302</v>
      </c>
      <c r="AD98">
        <v>296.56337959928999</v>
      </c>
      <c r="AE98">
        <v>638.38757839218897</v>
      </c>
      <c r="AF98">
        <v>465.508623708703</v>
      </c>
      <c r="AG98">
        <v>395.37719392210499</v>
      </c>
    </row>
    <row r="99" spans="1:33" x14ac:dyDescent="0.25">
      <c r="A99" s="1">
        <v>44150</v>
      </c>
      <c r="B99">
        <v>9249.1533380578803</v>
      </c>
      <c r="C99">
        <v>6720.4956243905799</v>
      </c>
      <c r="D99">
        <v>6847.0320566217697</v>
      </c>
      <c r="E99">
        <v>9506.2472046817293</v>
      </c>
      <c r="F99">
        <v>12131.747981067399</v>
      </c>
      <c r="G99">
        <v>11618.2857469752</v>
      </c>
      <c r="H99">
        <v>23553.9586042296</v>
      </c>
      <c r="I99">
        <v>14751.777282422399</v>
      </c>
      <c r="J99">
        <v>875.87396651316897</v>
      </c>
      <c r="K99">
        <v>827.220370275439</v>
      </c>
      <c r="L99">
        <v>340.07509065644598</v>
      </c>
      <c r="M99">
        <v>9930.7348720372502</v>
      </c>
      <c r="N99">
        <v>2318.50371317694</v>
      </c>
      <c r="O99">
        <v>293.72053362676701</v>
      </c>
      <c r="P99">
        <v>1006.31150326874</v>
      </c>
      <c r="Q99">
        <v>7976.4454926299804</v>
      </c>
      <c r="R99">
        <v>366.76064585471403</v>
      </c>
      <c r="S99">
        <v>139.94393064225201</v>
      </c>
      <c r="T99">
        <v>186.58185821915501</v>
      </c>
      <c r="U99">
        <v>123.929994665593</v>
      </c>
      <c r="V99">
        <v>213.82585310294101</v>
      </c>
      <c r="W99">
        <v>124.149129626291</v>
      </c>
      <c r="X99">
        <v>150.17123741228201</v>
      </c>
      <c r="Y99">
        <v>514.01560081855496</v>
      </c>
      <c r="Z99">
        <v>129.33593718549</v>
      </c>
      <c r="AA99">
        <v>392.724117275384</v>
      </c>
      <c r="AB99">
        <v>500.34455643670299</v>
      </c>
      <c r="AC99">
        <v>574.33021452203195</v>
      </c>
      <c r="AD99">
        <v>296.614136129011</v>
      </c>
      <c r="AE99">
        <v>668.85251185964603</v>
      </c>
      <c r="AF99">
        <v>474.03884143369299</v>
      </c>
      <c r="AG99">
        <v>395.82250023084299</v>
      </c>
    </row>
    <row r="100" spans="1:33" x14ac:dyDescent="0.25">
      <c r="A100" s="1">
        <v>44151</v>
      </c>
      <c r="B100">
        <v>9063.3661674492105</v>
      </c>
      <c r="C100">
        <v>6845.4197867835501</v>
      </c>
      <c r="D100">
        <v>7011.63804184946</v>
      </c>
      <c r="E100">
        <v>9502.8912482809392</v>
      </c>
      <c r="F100">
        <v>12393.544989575999</v>
      </c>
      <c r="G100">
        <v>12038.023540399199</v>
      </c>
      <c r="H100">
        <v>23886.186874627499</v>
      </c>
      <c r="I100">
        <v>14985.3591052063</v>
      </c>
      <c r="J100">
        <v>871.60361109603195</v>
      </c>
      <c r="K100">
        <v>879.14075006059795</v>
      </c>
      <c r="L100">
        <v>338.79228293458402</v>
      </c>
      <c r="M100">
        <v>10311.121407164001</v>
      </c>
      <c r="N100">
        <v>2612.0037919896799</v>
      </c>
      <c r="O100">
        <v>304.20999785434299</v>
      </c>
      <c r="P100">
        <v>1092.9058627685499</v>
      </c>
      <c r="Q100">
        <v>8434.3020908360795</v>
      </c>
      <c r="R100">
        <v>375.74264192243697</v>
      </c>
      <c r="S100">
        <v>139.58461584476299</v>
      </c>
      <c r="T100">
        <v>219.51362834462901</v>
      </c>
      <c r="U100">
        <v>123.861283028225</v>
      </c>
      <c r="V100">
        <v>230.01178438852</v>
      </c>
      <c r="W100">
        <v>123.80086635325</v>
      </c>
      <c r="X100">
        <v>149.385211659813</v>
      </c>
      <c r="Y100">
        <v>509.97335045061601</v>
      </c>
      <c r="Z100">
        <v>129.98740821586401</v>
      </c>
      <c r="AA100">
        <v>392.45337892627799</v>
      </c>
      <c r="AB100">
        <v>495.42877352304703</v>
      </c>
      <c r="AC100">
        <v>580.84972185739502</v>
      </c>
      <c r="AD100">
        <v>297.15138228173601</v>
      </c>
      <c r="AE100">
        <v>688.63410657847805</v>
      </c>
      <c r="AF100">
        <v>479.22618990291198</v>
      </c>
      <c r="AG100">
        <v>397.74003431346199</v>
      </c>
    </row>
    <row r="101" spans="1:33" x14ac:dyDescent="0.25">
      <c r="A101" s="1">
        <v>44152</v>
      </c>
      <c r="B101">
        <v>9042.5962938868906</v>
      </c>
      <c r="C101">
        <v>7223.1269777974303</v>
      </c>
      <c r="D101">
        <v>7404.5413526392704</v>
      </c>
      <c r="E101">
        <v>10043.0123068098</v>
      </c>
      <c r="F101">
        <v>13282.548685980601</v>
      </c>
      <c r="G101">
        <v>13740.471653618501</v>
      </c>
      <c r="H101">
        <v>26137.673750482201</v>
      </c>
      <c r="I101">
        <v>15286.7721736147</v>
      </c>
      <c r="J101">
        <v>887.25795620495001</v>
      </c>
      <c r="K101">
        <v>1128.89741159815</v>
      </c>
      <c r="L101">
        <v>361.651469589584</v>
      </c>
      <c r="M101">
        <v>12037.0448943336</v>
      </c>
      <c r="N101">
        <v>3669.75210294731</v>
      </c>
      <c r="O101">
        <v>365.56750334278399</v>
      </c>
      <c r="P101">
        <v>1461.900111511</v>
      </c>
      <c r="Q101">
        <v>9974.6385542145308</v>
      </c>
      <c r="R101">
        <v>441.171110641403</v>
      </c>
      <c r="S101">
        <v>139.482646047982</v>
      </c>
      <c r="T101">
        <v>347.17385250843</v>
      </c>
      <c r="U101">
        <v>123.77895495248799</v>
      </c>
      <c r="V101">
        <v>322.04033055410201</v>
      </c>
      <c r="W101">
        <v>125.458811295174</v>
      </c>
      <c r="X101">
        <v>175.76308966437699</v>
      </c>
      <c r="Y101">
        <v>505.01779084669403</v>
      </c>
      <c r="Z101">
        <v>131.88652305536399</v>
      </c>
      <c r="AA101">
        <v>391.40281154044197</v>
      </c>
      <c r="AB101">
        <v>493.99785499361701</v>
      </c>
      <c r="AC101">
        <v>583.10061959919005</v>
      </c>
      <c r="AD101">
        <v>316.38728362552803</v>
      </c>
      <c r="AE101">
        <v>698.21789707731205</v>
      </c>
      <c r="AF101">
        <v>479.226586985376</v>
      </c>
      <c r="AG101">
        <v>399.05767044508798</v>
      </c>
    </row>
    <row r="102" spans="1:33" x14ac:dyDescent="0.25">
      <c r="A102" s="1">
        <v>44153</v>
      </c>
      <c r="B102">
        <v>9185.5609573740003</v>
      </c>
      <c r="C102">
        <v>8569.3901490090502</v>
      </c>
      <c r="D102">
        <v>7420.8666306605501</v>
      </c>
      <c r="E102">
        <v>9852.9503021609507</v>
      </c>
      <c r="F102">
        <v>14265.6611720447</v>
      </c>
      <c r="G102">
        <v>13482.036317624699</v>
      </c>
      <c r="H102">
        <v>25595.301290958399</v>
      </c>
      <c r="I102">
        <v>15900.135949355399</v>
      </c>
      <c r="J102">
        <v>918.30858785790304</v>
      </c>
      <c r="K102">
        <v>1200.91477570754</v>
      </c>
      <c r="L102">
        <v>385.43949532621701</v>
      </c>
      <c r="M102">
        <v>11845.7052615179</v>
      </c>
      <c r="N102">
        <v>3425.0331663269699</v>
      </c>
      <c r="O102">
        <v>385.66634550997998</v>
      </c>
      <c r="P102">
        <v>1546.2493155229299</v>
      </c>
      <c r="Q102">
        <v>9876.4974748079803</v>
      </c>
      <c r="R102">
        <v>472.74379575546601</v>
      </c>
      <c r="S102">
        <v>138.79737305787</v>
      </c>
      <c r="T102">
        <v>271.354462988867</v>
      </c>
      <c r="U102">
        <v>123.48195796124899</v>
      </c>
      <c r="V102">
        <v>208.80010627937699</v>
      </c>
      <c r="W102">
        <v>124.70493361919701</v>
      </c>
      <c r="X102">
        <v>126.1065771069</v>
      </c>
      <c r="Y102">
        <v>502.48299810849198</v>
      </c>
      <c r="Z102">
        <v>133.67995012010101</v>
      </c>
      <c r="AA102">
        <v>388.18666419167602</v>
      </c>
      <c r="AB102">
        <v>483.454851317107</v>
      </c>
      <c r="AC102">
        <v>585.86147786014305</v>
      </c>
      <c r="AD102">
        <v>329.03103731909698</v>
      </c>
      <c r="AE102">
        <v>685.70417283398501</v>
      </c>
      <c r="AF102">
        <v>481.68035168467702</v>
      </c>
      <c r="AG102">
        <v>397.81701489504599</v>
      </c>
    </row>
    <row r="103" spans="1:33" x14ac:dyDescent="0.25">
      <c r="A103" s="1">
        <v>44154</v>
      </c>
      <c r="B103">
        <v>9184.8386891506907</v>
      </c>
      <c r="C103">
        <v>8454.2925104438891</v>
      </c>
      <c r="D103">
        <v>7772.5008302752303</v>
      </c>
      <c r="E103">
        <v>9954.2229077113807</v>
      </c>
      <c r="F103">
        <v>13133.687952092199</v>
      </c>
      <c r="G103">
        <v>11475.236273869999</v>
      </c>
      <c r="H103">
        <v>23524.268855504499</v>
      </c>
      <c r="I103">
        <v>15938.938729552799</v>
      </c>
      <c r="J103">
        <v>919.82998282687095</v>
      </c>
      <c r="K103">
        <v>1090.2291468138601</v>
      </c>
      <c r="L103">
        <v>382.18276629177501</v>
      </c>
      <c r="M103">
        <v>10022.972979878499</v>
      </c>
      <c r="N103">
        <v>2254.9134317533899</v>
      </c>
      <c r="O103">
        <v>355.347509345471</v>
      </c>
      <c r="P103">
        <v>1353.71824155066</v>
      </c>
      <c r="Q103">
        <v>8041.33146758974</v>
      </c>
      <c r="R103">
        <v>447.84904898258901</v>
      </c>
      <c r="S103">
        <v>138.89311197533601</v>
      </c>
      <c r="T103">
        <v>190.108733175434</v>
      </c>
      <c r="U103">
        <v>123.475927833672</v>
      </c>
      <c r="V103">
        <v>135.93366791484101</v>
      </c>
      <c r="W103">
        <v>125.06794039549</v>
      </c>
      <c r="X103">
        <v>124.49420744627</v>
      </c>
      <c r="Y103">
        <v>520.899412707137</v>
      </c>
      <c r="Z103">
        <v>134.83433608889601</v>
      </c>
      <c r="AA103">
        <v>384.24638357177201</v>
      </c>
      <c r="AB103">
        <v>491.92072189513902</v>
      </c>
      <c r="AC103">
        <v>599.30362350730604</v>
      </c>
      <c r="AD103">
        <v>322.23328939985902</v>
      </c>
      <c r="AE103">
        <v>667.48765077892801</v>
      </c>
      <c r="AF103">
        <v>491.74979798075299</v>
      </c>
      <c r="AG103">
        <v>399.74545713946702</v>
      </c>
    </row>
    <row r="104" spans="1:33" x14ac:dyDescent="0.25">
      <c r="A104" s="1">
        <v>44155</v>
      </c>
      <c r="B104">
        <v>9294.2030066621992</v>
      </c>
      <c r="C104">
        <v>8093.8449182418399</v>
      </c>
      <c r="D104">
        <v>8268.9353720818199</v>
      </c>
      <c r="E104">
        <v>10378.3350517423</v>
      </c>
      <c r="F104">
        <v>11893.8126035484</v>
      </c>
      <c r="G104">
        <v>10501.206196167899</v>
      </c>
      <c r="H104">
        <v>22640.966761162501</v>
      </c>
      <c r="I104">
        <v>15405.4723159224</v>
      </c>
      <c r="J104">
        <v>917.50894446132395</v>
      </c>
      <c r="K104">
        <v>1041.5187548021399</v>
      </c>
      <c r="L104">
        <v>378.16997817060002</v>
      </c>
      <c r="M104">
        <v>9018.2762204972896</v>
      </c>
      <c r="N104">
        <v>1717.4442872739801</v>
      </c>
      <c r="O104">
        <v>341.43618676863798</v>
      </c>
      <c r="P104">
        <v>1278.3282334551</v>
      </c>
      <c r="Q104">
        <v>6877.1879318453502</v>
      </c>
      <c r="R104">
        <v>433.50974476870402</v>
      </c>
      <c r="S104">
        <v>139.17667209791199</v>
      </c>
      <c r="T104">
        <v>166.85329594292199</v>
      </c>
      <c r="U104">
        <v>123.642380533969</v>
      </c>
      <c r="V104">
        <v>128.77666794653999</v>
      </c>
      <c r="W104">
        <v>124.040662211213</v>
      </c>
      <c r="X104">
        <v>125.071348779235</v>
      </c>
      <c r="Y104">
        <v>524.35299581733705</v>
      </c>
      <c r="Z104">
        <v>136.23042925391201</v>
      </c>
      <c r="AA104">
        <v>383.02894297414002</v>
      </c>
      <c r="AB104">
        <v>507.19533864091102</v>
      </c>
      <c r="AC104">
        <v>610.37363635997201</v>
      </c>
      <c r="AD104">
        <v>319.776157065566</v>
      </c>
      <c r="AE104">
        <v>674.62428299121996</v>
      </c>
      <c r="AF104">
        <v>500.44925667487303</v>
      </c>
      <c r="AG104">
        <v>399.94171486571901</v>
      </c>
    </row>
    <row r="105" spans="1:33" x14ac:dyDescent="0.25">
      <c r="A105" s="1">
        <v>44156</v>
      </c>
      <c r="B105">
        <v>9584.3495705253408</v>
      </c>
      <c r="C105">
        <v>7769.37126841384</v>
      </c>
      <c r="D105">
        <v>8796.5048320602491</v>
      </c>
      <c r="E105">
        <v>10651.137635883901</v>
      </c>
      <c r="F105">
        <v>11202.495499008999</v>
      </c>
      <c r="G105">
        <v>9878.1353621581002</v>
      </c>
      <c r="H105">
        <v>22351.919345111401</v>
      </c>
      <c r="I105">
        <v>14972.943819132601</v>
      </c>
      <c r="J105">
        <v>913.15196646260404</v>
      </c>
      <c r="K105">
        <v>997.45049682495699</v>
      </c>
      <c r="L105">
        <v>373.85857730287398</v>
      </c>
      <c r="M105">
        <v>8380.5161144253398</v>
      </c>
      <c r="N105">
        <v>1416.5980267133</v>
      </c>
      <c r="O105">
        <v>340.23902423628499</v>
      </c>
      <c r="P105">
        <v>1205.1718221886499</v>
      </c>
      <c r="Q105">
        <v>6216.5290658128897</v>
      </c>
      <c r="R105">
        <v>430.41258066694701</v>
      </c>
      <c r="S105">
        <v>139.35170118351499</v>
      </c>
      <c r="T105">
        <v>155.66275006783999</v>
      </c>
      <c r="U105">
        <v>123.839035142063</v>
      </c>
      <c r="V105">
        <v>130.81148574445399</v>
      </c>
      <c r="W105">
        <v>125.69799239154899</v>
      </c>
      <c r="X105">
        <v>125.901143141581</v>
      </c>
      <c r="Y105">
        <v>535.60654146149295</v>
      </c>
      <c r="Z105">
        <v>136.92833120743799</v>
      </c>
      <c r="AA105">
        <v>381.56533234363002</v>
      </c>
      <c r="AB105">
        <v>508.599294063733</v>
      </c>
      <c r="AC105">
        <v>614.01006779063698</v>
      </c>
      <c r="AD105">
        <v>318.13989408033001</v>
      </c>
      <c r="AE105">
        <v>700.48783274529103</v>
      </c>
      <c r="AF105">
        <v>505.67419539977902</v>
      </c>
      <c r="AG105">
        <v>396.810608410383</v>
      </c>
    </row>
    <row r="106" spans="1:33" x14ac:dyDescent="0.25">
      <c r="A106" s="1">
        <v>44157</v>
      </c>
      <c r="B106">
        <v>10093.1928693549</v>
      </c>
      <c r="C106">
        <v>7471.8157008380904</v>
      </c>
      <c r="D106">
        <v>9351.8665280462901</v>
      </c>
      <c r="E106">
        <v>10944.9692936623</v>
      </c>
      <c r="F106">
        <v>10805.1586939273</v>
      </c>
      <c r="G106">
        <v>9819.6135446931403</v>
      </c>
      <c r="H106">
        <v>22992.221029594599</v>
      </c>
      <c r="I106">
        <v>14715.901220837901</v>
      </c>
      <c r="J106">
        <v>916.40555413829395</v>
      </c>
      <c r="K106">
        <v>989.03269891304103</v>
      </c>
      <c r="L106">
        <v>377.32318293097399</v>
      </c>
      <c r="M106">
        <v>8223.6650070382602</v>
      </c>
      <c r="N106">
        <v>1256.3402773246901</v>
      </c>
      <c r="O106">
        <v>353.54325695222298</v>
      </c>
      <c r="P106">
        <v>1186.83475260614</v>
      </c>
      <c r="Q106">
        <v>6159.3307212132504</v>
      </c>
      <c r="R106">
        <v>443.31951377440299</v>
      </c>
      <c r="S106">
        <v>139.61835283477501</v>
      </c>
      <c r="T106">
        <v>150.285884110225</v>
      </c>
      <c r="U106">
        <v>124.878914066782</v>
      </c>
      <c r="V106">
        <v>132.44450572182001</v>
      </c>
      <c r="W106">
        <v>127.769510836112</v>
      </c>
      <c r="X106">
        <v>126.13805467888299</v>
      </c>
      <c r="Y106">
        <v>541.78489321767597</v>
      </c>
      <c r="Z106">
        <v>137.24546918724101</v>
      </c>
      <c r="AA106">
        <v>378.80358825566498</v>
      </c>
      <c r="AB106">
        <v>502.94181411303799</v>
      </c>
      <c r="AC106">
        <v>613.95576389350902</v>
      </c>
      <c r="AD106">
        <v>321.69629405475001</v>
      </c>
      <c r="AE106">
        <v>680.93499022497804</v>
      </c>
      <c r="AF106">
        <v>510.33098314632099</v>
      </c>
      <c r="AG106">
        <v>390.38142246335798</v>
      </c>
    </row>
    <row r="107" spans="1:33" x14ac:dyDescent="0.25">
      <c r="A107" s="1">
        <v>44158</v>
      </c>
      <c r="B107">
        <v>10731.2591532021</v>
      </c>
      <c r="C107">
        <v>7667.8342903130097</v>
      </c>
      <c r="D107">
        <v>9464.3861150061894</v>
      </c>
      <c r="E107">
        <v>11063.400323535299</v>
      </c>
      <c r="F107">
        <v>10726.749244880601</v>
      </c>
      <c r="G107">
        <v>9769.3440932168996</v>
      </c>
      <c r="H107">
        <v>22627.2172532146</v>
      </c>
      <c r="I107">
        <v>14548.235982866299</v>
      </c>
      <c r="J107">
        <v>922.56707545593599</v>
      </c>
      <c r="K107">
        <v>987.97981646572396</v>
      </c>
      <c r="L107">
        <v>384.824650360813</v>
      </c>
      <c r="M107">
        <v>8130.1669496859004</v>
      </c>
      <c r="N107">
        <v>1087.45761764229</v>
      </c>
      <c r="O107">
        <v>375.32857375004301</v>
      </c>
      <c r="P107">
        <v>1173.9649219308601</v>
      </c>
      <c r="Q107">
        <v>6042.7214688004997</v>
      </c>
      <c r="R107">
        <v>465.55037925192897</v>
      </c>
      <c r="S107">
        <v>139.94681641560399</v>
      </c>
      <c r="T107">
        <v>145.03749658614501</v>
      </c>
      <c r="U107">
        <v>124.595693033803</v>
      </c>
      <c r="V107">
        <v>130.62150087264899</v>
      </c>
      <c r="W107">
        <v>134.57438687187201</v>
      </c>
      <c r="X107">
        <v>125.84214759186899</v>
      </c>
      <c r="Y107">
        <v>549.90718293718101</v>
      </c>
      <c r="Z107">
        <v>136.02762584624901</v>
      </c>
      <c r="AA107">
        <v>373.25210710274598</v>
      </c>
      <c r="AB107">
        <v>502.32655673843402</v>
      </c>
      <c r="AC107">
        <v>614.49577951993103</v>
      </c>
      <c r="AD107">
        <v>326.29978908129902</v>
      </c>
      <c r="AE107">
        <v>688.83259557197903</v>
      </c>
      <c r="AF107">
        <v>512.97375649344303</v>
      </c>
      <c r="AG107">
        <v>382.85188917486897</v>
      </c>
    </row>
    <row r="108" spans="1:33" x14ac:dyDescent="0.25">
      <c r="A108" s="1">
        <v>44159</v>
      </c>
      <c r="B108">
        <v>11201.0084263027</v>
      </c>
      <c r="C108">
        <v>6863.0772101000503</v>
      </c>
      <c r="D108">
        <v>8554.2435236933306</v>
      </c>
      <c r="E108">
        <v>11122.8274375164</v>
      </c>
      <c r="F108">
        <v>10653.680352187501</v>
      </c>
      <c r="G108">
        <v>9721.0161515131003</v>
      </c>
      <c r="H108">
        <v>22497.6307035387</v>
      </c>
      <c r="I108">
        <v>14435.052978281399</v>
      </c>
      <c r="J108">
        <v>926.831797968263</v>
      </c>
      <c r="K108">
        <v>979.89777029982997</v>
      </c>
      <c r="L108">
        <v>391.89812461569102</v>
      </c>
      <c r="M108">
        <v>8052.1535088792598</v>
      </c>
      <c r="N108">
        <v>1009.54468036054</v>
      </c>
      <c r="O108">
        <v>376.79925962705101</v>
      </c>
      <c r="P108">
        <v>1146.8414885447901</v>
      </c>
      <c r="Q108">
        <v>5878.3831157360901</v>
      </c>
      <c r="R108">
        <v>469.45132426176298</v>
      </c>
      <c r="S108">
        <v>140.30921838102299</v>
      </c>
      <c r="T108">
        <v>142.742667869895</v>
      </c>
      <c r="U108">
        <v>125.632788498344</v>
      </c>
      <c r="V108">
        <v>136.318334141853</v>
      </c>
      <c r="W108">
        <v>137.83023204240899</v>
      </c>
      <c r="X108">
        <v>131.96225445373901</v>
      </c>
      <c r="Y108">
        <v>546.88297948294201</v>
      </c>
      <c r="Z108">
        <v>134.90451396989201</v>
      </c>
      <c r="AA108">
        <v>366.35117155244598</v>
      </c>
      <c r="AB108">
        <v>497.28603533863401</v>
      </c>
      <c r="AC108">
        <v>619.88230737771096</v>
      </c>
      <c r="AD108">
        <v>328.77039899856402</v>
      </c>
      <c r="AE108">
        <v>698.21815727492299</v>
      </c>
      <c r="AF108">
        <v>517.16722243840604</v>
      </c>
      <c r="AG108">
        <v>378.26690411536703</v>
      </c>
    </row>
    <row r="109" spans="1:33" x14ac:dyDescent="0.25">
      <c r="A109" s="1">
        <v>44160</v>
      </c>
      <c r="B109">
        <v>11449.593006888101</v>
      </c>
      <c r="C109">
        <v>5825.5559690935097</v>
      </c>
      <c r="D109">
        <v>7936.6885973553899</v>
      </c>
      <c r="E109">
        <v>11073.293921092099</v>
      </c>
      <c r="F109">
        <v>10765.139933095699</v>
      </c>
      <c r="G109">
        <v>9741.9539854754203</v>
      </c>
      <c r="H109">
        <v>22333.887514895399</v>
      </c>
      <c r="I109">
        <v>14392.5457277799</v>
      </c>
      <c r="J109">
        <v>932.88048660203106</v>
      </c>
      <c r="K109">
        <v>973.76411091903003</v>
      </c>
      <c r="L109">
        <v>405.133595916133</v>
      </c>
      <c r="M109">
        <v>8037.56098537873</v>
      </c>
      <c r="N109">
        <v>964.153802020174</v>
      </c>
      <c r="O109">
        <v>374.49298982287598</v>
      </c>
      <c r="P109">
        <v>1127.56244073021</v>
      </c>
      <c r="Q109">
        <v>5862.7095766857601</v>
      </c>
      <c r="R109">
        <v>479.39733220920499</v>
      </c>
      <c r="S109">
        <v>140.78990733254199</v>
      </c>
      <c r="T109">
        <v>141.22910474010001</v>
      </c>
      <c r="U109">
        <v>128.28076319168099</v>
      </c>
      <c r="V109">
        <v>139.97737310874999</v>
      </c>
      <c r="W109">
        <v>131.21675132487101</v>
      </c>
      <c r="X109">
        <v>136.61747291141199</v>
      </c>
      <c r="Y109">
        <v>541.64201934053904</v>
      </c>
      <c r="Z109">
        <v>133.966971382754</v>
      </c>
      <c r="AA109">
        <v>359.67409469108702</v>
      </c>
      <c r="AB109">
        <v>499.25116372826102</v>
      </c>
      <c r="AC109">
        <v>623.53227673905405</v>
      </c>
      <c r="AD109">
        <v>333.33267323361702</v>
      </c>
      <c r="AE109">
        <v>700.01811367693495</v>
      </c>
      <c r="AF109">
        <v>519.83171516971697</v>
      </c>
      <c r="AG109">
        <v>374.180180405101</v>
      </c>
    </row>
    <row r="110" spans="1:33" x14ac:dyDescent="0.25">
      <c r="A110" s="1">
        <v>44161</v>
      </c>
      <c r="B110">
        <v>11173.705729458699</v>
      </c>
      <c r="C110">
        <v>5782.7968235956196</v>
      </c>
      <c r="D110">
        <v>7535.2367628192897</v>
      </c>
      <c r="E110">
        <v>10765.5930165436</v>
      </c>
      <c r="F110">
        <v>10421.218727795</v>
      </c>
      <c r="G110">
        <v>8966.6395522617604</v>
      </c>
      <c r="H110">
        <v>21146.754957502701</v>
      </c>
      <c r="I110">
        <v>14303.7614429472</v>
      </c>
      <c r="J110">
        <v>930.55889976033097</v>
      </c>
      <c r="K110">
        <v>910.76183652746602</v>
      </c>
      <c r="L110">
        <v>372.50466398377</v>
      </c>
      <c r="M110">
        <v>7164.9403930567796</v>
      </c>
      <c r="N110">
        <v>667.61065863459999</v>
      </c>
      <c r="O110">
        <v>331.560465743983</v>
      </c>
      <c r="P110">
        <v>1010.35678529143</v>
      </c>
      <c r="Q110">
        <v>5197.6152088416902</v>
      </c>
      <c r="R110">
        <v>434.76678999874002</v>
      </c>
      <c r="S110">
        <v>141.120084289049</v>
      </c>
      <c r="T110">
        <v>140.167920581647</v>
      </c>
      <c r="U110">
        <v>132.75558965618501</v>
      </c>
      <c r="V110">
        <v>138.18195271538801</v>
      </c>
      <c r="W110">
        <v>133.33645091300099</v>
      </c>
      <c r="X110">
        <v>136.326996182801</v>
      </c>
      <c r="Y110">
        <v>573.13475082614104</v>
      </c>
      <c r="Z110">
        <v>132.43729886988299</v>
      </c>
      <c r="AA110">
        <v>356.99081452146203</v>
      </c>
      <c r="AB110">
        <v>485.67085370996898</v>
      </c>
      <c r="AC110">
        <v>625.89090139499694</v>
      </c>
      <c r="AD110">
        <v>317.192327855982</v>
      </c>
      <c r="AE110">
        <v>744.70465122054304</v>
      </c>
      <c r="AF110">
        <v>525.12163978682304</v>
      </c>
      <c r="AG110">
        <v>368.909239211113</v>
      </c>
    </row>
    <row r="111" spans="1:33" x14ac:dyDescent="0.25">
      <c r="A111" s="1">
        <v>44162</v>
      </c>
      <c r="B111">
        <v>10756.634311956601</v>
      </c>
      <c r="C111">
        <v>5343.5642601992704</v>
      </c>
      <c r="D111">
        <v>7307.4950635904697</v>
      </c>
      <c r="E111">
        <v>10624.4652529553</v>
      </c>
      <c r="F111">
        <v>10387.104520445901</v>
      </c>
      <c r="G111">
        <v>9780.7968416182794</v>
      </c>
      <c r="H111">
        <v>22861.4313988289</v>
      </c>
      <c r="I111">
        <v>14156.693698888799</v>
      </c>
      <c r="J111">
        <v>936.08804354702704</v>
      </c>
      <c r="K111">
        <v>923.71958499015102</v>
      </c>
      <c r="L111">
        <v>364.92503429354701</v>
      </c>
      <c r="M111">
        <v>8185.24183282577</v>
      </c>
      <c r="N111">
        <v>1236.3726324501699</v>
      </c>
      <c r="O111">
        <v>325.28507864704</v>
      </c>
      <c r="P111">
        <v>1062.42164051997</v>
      </c>
      <c r="Q111">
        <v>6191.9374405009103</v>
      </c>
      <c r="R111">
        <v>446.717243675004</v>
      </c>
      <c r="S111">
        <v>141.53912526335401</v>
      </c>
      <c r="T111">
        <v>144.807951517563</v>
      </c>
      <c r="U111">
        <v>134.02277766648999</v>
      </c>
      <c r="V111">
        <v>150.26756361293701</v>
      </c>
      <c r="W111">
        <v>134.96908643324801</v>
      </c>
      <c r="X111">
        <v>135.08290961300699</v>
      </c>
      <c r="Y111">
        <v>556.58115686928898</v>
      </c>
      <c r="Z111">
        <v>132.12886993817</v>
      </c>
      <c r="AA111">
        <v>357.393215610678</v>
      </c>
      <c r="AB111">
        <v>481.55004518881401</v>
      </c>
      <c r="AC111">
        <v>628.71600188639104</v>
      </c>
      <c r="AD111">
        <v>316.331205438285</v>
      </c>
      <c r="AE111">
        <v>762.63972047662003</v>
      </c>
      <c r="AF111">
        <v>527.48653700717898</v>
      </c>
      <c r="AG111">
        <v>364.02782580056999</v>
      </c>
    </row>
    <row r="112" spans="1:33" x14ac:dyDescent="0.25">
      <c r="A112" s="1">
        <v>44163</v>
      </c>
      <c r="B112">
        <v>10409.086212849599</v>
      </c>
      <c r="C112">
        <v>5851.2062992597903</v>
      </c>
      <c r="D112">
        <v>6874.2661962849097</v>
      </c>
      <c r="E112">
        <v>10290.5361744479</v>
      </c>
      <c r="F112">
        <v>10881.4209823193</v>
      </c>
      <c r="G112">
        <v>9957.5103566431408</v>
      </c>
      <c r="H112">
        <v>22741.464593618701</v>
      </c>
      <c r="I112">
        <v>14118.9678042739</v>
      </c>
      <c r="J112">
        <v>932.137868820574</v>
      </c>
      <c r="K112">
        <v>905.98235603310195</v>
      </c>
      <c r="L112">
        <v>370.11828304524698</v>
      </c>
      <c r="M112">
        <v>8352.3014162297295</v>
      </c>
      <c r="N112">
        <v>1375.6107857326599</v>
      </c>
      <c r="O112">
        <v>315.82554632057202</v>
      </c>
      <c r="P112">
        <v>1037.2495735269599</v>
      </c>
      <c r="Q112">
        <v>6374.8523234313498</v>
      </c>
      <c r="R112">
        <v>435.06154594442597</v>
      </c>
      <c r="S112">
        <v>141.607576346315</v>
      </c>
      <c r="T112">
        <v>146.69412634070201</v>
      </c>
      <c r="U112">
        <v>136.16762074741399</v>
      </c>
      <c r="V112">
        <v>150.392397774355</v>
      </c>
      <c r="W112">
        <v>136.38808149054901</v>
      </c>
      <c r="X112">
        <v>134.23749364622699</v>
      </c>
      <c r="Y112">
        <v>559.42940244754902</v>
      </c>
      <c r="Z112">
        <v>132.72875545091401</v>
      </c>
      <c r="AA112">
        <v>353.36115057296502</v>
      </c>
      <c r="AB112">
        <v>471.943731687499</v>
      </c>
      <c r="AC112">
        <v>632.58912816844702</v>
      </c>
      <c r="AD112">
        <v>314.34848727782901</v>
      </c>
      <c r="AE112">
        <v>761.13968912472706</v>
      </c>
      <c r="AF112">
        <v>529.60032665710503</v>
      </c>
      <c r="AG112">
        <v>360.12358069047099</v>
      </c>
    </row>
    <row r="113" spans="1:33" x14ac:dyDescent="0.25">
      <c r="A113" s="1">
        <v>44164</v>
      </c>
      <c r="B113">
        <v>9922.7070945885898</v>
      </c>
      <c r="C113">
        <v>5997.1450941684298</v>
      </c>
      <c r="D113">
        <v>6646.57077552792</v>
      </c>
      <c r="E113">
        <v>9983.2850489562097</v>
      </c>
      <c r="F113">
        <v>11080.9948521313</v>
      </c>
      <c r="G113">
        <v>10646.468679900099</v>
      </c>
      <c r="H113">
        <v>23473.2743062103</v>
      </c>
      <c r="I113">
        <v>14100.958433514401</v>
      </c>
      <c r="J113">
        <v>928.82899789972305</v>
      </c>
      <c r="K113">
        <v>927.66865057908501</v>
      </c>
      <c r="L113">
        <v>373.97420592277803</v>
      </c>
      <c r="M113">
        <v>9003.6909022033306</v>
      </c>
      <c r="N113">
        <v>1730.13746829449</v>
      </c>
      <c r="O113">
        <v>326.39227256576999</v>
      </c>
      <c r="P113">
        <v>1087.65158112326</v>
      </c>
      <c r="Q113">
        <v>7042.7407938453798</v>
      </c>
      <c r="R113">
        <v>439.08557276812201</v>
      </c>
      <c r="S113">
        <v>141.77222276140901</v>
      </c>
      <c r="T113">
        <v>156.46629984976099</v>
      </c>
      <c r="U113">
        <v>137.360083851159</v>
      </c>
      <c r="V113">
        <v>168.85880138573</v>
      </c>
      <c r="W113">
        <v>134.01664727110699</v>
      </c>
      <c r="X113">
        <v>139.971543656531</v>
      </c>
      <c r="Y113">
        <v>553.23840085345705</v>
      </c>
      <c r="Z113">
        <v>134.368681350027</v>
      </c>
      <c r="AA113">
        <v>351.28113197485698</v>
      </c>
      <c r="AB113">
        <v>467.37669170931798</v>
      </c>
      <c r="AC113">
        <v>639.492897626012</v>
      </c>
      <c r="AD113">
        <v>317.630641279055</v>
      </c>
      <c r="AE113">
        <v>741.80592011296596</v>
      </c>
      <c r="AF113">
        <v>531.05618231609799</v>
      </c>
      <c r="AG113">
        <v>357.78418334040998</v>
      </c>
    </row>
    <row r="114" spans="1:33" x14ac:dyDescent="0.25">
      <c r="A114" s="1">
        <v>44165</v>
      </c>
      <c r="B114">
        <v>9588.3579336791499</v>
      </c>
      <c r="C114">
        <v>6547.1486508323596</v>
      </c>
      <c r="D114">
        <v>6374.7052576343804</v>
      </c>
      <c r="E114">
        <v>9672.4415862349306</v>
      </c>
      <c r="F114">
        <v>11492.589301534001</v>
      </c>
      <c r="G114">
        <v>10750.598545405999</v>
      </c>
      <c r="H114">
        <v>23572.079537129201</v>
      </c>
      <c r="I114">
        <v>14203.1610500119</v>
      </c>
      <c r="J114">
        <v>924.90102767793906</v>
      </c>
      <c r="K114">
        <v>929.78532119215004</v>
      </c>
      <c r="L114">
        <v>375.63182944297898</v>
      </c>
      <c r="M114">
        <v>9203.9670728359197</v>
      </c>
      <c r="N114">
        <v>1837.1014106420701</v>
      </c>
      <c r="O114">
        <v>326.404519125067</v>
      </c>
      <c r="P114">
        <v>1100.7081237668001</v>
      </c>
      <c r="Q114">
        <v>7247.45993774011</v>
      </c>
      <c r="R114">
        <v>433.69878374401299</v>
      </c>
      <c r="S114">
        <v>141.778054255028</v>
      </c>
      <c r="T114">
        <v>163.29718315319801</v>
      </c>
      <c r="U114">
        <v>129.67743967644299</v>
      </c>
      <c r="V114">
        <v>174.896041931008</v>
      </c>
      <c r="W114">
        <v>129.54116334556201</v>
      </c>
      <c r="X114">
        <v>140.65839301519</v>
      </c>
      <c r="Y114">
        <v>550.95036626529895</v>
      </c>
      <c r="Z114">
        <v>135.47198951628201</v>
      </c>
      <c r="AA114">
        <v>349.38020990632299</v>
      </c>
      <c r="AB114">
        <v>457.749910903032</v>
      </c>
      <c r="AC114">
        <v>652.521186371726</v>
      </c>
      <c r="AD114">
        <v>316.871829888283</v>
      </c>
      <c r="AE114">
        <v>763.89067199263195</v>
      </c>
      <c r="AF114">
        <v>533.00253882767902</v>
      </c>
      <c r="AG114">
        <v>356.85856072973201</v>
      </c>
    </row>
    <row r="115" spans="1:33" x14ac:dyDescent="0.25">
      <c r="A115" s="1">
        <v>44166</v>
      </c>
      <c r="B115">
        <v>9230.6863239314898</v>
      </c>
      <c r="C115">
        <v>6805.3786444515799</v>
      </c>
      <c r="D115">
        <v>6284.2039051254296</v>
      </c>
      <c r="E115">
        <v>9414.5694099902703</v>
      </c>
      <c r="F115">
        <v>11421.1405155128</v>
      </c>
      <c r="G115">
        <v>10672.997099488501</v>
      </c>
      <c r="H115">
        <v>23142.129304554699</v>
      </c>
      <c r="I115">
        <v>14266.677448553</v>
      </c>
      <c r="J115">
        <v>917.88296538296095</v>
      </c>
      <c r="K115">
        <v>933.89601878877704</v>
      </c>
      <c r="L115">
        <v>369.62984069067301</v>
      </c>
      <c r="M115">
        <v>9195.6823835442701</v>
      </c>
      <c r="N115">
        <v>1922.75948996327</v>
      </c>
      <c r="O115">
        <v>327.42330726687698</v>
      </c>
      <c r="P115">
        <v>1114.8697078093001</v>
      </c>
      <c r="Q115">
        <v>7239.0780954536303</v>
      </c>
      <c r="R115">
        <v>426.075621522441</v>
      </c>
      <c r="S115">
        <v>141.74172035280699</v>
      </c>
      <c r="T115">
        <v>171.001966653105</v>
      </c>
      <c r="U115">
        <v>137.367199278801</v>
      </c>
      <c r="V115">
        <v>172.41458866065901</v>
      </c>
      <c r="W115">
        <v>127.279038175415</v>
      </c>
      <c r="X115">
        <v>136.24531170067701</v>
      </c>
      <c r="Y115">
        <v>550.85856431359105</v>
      </c>
      <c r="Z115">
        <v>135.794925569605</v>
      </c>
      <c r="AA115">
        <v>346.69445656256801</v>
      </c>
      <c r="AB115">
        <v>477.80492814000701</v>
      </c>
      <c r="AC115">
        <v>667.52727942078502</v>
      </c>
      <c r="AD115">
        <v>315.37019236937198</v>
      </c>
      <c r="AE115">
        <v>758.56699940419003</v>
      </c>
      <c r="AF115">
        <v>537.39342997890003</v>
      </c>
      <c r="AG115">
        <v>357.067110966565</v>
      </c>
    </row>
    <row r="116" spans="1:33" x14ac:dyDescent="0.25">
      <c r="A116" s="1">
        <v>44167</v>
      </c>
      <c r="B116">
        <v>8905.8991428711197</v>
      </c>
      <c r="C116">
        <v>6604.3460938775797</v>
      </c>
      <c r="D116">
        <v>6355.2215643736699</v>
      </c>
      <c r="E116">
        <v>9263.4335230931592</v>
      </c>
      <c r="F116">
        <v>11480.3462703931</v>
      </c>
      <c r="G116">
        <v>11067.4175043263</v>
      </c>
      <c r="H116">
        <v>23495.5531375725</v>
      </c>
      <c r="I116">
        <v>14285.235463618599</v>
      </c>
      <c r="J116">
        <v>914.901718691621</v>
      </c>
      <c r="K116">
        <v>1007.1950933534</v>
      </c>
      <c r="L116">
        <v>376.46155239793001</v>
      </c>
      <c r="M116">
        <v>9619.7241423754094</v>
      </c>
      <c r="N116">
        <v>2087.4176855590199</v>
      </c>
      <c r="O116">
        <v>354.47085270745902</v>
      </c>
      <c r="P116">
        <v>1221.7656109208599</v>
      </c>
      <c r="Q116">
        <v>7569.5829738122102</v>
      </c>
      <c r="R116">
        <v>449.501717963771</v>
      </c>
      <c r="S116">
        <v>141.716965408075</v>
      </c>
      <c r="T116">
        <v>176.00143492475999</v>
      </c>
      <c r="U116">
        <v>139.1584468053</v>
      </c>
      <c r="V116">
        <v>166.37996564095499</v>
      </c>
      <c r="W116">
        <v>126.088082031458</v>
      </c>
      <c r="X116">
        <v>132.31865750718299</v>
      </c>
      <c r="Y116">
        <v>531.72647838308797</v>
      </c>
      <c r="Z116">
        <v>137.51712371516899</v>
      </c>
      <c r="AA116">
        <v>343.94283776441</v>
      </c>
      <c r="AB116">
        <v>491.52116570703299</v>
      </c>
      <c r="AC116">
        <v>673.60482481411498</v>
      </c>
      <c r="AD116">
        <v>324.85841613268099</v>
      </c>
      <c r="AE116">
        <v>756.75480678895201</v>
      </c>
      <c r="AF116">
        <v>539.08843838108203</v>
      </c>
      <c r="AG116">
        <v>357.29979387154498</v>
      </c>
    </row>
    <row r="117" spans="1:33" x14ac:dyDescent="0.25">
      <c r="A117" s="1">
        <v>44168</v>
      </c>
      <c r="B117">
        <v>8738.5173564639099</v>
      </c>
      <c r="C117">
        <v>6805.8330742125499</v>
      </c>
      <c r="D117">
        <v>6377.1710218975304</v>
      </c>
      <c r="E117">
        <v>9040.6380660187606</v>
      </c>
      <c r="F117">
        <v>11646.3841016276</v>
      </c>
      <c r="G117">
        <v>10839.915860432</v>
      </c>
      <c r="H117">
        <v>23112.204504488702</v>
      </c>
      <c r="I117">
        <v>14386.264592310101</v>
      </c>
      <c r="J117">
        <v>914.59178766509206</v>
      </c>
      <c r="K117">
        <v>1014.70909668301</v>
      </c>
      <c r="L117">
        <v>386.84377389521899</v>
      </c>
      <c r="M117">
        <v>9441.2965599983108</v>
      </c>
      <c r="N117">
        <v>1934.1466478920499</v>
      </c>
      <c r="O117">
        <v>365.25184540078101</v>
      </c>
      <c r="P117">
        <v>1233.94899615394</v>
      </c>
      <c r="Q117">
        <v>7341.7515483515499</v>
      </c>
      <c r="R117">
        <v>459.80049529639001</v>
      </c>
      <c r="S117">
        <v>141.68522005652599</v>
      </c>
      <c r="T117">
        <v>166.82848063652199</v>
      </c>
      <c r="U117">
        <v>138.85573680503299</v>
      </c>
      <c r="V117">
        <v>147.675179350896</v>
      </c>
      <c r="W117">
        <v>124.899532860348</v>
      </c>
      <c r="X117">
        <v>125.968516488272</v>
      </c>
      <c r="Y117">
        <v>567.70047659172303</v>
      </c>
      <c r="Z117">
        <v>139.29979396201099</v>
      </c>
      <c r="AA117">
        <v>341.32258571713498</v>
      </c>
      <c r="AB117">
        <v>479.56818422332901</v>
      </c>
      <c r="AC117">
        <v>679.81214511572898</v>
      </c>
      <c r="AD117">
        <v>331.22405445936897</v>
      </c>
      <c r="AE117">
        <v>768.03799746176696</v>
      </c>
      <c r="AF117">
        <v>542.142971375348</v>
      </c>
      <c r="AG117">
        <v>358.64729645504798</v>
      </c>
    </row>
    <row r="118" spans="1:33" x14ac:dyDescent="0.25">
      <c r="A118" s="1">
        <v>44169</v>
      </c>
      <c r="B118">
        <v>8539.4231016312006</v>
      </c>
      <c r="C118">
        <v>6639.8396250590004</v>
      </c>
      <c r="D118">
        <v>6450.1576666856599</v>
      </c>
      <c r="E118">
        <v>8933.0116338491007</v>
      </c>
      <c r="F118">
        <v>11337.7244848061</v>
      </c>
      <c r="G118">
        <v>10655.234776843099</v>
      </c>
      <c r="H118">
        <v>23134.286487705602</v>
      </c>
      <c r="I118">
        <v>14335.670560885201</v>
      </c>
      <c r="J118">
        <v>914.73017633294103</v>
      </c>
      <c r="K118">
        <v>1037.9864245917499</v>
      </c>
      <c r="L118">
        <v>394.00079696326998</v>
      </c>
      <c r="M118">
        <v>9326.71032645384</v>
      </c>
      <c r="N118">
        <v>1868.5076798969501</v>
      </c>
      <c r="O118">
        <v>372.62042246385101</v>
      </c>
      <c r="P118">
        <v>1260.2976815475799</v>
      </c>
      <c r="Q118">
        <v>7192.34079889843</v>
      </c>
      <c r="R118">
        <v>471.33639037906102</v>
      </c>
      <c r="S118">
        <v>141.73044939786899</v>
      </c>
      <c r="T118">
        <v>166.93697047243199</v>
      </c>
      <c r="U118">
        <v>139.252281115019</v>
      </c>
      <c r="V118">
        <v>148.62812855592199</v>
      </c>
      <c r="W118">
        <v>120.57228060311</v>
      </c>
      <c r="X118">
        <v>124.772807289719</v>
      </c>
      <c r="Y118">
        <v>547.59955928081104</v>
      </c>
      <c r="Z118">
        <v>140.891824915672</v>
      </c>
      <c r="AA118">
        <v>339.80093343186002</v>
      </c>
      <c r="AB118">
        <v>499.53193928096402</v>
      </c>
      <c r="AC118">
        <v>686.20393374557602</v>
      </c>
      <c r="AD118">
        <v>337.616409647686</v>
      </c>
      <c r="AE118">
        <v>779.92398961324</v>
      </c>
      <c r="AF118">
        <v>545.69367494314599</v>
      </c>
      <c r="AG118">
        <v>360.16780717179802</v>
      </c>
    </row>
    <row r="119" spans="1:33" x14ac:dyDescent="0.25">
      <c r="A119" s="1">
        <v>44170</v>
      </c>
      <c r="B119">
        <v>8436.8201127757002</v>
      </c>
      <c r="C119">
        <v>6556.2844515324396</v>
      </c>
      <c r="D119">
        <v>6503.0033409331099</v>
      </c>
      <c r="E119">
        <v>8856.1321945703294</v>
      </c>
      <c r="F119">
        <v>11368.2200813081</v>
      </c>
      <c r="G119">
        <v>10961.8890731514</v>
      </c>
      <c r="H119">
        <v>23487.628080773098</v>
      </c>
      <c r="I119">
        <v>14333.2751404501</v>
      </c>
      <c r="J119">
        <v>918.063548770284</v>
      </c>
      <c r="K119">
        <v>1054.28711552799</v>
      </c>
      <c r="L119">
        <v>404.577588454411</v>
      </c>
      <c r="M119">
        <v>9494.3157004741606</v>
      </c>
      <c r="N119">
        <v>1886.1986702264801</v>
      </c>
      <c r="O119">
        <v>383.07672924940698</v>
      </c>
      <c r="P119">
        <v>1288.5055147933899</v>
      </c>
      <c r="Q119">
        <v>7258.4875473471302</v>
      </c>
      <c r="R119">
        <v>483.066748489036</v>
      </c>
      <c r="S119">
        <v>141.78902364363799</v>
      </c>
      <c r="T119">
        <v>163.846462056207</v>
      </c>
      <c r="U119">
        <v>138.662790516</v>
      </c>
      <c r="V119">
        <v>140.44925154090001</v>
      </c>
      <c r="W119">
        <v>130.34890012050499</v>
      </c>
      <c r="X119">
        <v>124.19795679658399</v>
      </c>
      <c r="Y119">
        <v>534.48401402405705</v>
      </c>
      <c r="Z119">
        <v>141.89269930141401</v>
      </c>
      <c r="AA119">
        <v>338.717116700433</v>
      </c>
      <c r="AB119">
        <v>497.738035999131</v>
      </c>
      <c r="AC119">
        <v>690.52832408124505</v>
      </c>
      <c r="AD119">
        <v>346.47080396623198</v>
      </c>
      <c r="AE119">
        <v>790.936432924256</v>
      </c>
      <c r="AF119">
        <v>548.465772451813</v>
      </c>
      <c r="AG119">
        <v>361.48970528853198</v>
      </c>
    </row>
    <row r="120" spans="1:33" x14ac:dyDescent="0.25">
      <c r="A120" s="1">
        <v>44171</v>
      </c>
      <c r="B120">
        <v>8382.0379610636501</v>
      </c>
      <c r="C120">
        <v>6686.6384286062403</v>
      </c>
      <c r="D120">
        <v>6452.8116470441601</v>
      </c>
      <c r="E120">
        <v>8587.3518656038104</v>
      </c>
      <c r="F120">
        <v>11256.321346603399</v>
      </c>
      <c r="G120">
        <v>10490.455189454</v>
      </c>
      <c r="H120">
        <v>22998.579810457701</v>
      </c>
      <c r="I120">
        <v>14323.1264664027</v>
      </c>
      <c r="J120">
        <v>913.53378932623696</v>
      </c>
      <c r="K120">
        <v>981.49267746984106</v>
      </c>
      <c r="L120">
        <v>405.79526683924797</v>
      </c>
      <c r="M120">
        <v>8917.6632150326695</v>
      </c>
      <c r="N120">
        <v>1550.84631147398</v>
      </c>
      <c r="O120">
        <v>383.22584338002201</v>
      </c>
      <c r="P120">
        <v>1176.53080287643</v>
      </c>
      <c r="Q120">
        <v>6772.9914028394996</v>
      </c>
      <c r="R120">
        <v>472.57022059016799</v>
      </c>
      <c r="S120">
        <v>141.752266432081</v>
      </c>
      <c r="T120">
        <v>151.149710650662</v>
      </c>
      <c r="U120">
        <v>138.83802532911301</v>
      </c>
      <c r="V120">
        <v>125.231659685911</v>
      </c>
      <c r="W120">
        <v>133.833898004633</v>
      </c>
      <c r="X120">
        <v>119.65178132387</v>
      </c>
      <c r="Y120">
        <v>535.51587871140896</v>
      </c>
      <c r="Z120">
        <v>142.59333212276701</v>
      </c>
      <c r="AA120">
        <v>337.60236483996903</v>
      </c>
      <c r="AB120">
        <v>491.07890714411798</v>
      </c>
      <c r="AC120">
        <v>695.98023824983397</v>
      </c>
      <c r="AD120">
        <v>339.94856767310802</v>
      </c>
      <c r="AE120">
        <v>781.69904680253899</v>
      </c>
      <c r="AF120">
        <v>552.99699591849105</v>
      </c>
      <c r="AG120">
        <v>362.18517867988601</v>
      </c>
    </row>
    <row r="121" spans="1:33" x14ac:dyDescent="0.25">
      <c r="A121" s="1">
        <v>44172</v>
      </c>
      <c r="B121">
        <v>8306.1752624413202</v>
      </c>
      <c r="C121">
        <v>6683.3345814820004</v>
      </c>
      <c r="D121">
        <v>6447.7713626942495</v>
      </c>
      <c r="E121">
        <v>8435.0461404610196</v>
      </c>
      <c r="F121">
        <v>10792.562758883099</v>
      </c>
      <c r="G121">
        <v>9831.5468742024805</v>
      </c>
      <c r="H121">
        <v>22140.6397867415</v>
      </c>
      <c r="I121">
        <v>14149.0910957868</v>
      </c>
      <c r="J121">
        <v>908.97497898575205</v>
      </c>
      <c r="K121">
        <v>931.52697585098394</v>
      </c>
      <c r="L121">
        <v>387.34495655955499</v>
      </c>
      <c r="M121">
        <v>8215.8663057597496</v>
      </c>
      <c r="N121">
        <v>1159.8064029374</v>
      </c>
      <c r="O121">
        <v>365.92784925151</v>
      </c>
      <c r="P121">
        <v>1091.40134391933</v>
      </c>
      <c r="Q121">
        <v>6152.8629002205298</v>
      </c>
      <c r="R121">
        <v>447.171932430087</v>
      </c>
      <c r="S121">
        <v>141.84758768856301</v>
      </c>
      <c r="T121">
        <v>145.20522542254699</v>
      </c>
      <c r="U121">
        <v>139.152764428203</v>
      </c>
      <c r="V121">
        <v>130.82675402281001</v>
      </c>
      <c r="W121">
        <v>134.3286611197</v>
      </c>
      <c r="X121">
        <v>128.36232879928201</v>
      </c>
      <c r="Y121">
        <v>579.65173737213104</v>
      </c>
      <c r="Z121">
        <v>142.921958166357</v>
      </c>
      <c r="AA121">
        <v>336.58999248511702</v>
      </c>
      <c r="AB121">
        <v>516.949302029509</v>
      </c>
      <c r="AC121">
        <v>708.55358286093895</v>
      </c>
      <c r="AD121">
        <v>328.053400316759</v>
      </c>
      <c r="AE121">
        <v>772.57763596095401</v>
      </c>
      <c r="AF121">
        <v>561.19922488870498</v>
      </c>
      <c r="AG121">
        <v>362.95188073515402</v>
      </c>
    </row>
    <row r="122" spans="1:33" x14ac:dyDescent="0.25">
      <c r="A122" s="1">
        <v>44173</v>
      </c>
      <c r="B122">
        <v>8246.8999721375694</v>
      </c>
      <c r="C122">
        <v>6088.4311542769301</v>
      </c>
      <c r="D122">
        <v>6444.5886956866698</v>
      </c>
      <c r="E122">
        <v>8445.5028534207104</v>
      </c>
      <c r="F122">
        <v>10763.233212442599</v>
      </c>
      <c r="G122">
        <v>9883.1253752932807</v>
      </c>
      <c r="H122">
        <v>22531.2030605855</v>
      </c>
      <c r="I122">
        <v>13992.2042749559</v>
      </c>
      <c r="J122">
        <v>902.51942338894196</v>
      </c>
      <c r="K122">
        <v>905.19390811955395</v>
      </c>
      <c r="L122">
        <v>391.10791012919401</v>
      </c>
      <c r="M122">
        <v>8251.6036188384805</v>
      </c>
      <c r="N122">
        <v>1219.96195070678</v>
      </c>
      <c r="O122">
        <v>373.612067716946</v>
      </c>
      <c r="P122">
        <v>1059.62556174254</v>
      </c>
      <c r="Q122">
        <v>6148.3828906578501</v>
      </c>
      <c r="R122">
        <v>451.78949656721602</v>
      </c>
      <c r="S122">
        <v>141.85685332829499</v>
      </c>
      <c r="T122">
        <v>147.200475466695</v>
      </c>
      <c r="U122">
        <v>139.04443973455699</v>
      </c>
      <c r="V122">
        <v>146.465924183808</v>
      </c>
      <c r="W122">
        <v>138.84625203512999</v>
      </c>
      <c r="X122">
        <v>137.098476229689</v>
      </c>
      <c r="Y122">
        <v>584.61149574016997</v>
      </c>
      <c r="Z122">
        <v>142.57417321337601</v>
      </c>
      <c r="AA122">
        <v>336.04461401704299</v>
      </c>
      <c r="AB122">
        <v>521.158112614527</v>
      </c>
      <c r="AC122">
        <v>718.94806282753996</v>
      </c>
      <c r="AD122">
        <v>330.48339984469197</v>
      </c>
      <c r="AE122">
        <v>783.492029918566</v>
      </c>
      <c r="AF122">
        <v>566.98205651922297</v>
      </c>
      <c r="AG122">
        <v>362.769276361599</v>
      </c>
    </row>
    <row r="123" spans="1:33" x14ac:dyDescent="0.25">
      <c r="A123" s="1">
        <v>44174</v>
      </c>
      <c r="B123">
        <v>8261.7355914049003</v>
      </c>
      <c r="C123">
        <v>5978.5570108286502</v>
      </c>
      <c r="D123">
        <v>6474.5207386184502</v>
      </c>
      <c r="E123">
        <v>8416.4269438985702</v>
      </c>
      <c r="F123">
        <v>10913.3834136569</v>
      </c>
      <c r="G123">
        <v>9981.5257367531594</v>
      </c>
      <c r="H123">
        <v>22588.976505824099</v>
      </c>
      <c r="I123">
        <v>13938.8659104785</v>
      </c>
      <c r="J123">
        <v>897.490288238895</v>
      </c>
      <c r="K123">
        <v>894.56445919406406</v>
      </c>
      <c r="L123">
        <v>401.26131213128298</v>
      </c>
      <c r="M123">
        <v>8252.5445086445507</v>
      </c>
      <c r="N123">
        <v>1239.7334641648499</v>
      </c>
      <c r="O123">
        <v>371.43965133051</v>
      </c>
      <c r="P123">
        <v>1039.8667802800001</v>
      </c>
      <c r="Q123">
        <v>6098.88556007852</v>
      </c>
      <c r="R123">
        <v>450.47002740588403</v>
      </c>
      <c r="S123">
        <v>141.83380995118199</v>
      </c>
      <c r="T123">
        <v>147.23108517547101</v>
      </c>
      <c r="U123">
        <v>138.72475478610701</v>
      </c>
      <c r="V123">
        <v>148.02564087880799</v>
      </c>
      <c r="W123">
        <v>141.345648041521</v>
      </c>
      <c r="X123">
        <v>136.13276548304501</v>
      </c>
      <c r="Y123">
        <v>579.42587941934698</v>
      </c>
      <c r="Z123">
        <v>141.85256068834801</v>
      </c>
      <c r="AA123">
        <v>335.70316478724999</v>
      </c>
      <c r="AB123">
        <v>519.07222019758797</v>
      </c>
      <c r="AC123">
        <v>719.70960025289401</v>
      </c>
      <c r="AD123">
        <v>332.97821971049001</v>
      </c>
      <c r="AE123">
        <v>799.04439338463203</v>
      </c>
      <c r="AF123">
        <v>571.63312757947199</v>
      </c>
      <c r="AG123">
        <v>362.78805788986801</v>
      </c>
    </row>
    <row r="124" spans="1:33" x14ac:dyDescent="0.25">
      <c r="A124" s="1">
        <v>44175</v>
      </c>
      <c r="B124">
        <v>8288.1975986101497</v>
      </c>
      <c r="C124">
        <v>6061.0493602134802</v>
      </c>
      <c r="D124">
        <v>6480.1707380017097</v>
      </c>
      <c r="E124">
        <v>8550.68409183111</v>
      </c>
      <c r="F124">
        <v>11396.7559136983</v>
      </c>
      <c r="G124">
        <v>10892.2305489316</v>
      </c>
      <c r="H124">
        <v>23749.1273666532</v>
      </c>
      <c r="I124">
        <v>13997.1972920834</v>
      </c>
      <c r="J124">
        <v>904.37442625360097</v>
      </c>
      <c r="K124">
        <v>928.106064704711</v>
      </c>
      <c r="L124">
        <v>409.69432669800301</v>
      </c>
      <c r="M124">
        <v>9053.1552104009006</v>
      </c>
      <c r="N124">
        <v>1569.42208001839</v>
      </c>
      <c r="O124">
        <v>401.93659351685397</v>
      </c>
      <c r="P124">
        <v>1085.1852750811099</v>
      </c>
      <c r="Q124">
        <v>6858.7406728405003</v>
      </c>
      <c r="R124">
        <v>472.69874176585699</v>
      </c>
      <c r="S124">
        <v>141.86753037293599</v>
      </c>
      <c r="T124">
        <v>153.4921412708</v>
      </c>
      <c r="U124">
        <v>138.85083725209901</v>
      </c>
      <c r="V124">
        <v>161.15650090285101</v>
      </c>
      <c r="W124">
        <v>141.179809877992</v>
      </c>
      <c r="X124">
        <v>142.12488286913299</v>
      </c>
      <c r="Y124">
        <v>557.65193507980098</v>
      </c>
      <c r="Z124">
        <v>141.42820845930299</v>
      </c>
      <c r="AA124">
        <v>335.89421859891002</v>
      </c>
      <c r="AB124">
        <v>505.23801755644399</v>
      </c>
      <c r="AC124">
        <v>717.469750078944</v>
      </c>
      <c r="AD124">
        <v>342.09538591973501</v>
      </c>
      <c r="AE124">
        <v>801.14521063208304</v>
      </c>
      <c r="AF124">
        <v>573.47813164929403</v>
      </c>
      <c r="AG124">
        <v>361.43574308036898</v>
      </c>
    </row>
    <row r="125" spans="1:33" x14ac:dyDescent="0.25">
      <c r="A125" s="1">
        <v>44176</v>
      </c>
      <c r="B125">
        <v>8304.6197990899</v>
      </c>
      <c r="C125">
        <v>6709.6333076759402</v>
      </c>
      <c r="D125">
        <v>6352.38106562745</v>
      </c>
      <c r="E125">
        <v>8560.0804495494594</v>
      </c>
      <c r="F125">
        <v>11631.8494093884</v>
      </c>
      <c r="G125">
        <v>10724.3524458051</v>
      </c>
      <c r="H125">
        <v>23386.508453696901</v>
      </c>
      <c r="I125">
        <v>14198.864763715201</v>
      </c>
      <c r="J125">
        <v>909.203188737696</v>
      </c>
      <c r="K125">
        <v>911.93424339780904</v>
      </c>
      <c r="L125">
        <v>413.44177333398699</v>
      </c>
      <c r="M125">
        <v>9016.4872831329503</v>
      </c>
      <c r="N125">
        <v>1614.77478382753</v>
      </c>
      <c r="O125">
        <v>392.91161876980198</v>
      </c>
      <c r="P125">
        <v>1057.9915172726301</v>
      </c>
      <c r="Q125">
        <v>6827.3590960524498</v>
      </c>
      <c r="R125">
        <v>470.18917190848299</v>
      </c>
      <c r="S125">
        <v>142.297990847492</v>
      </c>
      <c r="T125">
        <v>157.09022640916399</v>
      </c>
      <c r="U125">
        <v>138.54928863638199</v>
      </c>
      <c r="V125">
        <v>163.70820404281901</v>
      </c>
      <c r="W125">
        <v>142.13526356033901</v>
      </c>
      <c r="X125">
        <v>143.62636810911599</v>
      </c>
      <c r="Y125">
        <v>570.685109162863</v>
      </c>
      <c r="Z125">
        <v>142.571674181574</v>
      </c>
      <c r="AA125">
        <v>336.69104835766399</v>
      </c>
      <c r="AB125">
        <v>511.01448140082101</v>
      </c>
      <c r="AC125">
        <v>715.86201512246805</v>
      </c>
      <c r="AD125">
        <v>343.96753640865398</v>
      </c>
      <c r="AE125">
        <v>821.80830074436994</v>
      </c>
      <c r="AF125">
        <v>580.01731374570204</v>
      </c>
      <c r="AG125">
        <v>365.038427643018</v>
      </c>
    </row>
    <row r="126" spans="1:33" x14ac:dyDescent="0.25">
      <c r="A126" s="1">
        <v>44177</v>
      </c>
      <c r="B126">
        <v>8269.4310745683906</v>
      </c>
      <c r="C126">
        <v>6512.2729661816402</v>
      </c>
      <c r="D126">
        <v>6491.0803977164896</v>
      </c>
      <c r="E126">
        <v>8652.7992875999098</v>
      </c>
      <c r="F126">
        <v>11893.744659099601</v>
      </c>
      <c r="G126">
        <v>11342.8908460822</v>
      </c>
      <c r="H126">
        <v>23651.960045472799</v>
      </c>
      <c r="I126">
        <v>14412.2973213678</v>
      </c>
      <c r="J126">
        <v>909.40506969400303</v>
      </c>
      <c r="K126">
        <v>944.188711223312</v>
      </c>
      <c r="L126">
        <v>409.96769685464398</v>
      </c>
      <c r="M126">
        <v>9536.9532411398304</v>
      </c>
      <c r="N126">
        <v>1959.3116504086399</v>
      </c>
      <c r="O126">
        <v>400.22038787674001</v>
      </c>
      <c r="P126">
        <v>1117.4928617104699</v>
      </c>
      <c r="Q126">
        <v>7627.91363977125</v>
      </c>
      <c r="R126">
        <v>478.14461011532097</v>
      </c>
      <c r="S126">
        <v>141.974051931676</v>
      </c>
      <c r="T126">
        <v>170.450884360549</v>
      </c>
      <c r="U126">
        <v>138.37740898953899</v>
      </c>
      <c r="V126">
        <v>175.00786994433</v>
      </c>
      <c r="W126">
        <v>145.373182659355</v>
      </c>
      <c r="X126">
        <v>145.45961748564201</v>
      </c>
      <c r="Y126">
        <v>567.47205664523199</v>
      </c>
      <c r="Z126">
        <v>146.08268797982601</v>
      </c>
      <c r="AA126">
        <v>339.04151686881198</v>
      </c>
      <c r="AB126">
        <v>508.27113437101002</v>
      </c>
      <c r="AC126">
        <v>720.26247946143496</v>
      </c>
      <c r="AD126">
        <v>352.15148608960698</v>
      </c>
      <c r="AE126">
        <v>819.42037324130501</v>
      </c>
      <c r="AF126">
        <v>583.37577390513695</v>
      </c>
      <c r="AG126">
        <v>371.53150725907199</v>
      </c>
    </row>
    <row r="127" spans="1:33" x14ac:dyDescent="0.25">
      <c r="A127" s="1">
        <v>44178</v>
      </c>
      <c r="B127">
        <v>8226.5325503208605</v>
      </c>
      <c r="C127">
        <v>6462.3288189819796</v>
      </c>
      <c r="D127">
        <v>6649.7106392527603</v>
      </c>
      <c r="E127">
        <v>8813.8497177631398</v>
      </c>
      <c r="F127">
        <v>11827.4665279972</v>
      </c>
      <c r="G127">
        <v>11475.0398888742</v>
      </c>
      <c r="H127">
        <v>23393.4959662978</v>
      </c>
      <c r="I127">
        <v>14634.2800637655</v>
      </c>
      <c r="J127">
        <v>917.15675216457396</v>
      </c>
      <c r="K127">
        <v>964.25364906771904</v>
      </c>
      <c r="L127">
        <v>416.72405116739202</v>
      </c>
      <c r="M127">
        <v>9751.4637651281391</v>
      </c>
      <c r="N127">
        <v>2279.0578438436401</v>
      </c>
      <c r="O127">
        <v>394.39004852608099</v>
      </c>
      <c r="P127">
        <v>1161.63742962643</v>
      </c>
      <c r="Q127">
        <v>7816.7457686447697</v>
      </c>
      <c r="R127">
        <v>470.415385855485</v>
      </c>
      <c r="S127">
        <v>143.82423850756899</v>
      </c>
      <c r="T127">
        <v>196.74950053129399</v>
      </c>
      <c r="U127">
        <v>138.28986967267301</v>
      </c>
      <c r="V127">
        <v>216.389600538835</v>
      </c>
      <c r="W127">
        <v>148.030723730679</v>
      </c>
      <c r="X127">
        <v>162.62002266770801</v>
      </c>
      <c r="Y127">
        <v>597.18667733376606</v>
      </c>
      <c r="Z127">
        <v>154.299579102808</v>
      </c>
      <c r="AA127">
        <v>343.932193470475</v>
      </c>
      <c r="AB127">
        <v>538.81229385493998</v>
      </c>
      <c r="AC127">
        <v>731.16692988405396</v>
      </c>
      <c r="AD127">
        <v>360.544084561283</v>
      </c>
      <c r="AE127">
        <v>747.65337600014402</v>
      </c>
      <c r="AF127">
        <v>593.53201008765905</v>
      </c>
      <c r="AG127">
        <v>393.61108289341797</v>
      </c>
    </row>
    <row r="128" spans="1:33" x14ac:dyDescent="0.25">
      <c r="A128" s="1">
        <v>44179</v>
      </c>
      <c r="B128">
        <v>8243.1203201641601</v>
      </c>
      <c r="C128">
        <v>6414.6762812658399</v>
      </c>
      <c r="D128">
        <v>6552.40941822477</v>
      </c>
      <c r="E128">
        <v>8699.7094529701299</v>
      </c>
      <c r="F128">
        <v>12007.107367304499</v>
      </c>
      <c r="G128">
        <v>10857.256808989599</v>
      </c>
      <c r="H128">
        <v>22920.697259488101</v>
      </c>
      <c r="I128">
        <v>14794.4096007717</v>
      </c>
      <c r="J128">
        <v>923.01679033815697</v>
      </c>
      <c r="K128">
        <v>925.61060958222595</v>
      </c>
      <c r="L128">
        <v>418.23909786572898</v>
      </c>
      <c r="M128">
        <v>9344.7803783263698</v>
      </c>
      <c r="N128">
        <v>1977.62187856893</v>
      </c>
      <c r="O128">
        <v>390.78846249680203</v>
      </c>
      <c r="P128">
        <v>1097.2793459603799</v>
      </c>
      <c r="Q128">
        <v>7454.1494166202701</v>
      </c>
      <c r="R128">
        <v>463.31435691970199</v>
      </c>
      <c r="S128">
        <v>145.88294080865401</v>
      </c>
      <c r="T128">
        <v>190.047018505355</v>
      </c>
      <c r="U128">
        <v>138.56204160133001</v>
      </c>
      <c r="V128">
        <v>188.475077775084</v>
      </c>
      <c r="W128">
        <v>150.266756015813</v>
      </c>
      <c r="X128">
        <v>151.33351264702401</v>
      </c>
      <c r="Y128">
        <v>612.17854180117502</v>
      </c>
      <c r="Z128">
        <v>165.01580571814799</v>
      </c>
      <c r="AA128">
        <v>350.326334218336</v>
      </c>
      <c r="AB128">
        <v>544.54468193773903</v>
      </c>
      <c r="AC128">
        <v>746.69242286575604</v>
      </c>
      <c r="AD128">
        <v>358.00125222268599</v>
      </c>
      <c r="AE128">
        <v>713.82396594865702</v>
      </c>
      <c r="AF128">
        <v>603.60777039782897</v>
      </c>
      <c r="AG128">
        <v>417.95808768767603</v>
      </c>
    </row>
    <row r="129" spans="1:33" x14ac:dyDescent="0.25">
      <c r="A129" s="1">
        <v>44180</v>
      </c>
      <c r="B129">
        <v>8251.8084240473909</v>
      </c>
      <c r="C129">
        <v>6222.4497943404604</v>
      </c>
      <c r="D129">
        <v>6651.62721784531</v>
      </c>
      <c r="E129">
        <v>8769.8544163749302</v>
      </c>
      <c r="F129">
        <v>11090.2305157624</v>
      </c>
      <c r="G129">
        <v>10028.430542582701</v>
      </c>
      <c r="H129">
        <v>22011.9944827371</v>
      </c>
      <c r="I129">
        <v>14469.8543219653</v>
      </c>
      <c r="J129">
        <v>910.00634242702904</v>
      </c>
      <c r="K129">
        <v>892.66042944457104</v>
      </c>
      <c r="L129">
        <v>408.95448133579703</v>
      </c>
      <c r="M129">
        <v>8646.0374032846194</v>
      </c>
      <c r="N129">
        <v>1799.41806236516</v>
      </c>
      <c r="O129">
        <v>367.82151522872499</v>
      </c>
      <c r="P129">
        <v>1052.15212109649</v>
      </c>
      <c r="Q129">
        <v>6760.1088883297998</v>
      </c>
      <c r="R129">
        <v>439.33146055923697</v>
      </c>
      <c r="S129">
        <v>147.13444250977199</v>
      </c>
      <c r="T129">
        <v>188.56407307762601</v>
      </c>
      <c r="U129">
        <v>140.53125203174699</v>
      </c>
      <c r="V129">
        <v>186.88352332143899</v>
      </c>
      <c r="W129">
        <v>148.703379889307</v>
      </c>
      <c r="X129">
        <v>153.95154764014501</v>
      </c>
      <c r="Y129">
        <v>646.22626361240202</v>
      </c>
      <c r="Z129">
        <v>173.53677977567</v>
      </c>
      <c r="AA129">
        <v>359.313646974758</v>
      </c>
      <c r="AB129">
        <v>586.55536654711705</v>
      </c>
      <c r="AC129">
        <v>702.89216214907594</v>
      </c>
      <c r="AD129">
        <v>353.795265936313</v>
      </c>
      <c r="AE129">
        <v>723.23968143226602</v>
      </c>
      <c r="AF129">
        <v>619.63658671085898</v>
      </c>
      <c r="AG129">
        <v>450.24364107419899</v>
      </c>
    </row>
    <row r="130" spans="1:33" x14ac:dyDescent="0.25">
      <c r="A130" s="1">
        <v>44181</v>
      </c>
      <c r="B130">
        <v>8242.1628053295899</v>
      </c>
      <c r="C130">
        <v>5634.3623719499701</v>
      </c>
      <c r="D130">
        <v>6650.21280632461</v>
      </c>
      <c r="E130">
        <v>8778.1786299035793</v>
      </c>
      <c r="F130">
        <v>10513.591434607501</v>
      </c>
      <c r="G130">
        <v>9472.0851772207498</v>
      </c>
      <c r="H130">
        <v>21363.4272556002</v>
      </c>
      <c r="I130">
        <v>14053.698536817399</v>
      </c>
      <c r="J130">
        <v>895.14167175592297</v>
      </c>
      <c r="K130">
        <v>864.59029497891697</v>
      </c>
      <c r="L130">
        <v>402.13228551737802</v>
      </c>
      <c r="M130">
        <v>8091.7771391240403</v>
      </c>
      <c r="N130">
        <v>1632.61183644874</v>
      </c>
      <c r="O130">
        <v>355.29265794391699</v>
      </c>
      <c r="P130">
        <v>1012.1037107629101</v>
      </c>
      <c r="Q130">
        <v>6286.9539540132</v>
      </c>
      <c r="R130">
        <v>427.61844991872101</v>
      </c>
      <c r="S130">
        <v>148.76974360928</v>
      </c>
      <c r="T130">
        <v>185.029743792678</v>
      </c>
      <c r="U130">
        <v>150.64284896113699</v>
      </c>
      <c r="V130">
        <v>181.592246379735</v>
      </c>
      <c r="W130">
        <v>148.40727786431901</v>
      </c>
      <c r="X130">
        <v>152.65142798061299</v>
      </c>
      <c r="Y130">
        <v>662.41187665790699</v>
      </c>
      <c r="Z130">
        <v>179.02465792363799</v>
      </c>
      <c r="AA130">
        <v>366.48597207388201</v>
      </c>
      <c r="AB130">
        <v>601.00125084613205</v>
      </c>
      <c r="AC130">
        <v>659.81499469599601</v>
      </c>
      <c r="AD130">
        <v>350.03402330448398</v>
      </c>
      <c r="AE130">
        <v>748.04706517480099</v>
      </c>
      <c r="AF130">
        <v>632.40848013391405</v>
      </c>
      <c r="AG130">
        <v>471.20717472575501</v>
      </c>
    </row>
    <row r="131" spans="1:33" x14ac:dyDescent="0.25">
      <c r="A131" s="1">
        <v>44182</v>
      </c>
      <c r="B131">
        <v>8261.1185261843693</v>
      </c>
      <c r="C131">
        <v>5147.8308160254601</v>
      </c>
      <c r="D131">
        <v>6551.6113321346802</v>
      </c>
      <c r="E131">
        <v>8803.3417439775894</v>
      </c>
      <c r="F131">
        <v>10602.431742368</v>
      </c>
      <c r="G131">
        <v>9855.9934178749008</v>
      </c>
      <c r="H131">
        <v>22739.066558259801</v>
      </c>
      <c r="I131">
        <v>13732.5574653069</v>
      </c>
      <c r="J131">
        <v>883.76717288960697</v>
      </c>
      <c r="K131">
        <v>880.38897555251401</v>
      </c>
      <c r="L131">
        <v>402.66120885315001</v>
      </c>
      <c r="M131">
        <v>8573.2429037759703</v>
      </c>
      <c r="N131">
        <v>1737.47141674812</v>
      </c>
      <c r="O131">
        <v>368.152760434463</v>
      </c>
      <c r="P131">
        <v>1032.79913194293</v>
      </c>
      <c r="Q131">
        <v>6518.4851388458601</v>
      </c>
      <c r="R131">
        <v>442.47439173710302</v>
      </c>
      <c r="S131">
        <v>150.656865672702</v>
      </c>
      <c r="T131">
        <v>193.01023984071</v>
      </c>
      <c r="U131">
        <v>157.27941159564099</v>
      </c>
      <c r="V131">
        <v>175.890093574421</v>
      </c>
      <c r="W131">
        <v>148.50701475129901</v>
      </c>
      <c r="X131">
        <v>150.49525575413901</v>
      </c>
      <c r="Y131">
        <v>635.21960774244599</v>
      </c>
      <c r="Z131">
        <v>182.34334927227701</v>
      </c>
      <c r="AA131">
        <v>372.39915181397998</v>
      </c>
      <c r="AB131">
        <v>597.05675102373004</v>
      </c>
      <c r="AC131">
        <v>656.09583228062695</v>
      </c>
      <c r="AD131">
        <v>351.49450683368298</v>
      </c>
      <c r="AE131">
        <v>758.51953082101795</v>
      </c>
      <c r="AF131">
        <v>638.74385143087102</v>
      </c>
      <c r="AG131">
        <v>474.945976618673</v>
      </c>
    </row>
    <row r="132" spans="1:33" x14ac:dyDescent="0.25">
      <c r="A132" s="1">
        <v>44183</v>
      </c>
      <c r="B132">
        <v>8240.5314613148294</v>
      </c>
      <c r="C132">
        <v>5905.3710382853697</v>
      </c>
      <c r="D132">
        <v>6183.8020730508297</v>
      </c>
      <c r="E132">
        <v>8531.3308547726101</v>
      </c>
      <c r="F132">
        <v>9978.4611688996592</v>
      </c>
      <c r="G132">
        <v>8427.3511144110907</v>
      </c>
      <c r="H132">
        <v>20588.722101011699</v>
      </c>
      <c r="I132">
        <v>13531.7025724493</v>
      </c>
      <c r="J132">
        <v>868.47500050236602</v>
      </c>
      <c r="K132">
        <v>811.06805643311998</v>
      </c>
      <c r="L132">
        <v>395.98898127445</v>
      </c>
      <c r="M132">
        <v>7211.29148948478</v>
      </c>
      <c r="N132">
        <v>1270.8960983219599</v>
      </c>
      <c r="O132">
        <v>343.07800813469498</v>
      </c>
      <c r="P132">
        <v>936.62378305169705</v>
      </c>
      <c r="Q132">
        <v>5379.5373075315101</v>
      </c>
      <c r="R132">
        <v>413.64448780503</v>
      </c>
      <c r="S132">
        <v>150.12898088439599</v>
      </c>
      <c r="T132">
        <v>174.59437083454401</v>
      </c>
      <c r="U132">
        <v>153.99929644820801</v>
      </c>
      <c r="V132">
        <v>155.08170002088301</v>
      </c>
      <c r="W132">
        <v>144.63142452870599</v>
      </c>
      <c r="X132">
        <v>149.453232512743</v>
      </c>
      <c r="Y132">
        <v>656.52872225702401</v>
      </c>
      <c r="Z132">
        <v>182.141401503563</v>
      </c>
      <c r="AA132">
        <v>375.171288948376</v>
      </c>
      <c r="AB132">
        <v>622.78853440958005</v>
      </c>
      <c r="AC132">
        <v>659.49685675367095</v>
      </c>
      <c r="AD132">
        <v>343.688544233198</v>
      </c>
      <c r="AE132">
        <v>757.16983051914895</v>
      </c>
      <c r="AF132">
        <v>653.40058316980901</v>
      </c>
      <c r="AG132">
        <v>466.39026951405702</v>
      </c>
    </row>
    <row r="133" spans="1:33" x14ac:dyDescent="0.25">
      <c r="A133" s="1">
        <v>44184</v>
      </c>
      <c r="B133">
        <v>8160.1592837620401</v>
      </c>
      <c r="C133">
        <v>4864.1699482069198</v>
      </c>
      <c r="D133">
        <v>5832.6437720211597</v>
      </c>
      <c r="E133">
        <v>8172.9072494927404</v>
      </c>
      <c r="F133">
        <v>9200.5812135999604</v>
      </c>
      <c r="G133">
        <v>7509.1772333707704</v>
      </c>
      <c r="H133">
        <v>19298.416645426401</v>
      </c>
      <c r="I133">
        <v>13031.4865934029</v>
      </c>
      <c r="J133">
        <v>848.90964612869504</v>
      </c>
      <c r="K133">
        <v>750.12007380861201</v>
      </c>
      <c r="L133">
        <v>386.40219902825498</v>
      </c>
      <c r="M133">
        <v>6224.87499381003</v>
      </c>
      <c r="N133">
        <v>915.95088874055796</v>
      </c>
      <c r="O133">
        <v>320.19846016678599</v>
      </c>
      <c r="P133">
        <v>844.52739939304695</v>
      </c>
      <c r="Q133">
        <v>4351.3527149828597</v>
      </c>
      <c r="R133">
        <v>388.15441242285101</v>
      </c>
      <c r="S133">
        <v>150.222793333802</v>
      </c>
      <c r="T133">
        <v>164.32259921462699</v>
      </c>
      <c r="U133">
        <v>187.03115121922499</v>
      </c>
      <c r="V133">
        <v>148.09227296994001</v>
      </c>
      <c r="W133">
        <v>156.9771341686</v>
      </c>
      <c r="X133">
        <v>146.56294770654301</v>
      </c>
      <c r="Y133">
        <v>652.49171066845804</v>
      </c>
      <c r="Z133">
        <v>179.38339836275199</v>
      </c>
      <c r="AA133">
        <v>378.01388528788698</v>
      </c>
      <c r="AB133">
        <v>624.92230652166404</v>
      </c>
      <c r="AC133">
        <v>669.99109882063306</v>
      </c>
      <c r="AD133">
        <v>336.06474912956099</v>
      </c>
      <c r="AE133">
        <v>774.41647267886799</v>
      </c>
      <c r="AF133">
        <v>668.789018195979</v>
      </c>
      <c r="AG133">
        <v>463.84593896971199</v>
      </c>
    </row>
    <row r="134" spans="1:33" x14ac:dyDescent="0.25">
      <c r="A134" s="1">
        <v>44185</v>
      </c>
      <c r="B134">
        <v>7992.6621670495097</v>
      </c>
      <c r="C134">
        <v>4040.2273157446898</v>
      </c>
      <c r="D134">
        <v>5715.36284610862</v>
      </c>
      <c r="E134">
        <v>7899.5489573821096</v>
      </c>
      <c r="F134">
        <v>8385.3795547273803</v>
      </c>
      <c r="G134">
        <v>6955.75325790437</v>
      </c>
      <c r="H134">
        <v>19261.449174123401</v>
      </c>
      <c r="I134">
        <v>12443.1568800116</v>
      </c>
      <c r="J134">
        <v>830.31442270092805</v>
      </c>
      <c r="K134">
        <v>703.75655669265097</v>
      </c>
      <c r="L134">
        <v>376.48171910864301</v>
      </c>
      <c r="M134">
        <v>5682.1432634545699</v>
      </c>
      <c r="N134">
        <v>726.35722461410705</v>
      </c>
      <c r="O134">
        <v>305.591418771652</v>
      </c>
      <c r="P134">
        <v>781.66188824161895</v>
      </c>
      <c r="Q134">
        <v>3863.8915330388299</v>
      </c>
      <c r="R134">
        <v>370.51847065714298</v>
      </c>
      <c r="S134">
        <v>150.63385329652399</v>
      </c>
      <c r="T134">
        <v>161.40874152072499</v>
      </c>
      <c r="U134">
        <v>187.74008068665299</v>
      </c>
      <c r="V134">
        <v>152.637589007283</v>
      </c>
      <c r="W134">
        <v>158.53777106446199</v>
      </c>
      <c r="X134">
        <v>151.869638842679</v>
      </c>
      <c r="Y134">
        <v>653.08341909739602</v>
      </c>
      <c r="Z134">
        <v>177.29123204485299</v>
      </c>
      <c r="AA134">
        <v>382.65563556788101</v>
      </c>
      <c r="AB134">
        <v>621.39675306658796</v>
      </c>
      <c r="AC134">
        <v>689.83625046346401</v>
      </c>
      <c r="AD134">
        <v>330.35846029597201</v>
      </c>
      <c r="AE134">
        <v>792.86758097641996</v>
      </c>
      <c r="AF134">
        <v>681.433240725725</v>
      </c>
      <c r="AG134">
        <v>459.217753318159</v>
      </c>
    </row>
    <row r="135" spans="1:33" x14ac:dyDescent="0.25">
      <c r="A135" s="1">
        <v>44186</v>
      </c>
      <c r="B135">
        <v>7789.8269510816699</v>
      </c>
      <c r="C135">
        <v>3552.21149318164</v>
      </c>
      <c r="D135">
        <v>5535.7388180920698</v>
      </c>
      <c r="E135">
        <v>7750.9344861996096</v>
      </c>
      <c r="F135">
        <v>8203.5004384047606</v>
      </c>
      <c r="G135">
        <v>7125.8965749277004</v>
      </c>
      <c r="H135">
        <v>20594.343233135402</v>
      </c>
      <c r="I135">
        <v>12031.3070295611</v>
      </c>
      <c r="J135">
        <v>816.06916881987695</v>
      </c>
      <c r="K135">
        <v>685.55367886076101</v>
      </c>
      <c r="L135">
        <v>364.87138217619599</v>
      </c>
      <c r="M135">
        <v>5830.26902071103</v>
      </c>
      <c r="N135">
        <v>664.28168916579796</v>
      </c>
      <c r="O135">
        <v>309.66609256440802</v>
      </c>
      <c r="P135">
        <v>763.46332040510799</v>
      </c>
      <c r="Q135">
        <v>4034.0583408286798</v>
      </c>
      <c r="R135">
        <v>371.72865180232901</v>
      </c>
      <c r="S135">
        <v>151.47384415188401</v>
      </c>
      <c r="T135">
        <v>162.42454911137</v>
      </c>
      <c r="U135">
        <v>195.41907905488699</v>
      </c>
      <c r="V135">
        <v>162.61638390605901</v>
      </c>
      <c r="W135">
        <v>146.103777636036</v>
      </c>
      <c r="X135">
        <v>160.05159816791701</v>
      </c>
      <c r="Y135">
        <v>638.34748204791799</v>
      </c>
      <c r="Z135">
        <v>176.14123464920101</v>
      </c>
      <c r="AA135">
        <v>387.38789904873698</v>
      </c>
      <c r="AB135">
        <v>607.16354286001194</v>
      </c>
      <c r="AC135">
        <v>704.10272866768798</v>
      </c>
      <c r="AD135">
        <v>326.44249615679001</v>
      </c>
      <c r="AE135">
        <v>802.60078545805595</v>
      </c>
      <c r="AF135">
        <v>684.09627967119502</v>
      </c>
      <c r="AG135">
        <v>446.016015671795</v>
      </c>
    </row>
    <row r="136" spans="1:33" x14ac:dyDescent="0.25">
      <c r="A136" s="1">
        <v>44187</v>
      </c>
      <c r="B136">
        <v>7661.1274528699996</v>
      </c>
      <c r="C136">
        <v>3694.3041452664602</v>
      </c>
      <c r="D136">
        <v>5140.1903760844998</v>
      </c>
      <c r="E136">
        <v>7641.9594923957902</v>
      </c>
      <c r="F136">
        <v>8337.6318784677205</v>
      </c>
      <c r="G136">
        <v>7270.6788832871598</v>
      </c>
      <c r="H136">
        <v>20393.265707958399</v>
      </c>
      <c r="I136">
        <v>11820.667199741099</v>
      </c>
      <c r="J136">
        <v>805.55340275856202</v>
      </c>
      <c r="K136">
        <v>667.89559118352497</v>
      </c>
      <c r="L136">
        <v>361.769042755508</v>
      </c>
      <c r="M136">
        <v>5761.2147788238799</v>
      </c>
      <c r="N136">
        <v>560.96766950621998</v>
      </c>
      <c r="O136">
        <v>311.812330165552</v>
      </c>
      <c r="P136">
        <v>738.71654346093896</v>
      </c>
      <c r="Q136">
        <v>3942.7528972262799</v>
      </c>
      <c r="R136">
        <v>373.16201166353898</v>
      </c>
      <c r="S136">
        <v>152.02303044592199</v>
      </c>
      <c r="T136">
        <v>160.22560424596199</v>
      </c>
      <c r="U136">
        <v>186.49489592765801</v>
      </c>
      <c r="V136">
        <v>155.078977782263</v>
      </c>
      <c r="W136">
        <v>155.930085845284</v>
      </c>
      <c r="X136">
        <v>153.13468253982299</v>
      </c>
      <c r="Y136">
        <v>632.28072719143802</v>
      </c>
      <c r="Z136">
        <v>172.39400039181399</v>
      </c>
      <c r="AA136">
        <v>390.92457288092498</v>
      </c>
      <c r="AB136">
        <v>590.45181570455804</v>
      </c>
      <c r="AC136">
        <v>727.00350629172601</v>
      </c>
      <c r="AD136">
        <v>322.62525612849402</v>
      </c>
      <c r="AE136">
        <v>821.42058867015101</v>
      </c>
      <c r="AF136">
        <v>682.986179760048</v>
      </c>
      <c r="AG136">
        <v>419.49097359851902</v>
      </c>
    </row>
    <row r="137" spans="1:33" x14ac:dyDescent="0.25">
      <c r="A137" s="1">
        <v>44188</v>
      </c>
      <c r="B137">
        <v>7620.0570823738499</v>
      </c>
      <c r="C137">
        <v>3843.0399776828399</v>
      </c>
      <c r="D137">
        <v>4597.1274258425801</v>
      </c>
      <c r="E137">
        <v>7529.9254799898699</v>
      </c>
      <c r="F137">
        <v>8475.8685245982597</v>
      </c>
      <c r="G137">
        <v>6878.6381199379703</v>
      </c>
      <c r="H137">
        <v>19574.622903003401</v>
      </c>
      <c r="I137">
        <v>11772.1857122941</v>
      </c>
      <c r="J137">
        <v>794.12977515159002</v>
      </c>
      <c r="K137">
        <v>643.09439894615105</v>
      </c>
      <c r="L137">
        <v>359.653862106254</v>
      </c>
      <c r="M137">
        <v>5439.4618711482999</v>
      </c>
      <c r="N137">
        <v>481.43683986113001</v>
      </c>
      <c r="O137">
        <v>295.91317369576802</v>
      </c>
      <c r="P137">
        <v>699.041715382804</v>
      </c>
      <c r="Q137">
        <v>3409.8032644002801</v>
      </c>
      <c r="R137">
        <v>362.42311506730499</v>
      </c>
      <c r="S137">
        <v>152.347748135648</v>
      </c>
      <c r="T137">
        <v>157.199909744401</v>
      </c>
      <c r="U137">
        <v>206.11138138953001</v>
      </c>
      <c r="V137">
        <v>149.971774065304</v>
      </c>
      <c r="W137">
        <v>158.71616883314601</v>
      </c>
      <c r="X137">
        <v>148.92418234099401</v>
      </c>
      <c r="Y137">
        <v>637.89941074907495</v>
      </c>
      <c r="Z137">
        <v>167.80788161906099</v>
      </c>
      <c r="AA137">
        <v>394.22419183387802</v>
      </c>
      <c r="AB137">
        <v>587.89049928344195</v>
      </c>
      <c r="AC137">
        <v>749.48821916760005</v>
      </c>
      <c r="AD137">
        <v>317.78615774220299</v>
      </c>
      <c r="AE137">
        <v>832.35859954582304</v>
      </c>
      <c r="AF137">
        <v>680.78789962470796</v>
      </c>
      <c r="AG137">
        <v>406.47179335757301</v>
      </c>
    </row>
    <row r="138" spans="1:33" x14ac:dyDescent="0.25">
      <c r="A138" s="1">
        <v>44189</v>
      </c>
      <c r="B138">
        <v>7464.42518211689</v>
      </c>
      <c r="C138">
        <v>3221.3516013450999</v>
      </c>
      <c r="D138">
        <v>4297.3070307465996</v>
      </c>
      <c r="E138">
        <v>7380.5044785726004</v>
      </c>
      <c r="F138">
        <v>8612.9902512392</v>
      </c>
      <c r="G138">
        <v>7469.3399102447702</v>
      </c>
      <c r="H138">
        <v>20380.144229212001</v>
      </c>
      <c r="I138">
        <v>11752.331448762699</v>
      </c>
      <c r="J138">
        <v>787.249715627402</v>
      </c>
      <c r="K138">
        <v>631.055133254515</v>
      </c>
      <c r="L138">
        <v>340.784462374707</v>
      </c>
      <c r="M138">
        <v>5743.25634200692</v>
      </c>
      <c r="N138">
        <v>455.324936949392</v>
      </c>
      <c r="O138">
        <v>296.02099267392401</v>
      </c>
      <c r="P138">
        <v>684.96131557081299</v>
      </c>
      <c r="Q138">
        <v>3625.7313572173198</v>
      </c>
      <c r="R138">
        <v>362.62306481623102</v>
      </c>
      <c r="S138">
        <v>152.499335642376</v>
      </c>
      <c r="T138">
        <v>157.104769885542</v>
      </c>
      <c r="U138">
        <v>219.32997504668</v>
      </c>
      <c r="V138">
        <v>158.87361257989599</v>
      </c>
      <c r="W138">
        <v>163.27344961697401</v>
      </c>
      <c r="X138">
        <v>158.790830621845</v>
      </c>
      <c r="Y138">
        <v>666.70501245421701</v>
      </c>
      <c r="Z138">
        <v>165.73478927315301</v>
      </c>
      <c r="AA138">
        <v>407.23129515122503</v>
      </c>
      <c r="AB138">
        <v>566.40048214364299</v>
      </c>
      <c r="AC138">
        <v>763.13622609905804</v>
      </c>
      <c r="AD138">
        <v>311.974976545277</v>
      </c>
      <c r="AE138">
        <v>852.38890911940598</v>
      </c>
      <c r="AF138">
        <v>678.82824885803302</v>
      </c>
      <c r="AG138">
        <v>393.05344727682899</v>
      </c>
    </row>
    <row r="139" spans="1:33" x14ac:dyDescent="0.25">
      <c r="A139" s="1">
        <v>44190</v>
      </c>
      <c r="B139">
        <v>7182.8573602602501</v>
      </c>
      <c r="C139">
        <v>3409.1572574276902</v>
      </c>
      <c r="D139">
        <v>4332.07337811258</v>
      </c>
      <c r="E139">
        <v>7295.2263990047504</v>
      </c>
      <c r="F139">
        <v>9755.2885226648395</v>
      </c>
      <c r="G139">
        <v>10194.759138769001</v>
      </c>
      <c r="H139">
        <v>24885.655930200199</v>
      </c>
      <c r="I139">
        <v>11857.637709529299</v>
      </c>
      <c r="J139">
        <v>780.64071547538504</v>
      </c>
      <c r="K139">
        <v>690.49625958852505</v>
      </c>
      <c r="L139">
        <v>348.25517503567801</v>
      </c>
      <c r="M139">
        <v>8120.4279709084803</v>
      </c>
      <c r="N139">
        <v>912.384792467907</v>
      </c>
      <c r="O139">
        <v>351.68198049106098</v>
      </c>
      <c r="P139">
        <v>787.25317907191197</v>
      </c>
      <c r="Q139">
        <v>5871.95426894717</v>
      </c>
      <c r="R139">
        <v>406.82486379072998</v>
      </c>
      <c r="S139">
        <v>153.215108381845</v>
      </c>
      <c r="T139">
        <v>159.51633508267801</v>
      </c>
      <c r="U139">
        <v>210.66092980823899</v>
      </c>
      <c r="V139">
        <v>163.21455649454299</v>
      </c>
      <c r="W139">
        <v>158.950828818437</v>
      </c>
      <c r="X139">
        <v>159.344423145029</v>
      </c>
      <c r="Y139">
        <v>632.88477870566601</v>
      </c>
      <c r="Z139">
        <v>166.36299233030601</v>
      </c>
      <c r="AA139">
        <v>414.99658587027199</v>
      </c>
      <c r="AB139">
        <v>497.98005499128999</v>
      </c>
      <c r="AC139">
        <v>768.91988724064799</v>
      </c>
      <c r="AD139">
        <v>319.57759802287302</v>
      </c>
      <c r="AE139">
        <v>864.49188842945296</v>
      </c>
      <c r="AF139">
        <v>678.20665820959698</v>
      </c>
      <c r="AG139">
        <v>391.754513505246</v>
      </c>
    </row>
    <row r="140" spans="1:33" x14ac:dyDescent="0.25">
      <c r="A140" s="1">
        <v>44191</v>
      </c>
      <c r="B140">
        <v>7006.0665578048201</v>
      </c>
      <c r="C140">
        <v>5526.65992918557</v>
      </c>
      <c r="D140">
        <v>4208.0312766916804</v>
      </c>
      <c r="E140">
        <v>7345.2002086804196</v>
      </c>
      <c r="F140">
        <v>11714.7362751455</v>
      </c>
      <c r="G140">
        <v>11844.032807379101</v>
      </c>
      <c r="H140">
        <v>26455.5865855183</v>
      </c>
      <c r="I140">
        <v>12461.336364597501</v>
      </c>
      <c r="J140">
        <v>775.87323297986302</v>
      </c>
      <c r="K140">
        <v>753.44540597631601</v>
      </c>
      <c r="L140">
        <v>382.73615738461098</v>
      </c>
      <c r="M140">
        <v>9750.3683554153704</v>
      </c>
      <c r="N140">
        <v>1468.09593743101</v>
      </c>
      <c r="O140">
        <v>380.647706454027</v>
      </c>
      <c r="P140">
        <v>893.66739150767205</v>
      </c>
      <c r="Q140">
        <v>7560.3495248479403</v>
      </c>
      <c r="R140">
        <v>438.79729298135197</v>
      </c>
      <c r="S140">
        <v>153.06899923397901</v>
      </c>
      <c r="T140">
        <v>162.65244978100199</v>
      </c>
      <c r="U140">
        <v>202.55682585551801</v>
      </c>
      <c r="V140">
        <v>167.37340793747001</v>
      </c>
      <c r="W140">
        <v>158.63544609376899</v>
      </c>
      <c r="X140">
        <v>162.60553221641101</v>
      </c>
      <c r="Y140">
        <v>604.88762224935294</v>
      </c>
      <c r="Z140">
        <v>166.136141096431</v>
      </c>
      <c r="AA140">
        <v>411.07505438218197</v>
      </c>
      <c r="AB140">
        <v>512.18104709958402</v>
      </c>
      <c r="AC140">
        <v>770.95210059809494</v>
      </c>
      <c r="AD140">
        <v>338.36465021846197</v>
      </c>
      <c r="AE140">
        <v>856.41489810723999</v>
      </c>
      <c r="AF140">
        <v>677.298013617891</v>
      </c>
      <c r="AG140">
        <v>399.736032766042</v>
      </c>
    </row>
    <row r="141" spans="1:33" x14ac:dyDescent="0.25">
      <c r="A141" s="1">
        <v>44192</v>
      </c>
      <c r="B141">
        <v>6953.2882244309903</v>
      </c>
      <c r="C141">
        <v>6885.6729857748896</v>
      </c>
      <c r="D141">
        <v>4248.9385969916302</v>
      </c>
      <c r="E141">
        <v>7343.20804229854</v>
      </c>
      <c r="F141">
        <v>12063.813778870401</v>
      </c>
      <c r="G141">
        <v>11746.4704383403</v>
      </c>
      <c r="H141">
        <v>25112.064424638698</v>
      </c>
      <c r="I141">
        <v>13347.3312084341</v>
      </c>
      <c r="J141">
        <v>773.61563161217998</v>
      </c>
      <c r="K141">
        <v>772.55702124187098</v>
      </c>
      <c r="L141">
        <v>388.08165457323298</v>
      </c>
      <c r="M141">
        <v>9936.58288703381</v>
      </c>
      <c r="N141">
        <v>1594.36578605612</v>
      </c>
      <c r="O141">
        <v>376.135819269965</v>
      </c>
      <c r="P141">
        <v>934.55475071193405</v>
      </c>
      <c r="Q141">
        <v>7642.1056967844297</v>
      </c>
      <c r="R141">
        <v>434.758634319485</v>
      </c>
      <c r="S141">
        <v>152.65510000181601</v>
      </c>
      <c r="T141">
        <v>167.92713073500201</v>
      </c>
      <c r="U141">
        <v>201.596319533421</v>
      </c>
      <c r="V141">
        <v>172.93803857824301</v>
      </c>
      <c r="W141">
        <v>155.65542735159801</v>
      </c>
      <c r="X141">
        <v>159.678303404763</v>
      </c>
      <c r="Y141">
        <v>637.09075331719896</v>
      </c>
      <c r="Z141">
        <v>165.510048318554</v>
      </c>
      <c r="AA141">
        <v>409.66062161107999</v>
      </c>
      <c r="AB141">
        <v>500.73949547504202</v>
      </c>
      <c r="AC141">
        <v>781.61825319820002</v>
      </c>
      <c r="AD141">
        <v>345.42059538982602</v>
      </c>
      <c r="AE141">
        <v>854.79663214638401</v>
      </c>
      <c r="AF141">
        <v>677.07538759079603</v>
      </c>
      <c r="AG141">
        <v>402.982797030656</v>
      </c>
    </row>
    <row r="142" spans="1:33" x14ac:dyDescent="0.25">
      <c r="A142" s="1">
        <v>44193</v>
      </c>
      <c r="B142">
        <v>6831.6448582162202</v>
      </c>
      <c r="C142">
        <v>7024.8907291488504</v>
      </c>
      <c r="D142">
        <v>4645.66829355351</v>
      </c>
      <c r="E142">
        <v>7503.0173147844098</v>
      </c>
      <c r="F142">
        <v>12763.5209227781</v>
      </c>
      <c r="G142">
        <v>12789.9273579118</v>
      </c>
      <c r="H142">
        <v>25270.558315912</v>
      </c>
      <c r="I142">
        <v>14056.132166355201</v>
      </c>
      <c r="J142">
        <v>775.86176059436298</v>
      </c>
      <c r="K142">
        <v>856.68315134825195</v>
      </c>
      <c r="L142">
        <v>400.64133634678501</v>
      </c>
      <c r="M142">
        <v>10750.699134045</v>
      </c>
      <c r="N142">
        <v>2074.5979076738099</v>
      </c>
      <c r="O142">
        <v>389.41494516207803</v>
      </c>
      <c r="P142">
        <v>1066.3025407124901</v>
      </c>
      <c r="Q142">
        <v>8663.2585665551796</v>
      </c>
      <c r="R142">
        <v>450.51290437812901</v>
      </c>
      <c r="S142">
        <v>153.13403877475201</v>
      </c>
      <c r="T142">
        <v>178.242998472381</v>
      </c>
      <c r="U142">
        <v>203.55314649668799</v>
      </c>
      <c r="V142">
        <v>181.333982233359</v>
      </c>
      <c r="W142">
        <v>158.41205343619399</v>
      </c>
      <c r="X142">
        <v>159.462296438804</v>
      </c>
      <c r="Y142">
        <v>630.62690272819202</v>
      </c>
      <c r="Z142">
        <v>166.257547378422</v>
      </c>
      <c r="AA142">
        <v>405.88024025154101</v>
      </c>
      <c r="AB142">
        <v>506.91169689888699</v>
      </c>
      <c r="AC142">
        <v>792.65526755808105</v>
      </c>
      <c r="AD142">
        <v>355.20340722868798</v>
      </c>
      <c r="AE142">
        <v>853.98209888186</v>
      </c>
      <c r="AF142">
        <v>676.69262784671298</v>
      </c>
      <c r="AG142">
        <v>403.377775737717</v>
      </c>
    </row>
    <row r="143" spans="1:33" x14ac:dyDescent="0.25">
      <c r="A143" s="1">
        <v>44194</v>
      </c>
      <c r="B143">
        <v>6820.57356509287</v>
      </c>
      <c r="C143">
        <v>7789.0140232976601</v>
      </c>
      <c r="D143">
        <v>5077.4538548601204</v>
      </c>
      <c r="E143">
        <v>7419.7562202960398</v>
      </c>
      <c r="F143">
        <v>12656.849142806899</v>
      </c>
      <c r="G143">
        <v>11860.8606760977</v>
      </c>
      <c r="H143">
        <v>24143.1861294665</v>
      </c>
      <c r="I143">
        <v>14470.8083734625</v>
      </c>
      <c r="J143">
        <v>777.20735644715796</v>
      </c>
      <c r="K143">
        <v>831.74024952211903</v>
      </c>
      <c r="L143">
        <v>400.04803508377699</v>
      </c>
      <c r="M143">
        <v>10180.437724748101</v>
      </c>
      <c r="N143">
        <v>1841.9830372854001</v>
      </c>
      <c r="O143">
        <v>382.76093189859898</v>
      </c>
      <c r="P143">
        <v>1024.4503457746</v>
      </c>
      <c r="Q143">
        <v>8045.1972850428601</v>
      </c>
      <c r="R143">
        <v>444.77959418497301</v>
      </c>
      <c r="S143">
        <v>153.11298314209401</v>
      </c>
      <c r="T143">
        <v>176.59031106460799</v>
      </c>
      <c r="U143">
        <v>198.46996986898</v>
      </c>
      <c r="V143">
        <v>174.52701729861499</v>
      </c>
      <c r="W143">
        <v>156.47289121740599</v>
      </c>
      <c r="X143">
        <v>156.372445750438</v>
      </c>
      <c r="Y143">
        <v>604.05127067217995</v>
      </c>
      <c r="Z143">
        <v>166.86747611047701</v>
      </c>
      <c r="AA143">
        <v>398.01371250779698</v>
      </c>
      <c r="AB143">
        <v>514.67836569583903</v>
      </c>
      <c r="AC143">
        <v>797.78537494224099</v>
      </c>
      <c r="AD143">
        <v>353.23439955580699</v>
      </c>
      <c r="AE143">
        <v>856.40698531191504</v>
      </c>
      <c r="AF143">
        <v>677.77502495176395</v>
      </c>
      <c r="AG143">
        <v>404.92456090763801</v>
      </c>
    </row>
    <row r="144" spans="1:33" x14ac:dyDescent="0.25">
      <c r="A144" s="1">
        <v>44195</v>
      </c>
      <c r="B144">
        <v>6792.1114441359196</v>
      </c>
      <c r="C144">
        <v>7178.9908838681604</v>
      </c>
      <c r="D144">
        <v>5652.2252448739</v>
      </c>
      <c r="E144">
        <v>7516.1099714150196</v>
      </c>
      <c r="F144">
        <v>11962.1762920365</v>
      </c>
      <c r="G144">
        <v>11002.1881794978</v>
      </c>
      <c r="H144">
        <v>23440.020600185799</v>
      </c>
      <c r="I144">
        <v>14602.813591681899</v>
      </c>
      <c r="J144">
        <v>775.43012723865502</v>
      </c>
      <c r="K144">
        <v>827.07347956040405</v>
      </c>
      <c r="L144">
        <v>394.120426107828</v>
      </c>
      <c r="M144">
        <v>9528.7418735496503</v>
      </c>
      <c r="N144">
        <v>1768.2914261548699</v>
      </c>
      <c r="O144">
        <v>368.33659715040699</v>
      </c>
      <c r="P144">
        <v>1011.56186263986</v>
      </c>
      <c r="Q144">
        <v>7451.1255376458503</v>
      </c>
      <c r="R144">
        <v>432.20071175919099</v>
      </c>
      <c r="S144">
        <v>152.98600212162901</v>
      </c>
      <c r="T144">
        <v>179.23795200625699</v>
      </c>
      <c r="U144">
        <v>198.390952447958</v>
      </c>
      <c r="V144">
        <v>180.97017398140301</v>
      </c>
      <c r="W144">
        <v>153.93428928503101</v>
      </c>
      <c r="X144">
        <v>159.293831354643</v>
      </c>
      <c r="Y144">
        <v>597.24383564066602</v>
      </c>
      <c r="Z144">
        <v>168.07202137134999</v>
      </c>
      <c r="AA144">
        <v>393.62308882631697</v>
      </c>
      <c r="AB144">
        <v>526.37118701940005</v>
      </c>
      <c r="AC144">
        <v>787.183044109256</v>
      </c>
      <c r="AD144">
        <v>351.73796987357201</v>
      </c>
      <c r="AE144">
        <v>852.583588796649</v>
      </c>
      <c r="AF144">
        <v>680.53152045113995</v>
      </c>
      <c r="AG144">
        <v>408.10593452481601</v>
      </c>
    </row>
    <row r="145" spans="1:33" x14ac:dyDescent="0.25">
      <c r="A145" s="1">
        <v>44196</v>
      </c>
      <c r="B145">
        <v>6854.9778177211901</v>
      </c>
      <c r="C145">
        <v>6612.2337980892398</v>
      </c>
      <c r="D145">
        <v>6132.2954025715499</v>
      </c>
      <c r="E145">
        <v>7668.05037816818</v>
      </c>
      <c r="F145">
        <v>11719.7076160407</v>
      </c>
      <c r="G145">
        <v>10803.340622321301</v>
      </c>
      <c r="H145">
        <v>22962.416093952099</v>
      </c>
      <c r="I145">
        <v>14616.148692303101</v>
      </c>
      <c r="J145">
        <v>775.86823584064803</v>
      </c>
      <c r="K145">
        <v>828.89214447093195</v>
      </c>
      <c r="L145">
        <v>392.12718117311101</v>
      </c>
      <c r="M145">
        <v>9231.5570108286593</v>
      </c>
      <c r="N145">
        <v>1682.40198990565</v>
      </c>
      <c r="O145">
        <v>373.029254049695</v>
      </c>
      <c r="P145">
        <v>1001.24399989901</v>
      </c>
      <c r="Q145">
        <v>7278.2012849114599</v>
      </c>
      <c r="R145">
        <v>435.60296165610202</v>
      </c>
      <c r="S145">
        <v>153.794044545779</v>
      </c>
      <c r="T145">
        <v>178.75798328026201</v>
      </c>
      <c r="U145">
        <v>195.930948875799</v>
      </c>
      <c r="V145">
        <v>173.27939200180401</v>
      </c>
      <c r="W145">
        <v>147.96056995608001</v>
      </c>
      <c r="X145">
        <v>153.118152443654</v>
      </c>
      <c r="Y145">
        <v>594.93297728902303</v>
      </c>
      <c r="Z145">
        <v>169.35279606658401</v>
      </c>
      <c r="AA145">
        <v>391.237065526989</v>
      </c>
      <c r="AB145">
        <v>518.07530095017796</v>
      </c>
      <c r="AC145">
        <v>788.94007447878596</v>
      </c>
      <c r="AD145">
        <v>349.27340937439499</v>
      </c>
      <c r="AE145">
        <v>857.42685287863196</v>
      </c>
      <c r="AF145">
        <v>682.80071489371596</v>
      </c>
      <c r="AG145">
        <v>410.32423623866703</v>
      </c>
    </row>
    <row r="146" spans="1:33" x14ac:dyDescent="0.25">
      <c r="A146" s="1">
        <v>44197</v>
      </c>
      <c r="B146">
        <v>6997.6553088474802</v>
      </c>
      <c r="C146">
        <v>6521.9832650519302</v>
      </c>
      <c r="D146">
        <v>6449.0243390896503</v>
      </c>
      <c r="E146">
        <v>7875.54524902512</v>
      </c>
      <c r="F146">
        <v>11229.4384015213</v>
      </c>
      <c r="G146">
        <v>10282.832254458601</v>
      </c>
      <c r="H146">
        <v>22257.0156435846</v>
      </c>
      <c r="I146">
        <v>14403.1064361267</v>
      </c>
      <c r="J146">
        <v>771.51091038957895</v>
      </c>
      <c r="K146">
        <v>825.61563019658399</v>
      </c>
      <c r="L146">
        <v>389.45247484267099</v>
      </c>
      <c r="M146">
        <v>8881.8481258522897</v>
      </c>
      <c r="N146">
        <v>1699.7420776701699</v>
      </c>
      <c r="O146">
        <v>360.77290949552798</v>
      </c>
      <c r="P146">
        <v>1000.29212669424</v>
      </c>
      <c r="Q146">
        <v>6879.2868436253102</v>
      </c>
      <c r="R146">
        <v>426.602193121222</v>
      </c>
      <c r="S146">
        <v>154.62309144288801</v>
      </c>
      <c r="T146">
        <v>178.61448855377199</v>
      </c>
      <c r="U146">
        <v>195.18676492484499</v>
      </c>
      <c r="V146">
        <v>174.792997226029</v>
      </c>
      <c r="W146">
        <v>154.62247484333199</v>
      </c>
      <c r="X146">
        <v>151.659457580794</v>
      </c>
      <c r="Y146">
        <v>626.58685452147301</v>
      </c>
      <c r="Z146">
        <v>170.25429550019899</v>
      </c>
      <c r="AA146">
        <v>389.60800275185102</v>
      </c>
      <c r="AB146">
        <v>553.16948832854803</v>
      </c>
      <c r="AC146">
        <v>803.06285501886202</v>
      </c>
      <c r="AD146">
        <v>348.25171127285302</v>
      </c>
      <c r="AE146">
        <v>863.50742467549298</v>
      </c>
      <c r="AF146">
        <v>688.281023315634</v>
      </c>
      <c r="AG146">
        <v>413.05377972086802</v>
      </c>
    </row>
    <row r="147" spans="1:33" x14ac:dyDescent="0.25">
      <c r="A147" s="1">
        <v>44198</v>
      </c>
      <c r="B147">
        <v>7162.7894084765903</v>
      </c>
      <c r="C147">
        <v>6044.66201479962</v>
      </c>
      <c r="D147">
        <v>6507.5904790579498</v>
      </c>
      <c r="E147">
        <v>7890.6488472849496</v>
      </c>
      <c r="F147">
        <v>10997.407382641501</v>
      </c>
      <c r="G147">
        <v>9797.3101681624303</v>
      </c>
      <c r="H147">
        <v>21531.421239032701</v>
      </c>
      <c r="I147">
        <v>14227.1409683033</v>
      </c>
      <c r="J147">
        <v>767.01542413582797</v>
      </c>
      <c r="K147">
        <v>806.32272329261195</v>
      </c>
      <c r="L147">
        <v>387.503659507598</v>
      </c>
      <c r="M147">
        <v>8397.7419235540092</v>
      </c>
      <c r="N147">
        <v>1528.2152393497599</v>
      </c>
      <c r="O147">
        <v>353.52945290768997</v>
      </c>
      <c r="P147">
        <v>964.49415446102296</v>
      </c>
      <c r="Q147">
        <v>6432.9518144584499</v>
      </c>
      <c r="R147">
        <v>420.87787477277902</v>
      </c>
      <c r="S147">
        <v>156.173542972874</v>
      </c>
      <c r="T147">
        <v>173.22927103747</v>
      </c>
      <c r="U147">
        <v>195.58238588274199</v>
      </c>
      <c r="V147">
        <v>163.539282298735</v>
      </c>
      <c r="W147">
        <v>158.39814458050699</v>
      </c>
      <c r="X147">
        <v>146.004793365457</v>
      </c>
      <c r="Y147">
        <v>633.54522317965404</v>
      </c>
      <c r="Z147">
        <v>170.69293045897101</v>
      </c>
      <c r="AA147">
        <v>389.08154814420402</v>
      </c>
      <c r="AB147">
        <v>558.24753833294301</v>
      </c>
      <c r="AC147">
        <v>812.74363014963103</v>
      </c>
      <c r="AD147">
        <v>345.49860784401801</v>
      </c>
      <c r="AE147">
        <v>873.37200940335799</v>
      </c>
      <c r="AF147">
        <v>693.96882130784604</v>
      </c>
      <c r="AG147">
        <v>413.672910785375</v>
      </c>
    </row>
    <row r="148" spans="1:33" x14ac:dyDescent="0.25">
      <c r="A148" s="1">
        <v>44199</v>
      </c>
      <c r="B148">
        <v>7308.1082014673702</v>
      </c>
      <c r="C148">
        <v>5772.34505646248</v>
      </c>
      <c r="D148">
        <v>6455.26306012238</v>
      </c>
      <c r="E148">
        <v>7928.0969192263601</v>
      </c>
      <c r="F148">
        <v>10743.4785479735</v>
      </c>
      <c r="G148">
        <v>9634.0514440797397</v>
      </c>
      <c r="H148">
        <v>21483.453817238998</v>
      </c>
      <c r="I148">
        <v>13989.202275662199</v>
      </c>
      <c r="J148">
        <v>764.42052566321604</v>
      </c>
      <c r="K148">
        <v>797.78978367642503</v>
      </c>
      <c r="L148">
        <v>386.74799551946199</v>
      </c>
      <c r="M148">
        <v>8175.2382965298602</v>
      </c>
      <c r="N148">
        <v>1436.5508999670801</v>
      </c>
      <c r="O148">
        <v>352.22678400341499</v>
      </c>
      <c r="P148">
        <v>952.57257007677003</v>
      </c>
      <c r="Q148">
        <v>6208.3805877044997</v>
      </c>
      <c r="R148">
        <v>419.10258779477198</v>
      </c>
      <c r="S148">
        <v>158.82719635847101</v>
      </c>
      <c r="T148">
        <v>171.67859857270301</v>
      </c>
      <c r="U148">
        <v>193.87057516831101</v>
      </c>
      <c r="V148">
        <v>166.331996001107</v>
      </c>
      <c r="W148">
        <v>157.485853725781</v>
      </c>
      <c r="X148">
        <v>155.61991027929301</v>
      </c>
      <c r="Y148">
        <v>618.94063743131301</v>
      </c>
      <c r="Z148">
        <v>171.162542557161</v>
      </c>
      <c r="AA148">
        <v>390.26044349951297</v>
      </c>
      <c r="AB148">
        <v>544.26933517208295</v>
      </c>
      <c r="AC148">
        <v>816.74943780611602</v>
      </c>
      <c r="AD148">
        <v>343.95481747346099</v>
      </c>
      <c r="AE148">
        <v>866.11544342894194</v>
      </c>
      <c r="AF148">
        <v>699.92673613663203</v>
      </c>
      <c r="AG148">
        <v>412.62048755996199</v>
      </c>
    </row>
    <row r="149" spans="1:33" x14ac:dyDescent="0.25">
      <c r="A149" s="1">
        <v>44200</v>
      </c>
      <c r="B149">
        <v>7406.80086430967</v>
      </c>
      <c r="C149">
        <v>5880.9127049996196</v>
      </c>
      <c r="D149">
        <v>6384.5412541578899</v>
      </c>
      <c r="E149">
        <v>8135.8474482165202</v>
      </c>
      <c r="F149">
        <v>10741.7932021905</v>
      </c>
      <c r="G149">
        <v>10406.8109653027</v>
      </c>
      <c r="H149">
        <v>22915.117144888201</v>
      </c>
      <c r="I149">
        <v>13805.7792285304</v>
      </c>
      <c r="J149">
        <v>769.262433587489</v>
      </c>
      <c r="K149">
        <v>848.513961922558</v>
      </c>
      <c r="L149">
        <v>394.40780678388199</v>
      </c>
      <c r="M149">
        <v>8975.6611842406001</v>
      </c>
      <c r="N149">
        <v>1735.3600331812499</v>
      </c>
      <c r="O149">
        <v>371.22810492899299</v>
      </c>
      <c r="P149">
        <v>1044.8760484231</v>
      </c>
      <c r="Q149">
        <v>6753.3268848755597</v>
      </c>
      <c r="R149">
        <v>439.34013368612</v>
      </c>
      <c r="S149">
        <v>160.56675522004301</v>
      </c>
      <c r="T149">
        <v>180.105460665767</v>
      </c>
      <c r="U149">
        <v>191.08573842263201</v>
      </c>
      <c r="V149">
        <v>173.279386939094</v>
      </c>
      <c r="W149">
        <v>158.657373407699</v>
      </c>
      <c r="X149">
        <v>159.19168401415499</v>
      </c>
      <c r="Y149">
        <v>605.24481647346295</v>
      </c>
      <c r="Z149">
        <v>172.022300188169</v>
      </c>
      <c r="AA149">
        <v>393.83674443885502</v>
      </c>
      <c r="AB149">
        <v>545.61968993254095</v>
      </c>
      <c r="AC149">
        <v>821.74287684643105</v>
      </c>
      <c r="AD149">
        <v>351.80274105967698</v>
      </c>
      <c r="AE149">
        <v>869.97706492778002</v>
      </c>
      <c r="AF149">
        <v>705.68919642315905</v>
      </c>
      <c r="AG149">
        <v>410.62428797440901</v>
      </c>
    </row>
    <row r="150" spans="1:33" x14ac:dyDescent="0.25">
      <c r="A150" s="1">
        <v>44201</v>
      </c>
      <c r="B150">
        <v>7475.23193781999</v>
      </c>
      <c r="C150">
        <v>5926.0043701588202</v>
      </c>
      <c r="D150">
        <v>6042.0715814181904</v>
      </c>
      <c r="E150">
        <v>7723.9762814538999</v>
      </c>
      <c r="F150">
        <v>10566.673509747199</v>
      </c>
      <c r="G150">
        <v>8984.1073541325804</v>
      </c>
      <c r="H150">
        <v>19871.233129108499</v>
      </c>
      <c r="I150">
        <v>13805.761060069801</v>
      </c>
      <c r="J150">
        <v>761.28452586747505</v>
      </c>
      <c r="K150">
        <v>764.70445045759402</v>
      </c>
      <c r="L150">
        <v>386.23647598314398</v>
      </c>
      <c r="M150">
        <v>7492.8840513903197</v>
      </c>
      <c r="N150">
        <v>1081.9206053013199</v>
      </c>
      <c r="O150">
        <v>349.36108182783897</v>
      </c>
      <c r="P150">
        <v>872.63547980343503</v>
      </c>
      <c r="Q150">
        <v>5471.5979532034698</v>
      </c>
      <c r="R150">
        <v>415.02212743425503</v>
      </c>
      <c r="S150">
        <v>167.109528536364</v>
      </c>
      <c r="T150">
        <v>167.074286307118</v>
      </c>
      <c r="U150">
        <v>189.28051800855101</v>
      </c>
      <c r="V150">
        <v>162.050416665385</v>
      </c>
      <c r="W150">
        <v>157.838989735713</v>
      </c>
      <c r="X150">
        <v>157.72210390126099</v>
      </c>
      <c r="Y150">
        <v>672.784785744038</v>
      </c>
      <c r="Z150">
        <v>170.899439784419</v>
      </c>
      <c r="AA150">
        <v>392.147293133076</v>
      </c>
      <c r="AB150">
        <v>562.22696127918095</v>
      </c>
      <c r="AC150">
        <v>825.29565522659095</v>
      </c>
      <c r="AD150">
        <v>339.87059767055098</v>
      </c>
      <c r="AE150">
        <v>865.48982516116996</v>
      </c>
      <c r="AF150">
        <v>713.84428420946699</v>
      </c>
      <c r="AG150">
        <v>409.71097785187499</v>
      </c>
    </row>
    <row r="151" spans="1:33" x14ac:dyDescent="0.25">
      <c r="A151" s="1">
        <v>44202</v>
      </c>
      <c r="B151">
        <v>7518.8246128344899</v>
      </c>
      <c r="C151">
        <v>5313.52525274239</v>
      </c>
      <c r="D151">
        <v>5875.2124107233203</v>
      </c>
      <c r="E151">
        <v>7668.6323789264097</v>
      </c>
      <c r="F151">
        <v>9769.2144218487992</v>
      </c>
      <c r="G151">
        <v>8355.1785812752605</v>
      </c>
      <c r="H151">
        <v>19805.6585505488</v>
      </c>
      <c r="I151">
        <v>13598.988481619101</v>
      </c>
      <c r="J151">
        <v>757.97668389029195</v>
      </c>
      <c r="K151">
        <v>743.71643292903798</v>
      </c>
      <c r="L151">
        <v>381.50532278031</v>
      </c>
      <c r="M151">
        <v>6911.7223038017801</v>
      </c>
      <c r="N151">
        <v>953.44916574665297</v>
      </c>
      <c r="O151">
        <v>330.639346231383</v>
      </c>
      <c r="P151">
        <v>841.59927623104602</v>
      </c>
      <c r="Q151">
        <v>4893.8724584525899</v>
      </c>
      <c r="R151">
        <v>397.22005813611997</v>
      </c>
      <c r="S151">
        <v>179.12705667031699</v>
      </c>
      <c r="T151">
        <v>165.77022764067101</v>
      </c>
      <c r="U151">
        <v>188.26784768603699</v>
      </c>
      <c r="V151">
        <v>166.37362210968701</v>
      </c>
      <c r="W151">
        <v>152.642341046437</v>
      </c>
      <c r="X151">
        <v>158.77072616789101</v>
      </c>
      <c r="Y151">
        <v>708.04719051334496</v>
      </c>
      <c r="Z151">
        <v>170.919134184048</v>
      </c>
      <c r="AA151">
        <v>394.65114029076102</v>
      </c>
      <c r="AB151">
        <v>592.29872899398003</v>
      </c>
      <c r="AC151">
        <v>821.49721536215702</v>
      </c>
      <c r="AD151">
        <v>335.480002362297</v>
      </c>
      <c r="AE151">
        <v>854.28352210221203</v>
      </c>
      <c r="AF151">
        <v>723.68083349236599</v>
      </c>
      <c r="AG151">
        <v>409.51782096376201</v>
      </c>
    </row>
    <row r="152" spans="1:33" x14ac:dyDescent="0.25">
      <c r="A152" s="1">
        <v>44203</v>
      </c>
      <c r="B152">
        <v>7546.2540926685897</v>
      </c>
      <c r="C152">
        <v>4868.9587109944396</v>
      </c>
      <c r="D152">
        <v>5829.47457489103</v>
      </c>
      <c r="E152">
        <v>7672.7743206574996</v>
      </c>
      <c r="F152">
        <v>9583.4744550594205</v>
      </c>
      <c r="G152">
        <v>8275.40143823779</v>
      </c>
      <c r="H152">
        <v>20127.026042517002</v>
      </c>
      <c r="I152">
        <v>13395.3245205615</v>
      </c>
      <c r="J152">
        <v>757.03325450640705</v>
      </c>
      <c r="K152">
        <v>738.45468328208199</v>
      </c>
      <c r="L152">
        <v>377.43979747163002</v>
      </c>
      <c r="M152">
        <v>6860.0316088271802</v>
      </c>
      <c r="N152">
        <v>941.92248303712404</v>
      </c>
      <c r="O152">
        <v>333.74184693423899</v>
      </c>
      <c r="P152">
        <v>835.39667455800895</v>
      </c>
      <c r="Q152">
        <v>4752.3343207895796</v>
      </c>
      <c r="R152">
        <v>397.88532261561198</v>
      </c>
      <c r="S152">
        <v>186.26942703343599</v>
      </c>
      <c r="T152">
        <v>164.46867752991901</v>
      </c>
      <c r="U152">
        <v>187.201635447016</v>
      </c>
      <c r="V152">
        <v>163.087270795021</v>
      </c>
      <c r="W152">
        <v>151.05294811323799</v>
      </c>
      <c r="X152">
        <v>155.68593816540499</v>
      </c>
      <c r="Y152">
        <v>676.935337842634</v>
      </c>
      <c r="Z152">
        <v>170.402040531061</v>
      </c>
      <c r="AA152">
        <v>399.99830062859701</v>
      </c>
      <c r="AB152">
        <v>564.19542911565202</v>
      </c>
      <c r="AC152">
        <v>822.551276209447</v>
      </c>
      <c r="AD152">
        <v>332.817366048797</v>
      </c>
      <c r="AE152">
        <v>865.41937157928805</v>
      </c>
      <c r="AF152">
        <v>729.38097621914301</v>
      </c>
      <c r="AG152">
        <v>404.974451612785</v>
      </c>
    </row>
    <row r="153" spans="1:33" x14ac:dyDescent="0.25">
      <c r="A153" s="1">
        <v>44204</v>
      </c>
      <c r="B153">
        <v>7508.5889087773303</v>
      </c>
      <c r="C153">
        <v>4807.7530052905604</v>
      </c>
      <c r="D153">
        <v>5785.52390377552</v>
      </c>
      <c r="E153">
        <v>7758.0328302445196</v>
      </c>
      <c r="F153">
        <v>9806.0745429939998</v>
      </c>
      <c r="G153">
        <v>8924.2721547970905</v>
      </c>
      <c r="H153">
        <v>21259.1137730349</v>
      </c>
      <c r="I153">
        <v>13228.278798257201</v>
      </c>
      <c r="J153">
        <v>763.26593404082098</v>
      </c>
      <c r="K153">
        <v>768.77386309734004</v>
      </c>
      <c r="L153">
        <v>376.59258706510002</v>
      </c>
      <c r="M153">
        <v>7399.1298075661798</v>
      </c>
      <c r="N153">
        <v>1134.2067771741699</v>
      </c>
      <c r="O153">
        <v>349.06426517916998</v>
      </c>
      <c r="P153">
        <v>887.607524126209</v>
      </c>
      <c r="Q153">
        <v>5394.8494886101498</v>
      </c>
      <c r="R153">
        <v>416.46250402152998</v>
      </c>
      <c r="S153">
        <v>187.56363146338899</v>
      </c>
      <c r="T153">
        <v>165.526191958872</v>
      </c>
      <c r="U153">
        <v>187.49455533573001</v>
      </c>
      <c r="V153">
        <v>163.180464428438</v>
      </c>
      <c r="W153">
        <v>151.50277080764701</v>
      </c>
      <c r="X153">
        <v>154.207429858231</v>
      </c>
      <c r="Y153">
        <v>639.53462853539304</v>
      </c>
      <c r="Z153">
        <v>170.37010479402699</v>
      </c>
      <c r="AA153">
        <v>406.23528842067498</v>
      </c>
      <c r="AB153">
        <v>530.82186717770605</v>
      </c>
      <c r="AC153">
        <v>825.06883831866196</v>
      </c>
      <c r="AD153">
        <v>335.53635665493698</v>
      </c>
      <c r="AE153">
        <v>855.99639945079696</v>
      </c>
      <c r="AF153">
        <v>731.39811356807797</v>
      </c>
      <c r="AG153">
        <v>401.041749299088</v>
      </c>
    </row>
    <row r="154" spans="1:33" x14ac:dyDescent="0.25">
      <c r="A154" s="1">
        <v>44205</v>
      </c>
      <c r="B154">
        <v>7496.6212631586604</v>
      </c>
      <c r="C154">
        <v>5177.7244924507204</v>
      </c>
      <c r="D154">
        <v>5684.1977419357399</v>
      </c>
      <c r="E154">
        <v>7827.5068233797701</v>
      </c>
      <c r="F154">
        <v>10155.488317048501</v>
      </c>
      <c r="G154">
        <v>9367.2171048516502</v>
      </c>
      <c r="H154">
        <v>21943.824938527599</v>
      </c>
      <c r="I154">
        <v>13212.868271916501</v>
      </c>
      <c r="J154">
        <v>768.857998412097</v>
      </c>
      <c r="K154">
        <v>796.94306193999398</v>
      </c>
      <c r="L154">
        <v>380.03754132411001</v>
      </c>
      <c r="M154">
        <v>7830.5346912598898</v>
      </c>
      <c r="N154">
        <v>1314.0071973578299</v>
      </c>
      <c r="O154">
        <v>361.74789004189802</v>
      </c>
      <c r="P154">
        <v>937.76990340878297</v>
      </c>
      <c r="Q154">
        <v>5810.73049804326</v>
      </c>
      <c r="R154">
        <v>429.86438046002303</v>
      </c>
      <c r="S154">
        <v>193.099981605381</v>
      </c>
      <c r="T154">
        <v>168.432258434792</v>
      </c>
      <c r="U154">
        <v>186.84715587391801</v>
      </c>
      <c r="V154">
        <v>168.44308809072001</v>
      </c>
      <c r="W154">
        <v>145.519307879948</v>
      </c>
      <c r="X154">
        <v>154.01189883091399</v>
      </c>
      <c r="Y154">
        <v>618.48450688571404</v>
      </c>
      <c r="Z154">
        <v>169.672657069477</v>
      </c>
      <c r="AA154">
        <v>406.61208218008602</v>
      </c>
      <c r="AB154">
        <v>512.05160552750601</v>
      </c>
      <c r="AC154">
        <v>825.40192346680999</v>
      </c>
      <c r="AD154">
        <v>341.54782162174001</v>
      </c>
      <c r="AE154">
        <v>779.62475167709601</v>
      </c>
      <c r="AF154">
        <v>734.05480383314102</v>
      </c>
      <c r="AG154">
        <v>398.895434470564</v>
      </c>
    </row>
    <row r="155" spans="1:33" x14ac:dyDescent="0.25">
      <c r="A155" s="1">
        <v>44206</v>
      </c>
      <c r="B155">
        <v>7467.9972840915698</v>
      </c>
      <c r="C155">
        <v>5367.3817583676</v>
      </c>
      <c r="D155">
        <v>5665.9985879614296</v>
      </c>
      <c r="E155">
        <v>7969.6956085828997</v>
      </c>
      <c r="F155">
        <v>10733.027057888699</v>
      </c>
      <c r="G155">
        <v>10183.254470854699</v>
      </c>
      <c r="H155">
        <v>22646.4902669068</v>
      </c>
      <c r="I155">
        <v>13337.510676392099</v>
      </c>
      <c r="J155">
        <v>776.84637307332002</v>
      </c>
      <c r="K155">
        <v>872.03137017096105</v>
      </c>
      <c r="L155">
        <v>395.673076900127</v>
      </c>
      <c r="M155">
        <v>8628.9688629497905</v>
      </c>
      <c r="N155">
        <v>1697.3650437515901</v>
      </c>
      <c r="O155">
        <v>382.27580184840599</v>
      </c>
      <c r="P155">
        <v>1048.64099133943</v>
      </c>
      <c r="Q155">
        <v>6657.57178946965</v>
      </c>
      <c r="R155">
        <v>453.53029534517498</v>
      </c>
      <c r="S155">
        <v>191.048013931383</v>
      </c>
      <c r="T155">
        <v>177.58991688376</v>
      </c>
      <c r="U155">
        <v>186.90868688528701</v>
      </c>
      <c r="V155">
        <v>180.577544277676</v>
      </c>
      <c r="W155">
        <v>158.62464031867</v>
      </c>
      <c r="X155">
        <v>155.96526676026099</v>
      </c>
      <c r="Y155">
        <v>601.11908143933101</v>
      </c>
      <c r="Z155">
        <v>168.95384072669401</v>
      </c>
      <c r="AA155">
        <v>410.43645004399298</v>
      </c>
      <c r="AB155">
        <v>501.04996549283402</v>
      </c>
      <c r="AC155">
        <v>826.21690594431197</v>
      </c>
      <c r="AD155">
        <v>354.44559585409002</v>
      </c>
      <c r="AE155">
        <v>774.46157611845103</v>
      </c>
      <c r="AF155">
        <v>735.77864682075597</v>
      </c>
      <c r="AG155">
        <v>400.43056857839798</v>
      </c>
    </row>
    <row r="156" spans="1:33" x14ac:dyDescent="0.25">
      <c r="A156" s="1">
        <v>44207</v>
      </c>
      <c r="B156">
        <v>7465.30419764416</v>
      </c>
      <c r="C156">
        <v>5749.1551445876003</v>
      </c>
      <c r="D156">
        <v>5661.8311218236904</v>
      </c>
      <c r="E156">
        <v>8081.4740338968104</v>
      </c>
      <c r="F156">
        <v>11104.079453214101</v>
      </c>
      <c r="G156">
        <v>10486.347628441201</v>
      </c>
      <c r="H156">
        <v>22595.280610464899</v>
      </c>
      <c r="I156">
        <v>13670.166038024499</v>
      </c>
      <c r="J156">
        <v>790.48624099152403</v>
      </c>
      <c r="K156">
        <v>913.62982880275297</v>
      </c>
      <c r="L156">
        <v>406.59960370682501</v>
      </c>
      <c r="M156">
        <v>8940.15010807199</v>
      </c>
      <c r="N156">
        <v>1869.4045293977999</v>
      </c>
      <c r="O156">
        <v>396.69173483549201</v>
      </c>
      <c r="P156">
        <v>1104.71853635808</v>
      </c>
      <c r="Q156">
        <v>7005.7875143402798</v>
      </c>
      <c r="R156">
        <v>468.64950363966602</v>
      </c>
      <c r="S156">
        <v>194.970787536399</v>
      </c>
      <c r="T156">
        <v>188.65954605478601</v>
      </c>
      <c r="U156">
        <v>186.26911168465699</v>
      </c>
      <c r="V156">
        <v>190.17710776538999</v>
      </c>
      <c r="W156">
        <v>159.35370514797199</v>
      </c>
      <c r="X156">
        <v>155.433622578225</v>
      </c>
      <c r="Y156">
        <v>602.58866655710301</v>
      </c>
      <c r="Z156">
        <v>167.62479272636699</v>
      </c>
      <c r="AA156">
        <v>408.02514800184298</v>
      </c>
      <c r="AB156">
        <v>498.430185599715</v>
      </c>
      <c r="AC156">
        <v>828.89019930746701</v>
      </c>
      <c r="AD156">
        <v>362.35059472491002</v>
      </c>
      <c r="AE156">
        <v>832.57669049570495</v>
      </c>
      <c r="AF156">
        <v>737.99059887049305</v>
      </c>
      <c r="AG156">
        <v>402.55827845444202</v>
      </c>
    </row>
    <row r="157" spans="1:33" x14ac:dyDescent="0.25">
      <c r="A157" s="1">
        <v>44208</v>
      </c>
      <c r="B157">
        <v>7502.38528611324</v>
      </c>
      <c r="C157">
        <v>6045.7192420625397</v>
      </c>
      <c r="D157">
        <v>5795.02067568445</v>
      </c>
      <c r="E157">
        <v>8270.7234719093794</v>
      </c>
      <c r="F157">
        <v>11415.8207946112</v>
      </c>
      <c r="G157">
        <v>11027.194727157999</v>
      </c>
      <c r="H157">
        <v>22965.7768788639</v>
      </c>
      <c r="I157">
        <v>13977.9854901828</v>
      </c>
      <c r="J157">
        <v>811.04706969087204</v>
      </c>
      <c r="K157">
        <v>984.31857266827797</v>
      </c>
      <c r="L157">
        <v>419.58436933736601</v>
      </c>
      <c r="M157">
        <v>9452.7152727864195</v>
      </c>
      <c r="N157">
        <v>2163.73145463221</v>
      </c>
      <c r="O157">
        <v>414.91191746809801</v>
      </c>
      <c r="P157">
        <v>1201.96516436813</v>
      </c>
      <c r="Q157">
        <v>7539.6918113277598</v>
      </c>
      <c r="R157">
        <v>486.616782555241</v>
      </c>
      <c r="S157">
        <v>195.08832107137499</v>
      </c>
      <c r="T157">
        <v>209.46596655504001</v>
      </c>
      <c r="U157">
        <v>184.85239093510901</v>
      </c>
      <c r="V157">
        <v>213.17984910400901</v>
      </c>
      <c r="W157">
        <v>159.08802518584801</v>
      </c>
      <c r="X157">
        <v>168.416230904944</v>
      </c>
      <c r="Y157">
        <v>602.18104073966299</v>
      </c>
      <c r="Z157">
        <v>166.33625513335599</v>
      </c>
      <c r="AA157">
        <v>406.753371399824</v>
      </c>
      <c r="AB157">
        <v>512.58025501450004</v>
      </c>
      <c r="AC157">
        <v>824.15834377830504</v>
      </c>
      <c r="AD157">
        <v>373.37021368678398</v>
      </c>
      <c r="AE157">
        <v>851.57521464630804</v>
      </c>
      <c r="AF157">
        <v>738.13309229797198</v>
      </c>
      <c r="AG157">
        <v>404.926556551391</v>
      </c>
    </row>
    <row r="158" spans="1:33" x14ac:dyDescent="0.25">
      <c r="A158" s="1">
        <v>44209</v>
      </c>
      <c r="B158">
        <v>7588.6015975065402</v>
      </c>
      <c r="C158">
        <v>6465.0037042138201</v>
      </c>
      <c r="D158">
        <v>5824.0169292051396</v>
      </c>
      <c r="E158">
        <v>8280.2284689423195</v>
      </c>
      <c r="F158">
        <v>11580.793911135701</v>
      </c>
      <c r="G158">
        <v>10808.633058379201</v>
      </c>
      <c r="H158">
        <v>22687.051881012401</v>
      </c>
      <c r="I158">
        <v>14259.241128998099</v>
      </c>
      <c r="J158">
        <v>829.71753351207701</v>
      </c>
      <c r="K158">
        <v>996.14008408155496</v>
      </c>
      <c r="L158">
        <v>426.93437302842602</v>
      </c>
      <c r="M158">
        <v>9312.0467055004501</v>
      </c>
      <c r="N158">
        <v>2109.30462697946</v>
      </c>
      <c r="O158">
        <v>419.85501754367999</v>
      </c>
      <c r="P158">
        <v>1214.5917425779801</v>
      </c>
      <c r="Q158">
        <v>7435.3358218533303</v>
      </c>
      <c r="R158">
        <v>492.86379023765801</v>
      </c>
      <c r="S158">
        <v>194.76125104239799</v>
      </c>
      <c r="T158">
        <v>208.75174843859401</v>
      </c>
      <c r="U158">
        <v>183.447986078794</v>
      </c>
      <c r="V158">
        <v>208.009491836731</v>
      </c>
      <c r="W158">
        <v>170.091977589457</v>
      </c>
      <c r="X158">
        <v>164.70675044455299</v>
      </c>
      <c r="Y158">
        <v>661.55836707789194</v>
      </c>
      <c r="Z158">
        <v>164.690873622136</v>
      </c>
      <c r="AA158">
        <v>402.925419121088</v>
      </c>
      <c r="AB158">
        <v>545.36213386310305</v>
      </c>
      <c r="AC158">
        <v>814.03763777859695</v>
      </c>
      <c r="AD158">
        <v>377.14995681981497</v>
      </c>
      <c r="AE158">
        <v>847.68927203231499</v>
      </c>
      <c r="AF158">
        <v>741.284993865807</v>
      </c>
      <c r="AG158">
        <v>406.735668938157</v>
      </c>
    </row>
    <row r="159" spans="1:33" x14ac:dyDescent="0.25">
      <c r="A159" s="1">
        <v>44210</v>
      </c>
      <c r="B159">
        <v>7628.07319008785</v>
      </c>
      <c r="C159">
        <v>6325.4501214029597</v>
      </c>
      <c r="D159">
        <v>5906.7498809285198</v>
      </c>
      <c r="E159">
        <v>8201.6410366073505</v>
      </c>
      <c r="F159">
        <v>11300.9981661539</v>
      </c>
      <c r="G159">
        <v>10344.546003523301</v>
      </c>
      <c r="H159">
        <v>22076.617535686601</v>
      </c>
      <c r="I159">
        <v>14271.089734852099</v>
      </c>
      <c r="J159">
        <v>841.56122153745503</v>
      </c>
      <c r="K159">
        <v>981.71223766164303</v>
      </c>
      <c r="L159">
        <v>427.64515708292902</v>
      </c>
      <c r="M159">
        <v>8881.6315740405298</v>
      </c>
      <c r="N159">
        <v>1917.7271165754</v>
      </c>
      <c r="O159">
        <v>412.84996792357902</v>
      </c>
      <c r="P159">
        <v>1180.0640745958101</v>
      </c>
      <c r="Q159">
        <v>7033.5425473760897</v>
      </c>
      <c r="R159">
        <v>488.80609029855202</v>
      </c>
      <c r="S159">
        <v>196.806365311642</v>
      </c>
      <c r="T159">
        <v>199.78830103977899</v>
      </c>
      <c r="U159">
        <v>183.98116862771101</v>
      </c>
      <c r="V159">
        <v>196.49950949256399</v>
      </c>
      <c r="W159">
        <v>173.161219115476</v>
      </c>
      <c r="X159">
        <v>163.11129921807299</v>
      </c>
      <c r="Y159">
        <v>671.929130981208</v>
      </c>
      <c r="Z159">
        <v>163.505371184311</v>
      </c>
      <c r="AA159">
        <v>400.41696715704398</v>
      </c>
      <c r="AB159">
        <v>570.21309612998402</v>
      </c>
      <c r="AC159">
        <v>809.283819220341</v>
      </c>
      <c r="AD159">
        <v>376.74260914884798</v>
      </c>
      <c r="AE159">
        <v>848.16041709190995</v>
      </c>
      <c r="AF159">
        <v>745.547201485507</v>
      </c>
      <c r="AG159">
        <v>408.38414495708099</v>
      </c>
    </row>
    <row r="160" spans="1:33" x14ac:dyDescent="0.25">
      <c r="A160" s="1">
        <v>44211</v>
      </c>
      <c r="B160">
        <v>7636.0608410128798</v>
      </c>
      <c r="C160">
        <v>5966.6086982428496</v>
      </c>
      <c r="D160">
        <v>6000.2208562223304</v>
      </c>
      <c r="E160">
        <v>8104.6645081996103</v>
      </c>
      <c r="F160">
        <v>11067.7144000552</v>
      </c>
      <c r="G160">
        <v>9992.6228623620009</v>
      </c>
      <c r="H160">
        <v>21667.090701010598</v>
      </c>
      <c r="I160">
        <v>14113.2129675212</v>
      </c>
      <c r="J160">
        <v>849.44123637699295</v>
      </c>
      <c r="K160">
        <v>966.32244200883804</v>
      </c>
      <c r="L160">
        <v>427.25972348237099</v>
      </c>
      <c r="M160">
        <v>8561.4618604240495</v>
      </c>
      <c r="N160">
        <v>1747.6053670936701</v>
      </c>
      <c r="O160">
        <v>407.68555012534603</v>
      </c>
      <c r="P160">
        <v>1149.13878549891</v>
      </c>
      <c r="Q160">
        <v>6698.9201017952701</v>
      </c>
      <c r="R160">
        <v>485.21438200094701</v>
      </c>
      <c r="S160">
        <v>198.434737352463</v>
      </c>
      <c r="T160">
        <v>194.15794110040599</v>
      </c>
      <c r="U160">
        <v>181.71554931852799</v>
      </c>
      <c r="V160">
        <v>198.06487927553499</v>
      </c>
      <c r="W160">
        <v>159.35032819613801</v>
      </c>
      <c r="X160">
        <v>176.7334951368</v>
      </c>
      <c r="Y160">
        <v>666.02557819980404</v>
      </c>
      <c r="Z160">
        <v>162.92200794209</v>
      </c>
      <c r="AA160">
        <v>399.55614331395799</v>
      </c>
      <c r="AB160">
        <v>570.83864464212695</v>
      </c>
      <c r="AC160">
        <v>818.84068228814795</v>
      </c>
      <c r="AD160">
        <v>375.70545110651699</v>
      </c>
      <c r="AE160">
        <v>844.09217599468002</v>
      </c>
      <c r="AF160">
        <v>749.623060020563</v>
      </c>
      <c r="AG160">
        <v>410.06628058658202</v>
      </c>
    </row>
    <row r="161" spans="1:33" x14ac:dyDescent="0.25">
      <c r="A161" s="1">
        <v>44212</v>
      </c>
      <c r="B161">
        <v>7625.9533887666703</v>
      </c>
      <c r="C161">
        <v>5863.9400314125196</v>
      </c>
      <c r="D161">
        <v>6101.9378842935503</v>
      </c>
      <c r="E161">
        <v>8102.0853468499699</v>
      </c>
      <c r="F161">
        <v>11126.3062890975</v>
      </c>
      <c r="G161">
        <v>10172.901676870801</v>
      </c>
      <c r="H161">
        <v>21950.162155236401</v>
      </c>
      <c r="I161">
        <v>13947.7183584252</v>
      </c>
      <c r="J161">
        <v>858.74991238622999</v>
      </c>
      <c r="K161">
        <v>974.54675690452405</v>
      </c>
      <c r="L161">
        <v>431.80036536366299</v>
      </c>
      <c r="M161">
        <v>8701.08197850531</v>
      </c>
      <c r="N161">
        <v>1757.3621016832101</v>
      </c>
      <c r="O161">
        <v>417.72963575005002</v>
      </c>
      <c r="P161">
        <v>1163.02583640018</v>
      </c>
      <c r="Q161">
        <v>6801.7577340710404</v>
      </c>
      <c r="R161">
        <v>493.15251850817799</v>
      </c>
      <c r="S161">
        <v>197.53293401557301</v>
      </c>
      <c r="T161">
        <v>196.109287063777</v>
      </c>
      <c r="U161">
        <v>182.22122086218999</v>
      </c>
      <c r="V161">
        <v>191.15808502270099</v>
      </c>
      <c r="W161">
        <v>168.95257740501299</v>
      </c>
      <c r="X161">
        <v>166.88324373891399</v>
      </c>
      <c r="Y161">
        <v>650.31557542511302</v>
      </c>
      <c r="Z161">
        <v>163.33829856561999</v>
      </c>
      <c r="AA161">
        <v>399.35190196377499</v>
      </c>
      <c r="AB161">
        <v>557.36772014078394</v>
      </c>
      <c r="AC161">
        <v>826.57810818653104</v>
      </c>
      <c r="AD161">
        <v>378.63186621006099</v>
      </c>
      <c r="AE161">
        <v>831.00073153343101</v>
      </c>
      <c r="AF161">
        <v>751.94811059004599</v>
      </c>
      <c r="AG161">
        <v>411.32171116785997</v>
      </c>
    </row>
    <row r="162" spans="1:33" x14ac:dyDescent="0.25">
      <c r="A162" s="1">
        <v>44213</v>
      </c>
      <c r="B162">
        <v>7635.4162877752196</v>
      </c>
      <c r="C162">
        <v>6187.5842748315599</v>
      </c>
      <c r="D162">
        <v>6077.59243296163</v>
      </c>
      <c r="E162">
        <v>8013.4653114402299</v>
      </c>
      <c r="F162">
        <v>11260.701846435801</v>
      </c>
      <c r="G162">
        <v>10237.096190792199</v>
      </c>
      <c r="H162">
        <v>21917.146349386101</v>
      </c>
      <c r="I162">
        <v>13916.7887396964</v>
      </c>
      <c r="J162">
        <v>862.11002442986501</v>
      </c>
      <c r="K162">
        <v>962.27296787555701</v>
      </c>
      <c r="L162">
        <v>435.98609677738301</v>
      </c>
      <c r="M162">
        <v>8692.2703752806392</v>
      </c>
      <c r="N162">
        <v>1660.72437245025</v>
      </c>
      <c r="O162">
        <v>420.719274349763</v>
      </c>
      <c r="P162">
        <v>1144.9464783850599</v>
      </c>
      <c r="Q162">
        <v>6704.4415109025604</v>
      </c>
      <c r="R162">
        <v>495.08441747301401</v>
      </c>
      <c r="S162">
        <v>196.336994059972</v>
      </c>
      <c r="T162">
        <v>189.04158204126301</v>
      </c>
      <c r="U162">
        <v>178.924108840766</v>
      </c>
      <c r="V162">
        <v>173.12565682591199</v>
      </c>
      <c r="W162">
        <v>172.00424928289399</v>
      </c>
      <c r="X162">
        <v>160.16857157123599</v>
      </c>
      <c r="Y162">
        <v>649.79717670736397</v>
      </c>
      <c r="Z162">
        <v>164.05412894294699</v>
      </c>
      <c r="AA162">
        <v>398.54710968898399</v>
      </c>
      <c r="AB162">
        <v>545.50112214666001</v>
      </c>
      <c r="AC162">
        <v>830.73782773699497</v>
      </c>
      <c r="AD162">
        <v>379.53350765120399</v>
      </c>
      <c r="AE162">
        <v>839.22985672841901</v>
      </c>
      <c r="AF162">
        <v>754.81789103610697</v>
      </c>
      <c r="AG162">
        <v>412.17297225257897</v>
      </c>
    </row>
    <row r="163" spans="1:33" x14ac:dyDescent="0.25">
      <c r="A163" s="1">
        <v>44214</v>
      </c>
      <c r="B163">
        <v>7650.9662426933701</v>
      </c>
      <c r="C163">
        <v>6373.4611426987203</v>
      </c>
      <c r="D163">
        <v>5999.6429716251496</v>
      </c>
      <c r="E163">
        <v>7850.1946872747103</v>
      </c>
      <c r="F163">
        <v>11328.5473934042</v>
      </c>
      <c r="G163">
        <v>10224.4974993918</v>
      </c>
      <c r="H163">
        <v>21489.420184503801</v>
      </c>
      <c r="I163">
        <v>13922.2016321641</v>
      </c>
      <c r="J163">
        <v>864.95019107850101</v>
      </c>
      <c r="K163">
        <v>950.90547200224705</v>
      </c>
      <c r="L163">
        <v>435.03131545091497</v>
      </c>
      <c r="M163">
        <v>8145.1910533938299</v>
      </c>
      <c r="N163">
        <v>1191.3682840040599</v>
      </c>
      <c r="O163">
        <v>440.77560372422499</v>
      </c>
      <c r="P163">
        <v>1086.17261200402</v>
      </c>
      <c r="Q163">
        <v>6243.5445893301503</v>
      </c>
      <c r="R163">
        <v>501.71764197433998</v>
      </c>
      <c r="S163">
        <v>194.116991495875</v>
      </c>
      <c r="T163">
        <v>180.42633466494101</v>
      </c>
      <c r="U163">
        <v>180.23410784651699</v>
      </c>
      <c r="V163">
        <v>171.23247719353401</v>
      </c>
      <c r="W163">
        <v>184.06857221771301</v>
      </c>
      <c r="X163">
        <v>166.81271858954801</v>
      </c>
      <c r="Y163">
        <v>645.23763719542296</v>
      </c>
      <c r="Z163">
        <v>165.46485921178501</v>
      </c>
      <c r="AA163">
        <v>398.88975716506701</v>
      </c>
      <c r="AB163">
        <v>533.64033684514004</v>
      </c>
      <c r="AC163">
        <v>832.05030193305595</v>
      </c>
      <c r="AD163">
        <v>375.90639986753598</v>
      </c>
      <c r="AE163">
        <v>853.86894722340605</v>
      </c>
      <c r="AF163">
        <v>757.32041895191799</v>
      </c>
      <c r="AG163">
        <v>411.67818666873399</v>
      </c>
    </row>
    <row r="164" spans="1:33" x14ac:dyDescent="0.25">
      <c r="A164" s="1">
        <v>44215</v>
      </c>
      <c r="B164">
        <v>7630.3204624383598</v>
      </c>
      <c r="C164">
        <v>6737.0074484148099</v>
      </c>
      <c r="D164">
        <v>5886.5257484434596</v>
      </c>
      <c r="E164">
        <v>7652.75837153263</v>
      </c>
      <c r="F164">
        <v>9948.1328146079395</v>
      </c>
      <c r="G164">
        <v>8099.7262546464399</v>
      </c>
      <c r="H164">
        <v>19381.6016777982</v>
      </c>
      <c r="I164">
        <v>13963.900042895801</v>
      </c>
      <c r="J164">
        <v>817.27309115026003</v>
      </c>
      <c r="K164">
        <v>843.85680521840095</v>
      </c>
      <c r="L164">
        <v>404.94096200437599</v>
      </c>
      <c r="M164">
        <v>6036.4693139286401</v>
      </c>
      <c r="N164">
        <v>578.32880736875597</v>
      </c>
      <c r="O164">
        <v>377.229010782057</v>
      </c>
      <c r="P164">
        <v>919.167885574509</v>
      </c>
      <c r="Q164">
        <v>4303.6418086079202</v>
      </c>
      <c r="R164">
        <v>451.35145949382598</v>
      </c>
      <c r="S164">
        <v>212.71308363851301</v>
      </c>
      <c r="T164">
        <v>173.82099042285</v>
      </c>
      <c r="U164">
        <v>177.95155704184299</v>
      </c>
      <c r="V164">
        <v>179.069110218285</v>
      </c>
      <c r="W164">
        <v>180.904082651359</v>
      </c>
      <c r="X164">
        <v>180.742902884497</v>
      </c>
      <c r="Y164">
        <v>742.23933768695099</v>
      </c>
      <c r="Z164">
        <v>167.32233463337201</v>
      </c>
      <c r="AA164">
        <v>400.46263616384198</v>
      </c>
      <c r="AB164">
        <v>622.05678745534397</v>
      </c>
      <c r="AC164">
        <v>829.77029750618601</v>
      </c>
      <c r="AD164">
        <v>355.02301925469601</v>
      </c>
      <c r="AE164">
        <v>872.55277095773204</v>
      </c>
      <c r="AF164">
        <v>772.47782369962704</v>
      </c>
      <c r="AG164">
        <v>414.70785931880698</v>
      </c>
    </row>
    <row r="165" spans="1:33" x14ac:dyDescent="0.25">
      <c r="A165" s="1">
        <v>44216</v>
      </c>
      <c r="B165">
        <v>7680.7021034805402</v>
      </c>
      <c r="C165">
        <v>4763.89937976498</v>
      </c>
      <c r="D165">
        <v>5976.1880826981496</v>
      </c>
      <c r="E165">
        <v>7893.4512126894197</v>
      </c>
      <c r="F165">
        <v>10318.916260076199</v>
      </c>
      <c r="G165">
        <v>9869.2319541506295</v>
      </c>
      <c r="H165">
        <v>24238.146219939499</v>
      </c>
      <c r="I165">
        <v>13920.0514023381</v>
      </c>
      <c r="J165">
        <v>844.04091161366</v>
      </c>
      <c r="K165">
        <v>915.09306457695504</v>
      </c>
      <c r="L165">
        <v>391.53845040115402</v>
      </c>
      <c r="M165">
        <v>8119.91512010727</v>
      </c>
      <c r="N165">
        <v>1097.3220658206999</v>
      </c>
      <c r="O165">
        <v>427.01402882168497</v>
      </c>
      <c r="P165">
        <v>1045.3345390881</v>
      </c>
      <c r="Q165">
        <v>6203.4521723284397</v>
      </c>
      <c r="R165">
        <v>491.29545522721099</v>
      </c>
      <c r="S165">
        <v>207.516215789005</v>
      </c>
      <c r="T165">
        <v>180.55392866753101</v>
      </c>
      <c r="U165">
        <v>179.01482971871101</v>
      </c>
      <c r="V165">
        <v>194.18534970837501</v>
      </c>
      <c r="W165">
        <v>161.320638754458</v>
      </c>
      <c r="X165">
        <v>191.22692671477699</v>
      </c>
      <c r="Y165">
        <v>669.44635094273201</v>
      </c>
      <c r="Z165">
        <v>169.339756226361</v>
      </c>
      <c r="AA165">
        <v>408.64385402471402</v>
      </c>
      <c r="AB165">
        <v>533.27767507074702</v>
      </c>
      <c r="AC165">
        <v>829.70578657529995</v>
      </c>
      <c r="AD165">
        <v>361.68777482066599</v>
      </c>
      <c r="AE165">
        <v>872.38050588465705</v>
      </c>
      <c r="AF165">
        <v>769.68872309483402</v>
      </c>
      <c r="AG165">
        <v>414.003515804725</v>
      </c>
    </row>
    <row r="166" spans="1:33" x14ac:dyDescent="0.25">
      <c r="A166" s="1">
        <v>44217</v>
      </c>
      <c r="B166">
        <v>7917.2491806031603</v>
      </c>
      <c r="C166">
        <v>5662.9840150821801</v>
      </c>
      <c r="D166">
        <v>6023.0186551809702</v>
      </c>
      <c r="E166">
        <v>8083.7892519626803</v>
      </c>
      <c r="F166">
        <v>11569.9954798037</v>
      </c>
      <c r="G166">
        <v>11047.043927909101</v>
      </c>
      <c r="H166">
        <v>25440.185682772499</v>
      </c>
      <c r="I166">
        <v>13980.594816246799</v>
      </c>
      <c r="J166">
        <v>867.07736164835705</v>
      </c>
      <c r="K166">
        <v>948.11820210645396</v>
      </c>
      <c r="L166">
        <v>429.22507149346001</v>
      </c>
      <c r="M166">
        <v>8949.9520738428</v>
      </c>
      <c r="N166">
        <v>1364.3566557295301</v>
      </c>
      <c r="O166">
        <v>444.010799408705</v>
      </c>
      <c r="P166">
        <v>1097.4148707551799</v>
      </c>
      <c r="Q166">
        <v>7015.9974481728696</v>
      </c>
      <c r="R166">
        <v>523.68273696660901</v>
      </c>
      <c r="S166">
        <v>202.15130058746101</v>
      </c>
      <c r="T166">
        <v>181.76933903908099</v>
      </c>
      <c r="U166">
        <v>177.48472144567501</v>
      </c>
      <c r="V166">
        <v>185.14393725825801</v>
      </c>
      <c r="W166">
        <v>160.20559801358999</v>
      </c>
      <c r="X166">
        <v>178.281336127191</v>
      </c>
      <c r="Y166">
        <v>630.78140303389205</v>
      </c>
      <c r="Z166">
        <v>172.59885442073701</v>
      </c>
      <c r="AA166">
        <v>410.57928499121698</v>
      </c>
      <c r="AB166">
        <v>511.27666399836102</v>
      </c>
      <c r="AC166">
        <v>831.74960054966095</v>
      </c>
      <c r="AD166">
        <v>375.89989462907698</v>
      </c>
      <c r="AE166">
        <v>878.91383985606501</v>
      </c>
      <c r="AF166">
        <v>768.367565249172</v>
      </c>
      <c r="AG166">
        <v>412.47311369168602</v>
      </c>
    </row>
    <row r="167" spans="1:33" x14ac:dyDescent="0.25">
      <c r="A167" s="1">
        <v>44218</v>
      </c>
      <c r="B167">
        <v>8039.08309669355</v>
      </c>
      <c r="C167">
        <v>6705.8175826787601</v>
      </c>
      <c r="D167">
        <v>5943.71383936643</v>
      </c>
      <c r="E167">
        <v>8307.0244805109396</v>
      </c>
      <c r="F167">
        <v>12525.4950010379</v>
      </c>
      <c r="G167">
        <v>12204.5029048082</v>
      </c>
      <c r="H167">
        <v>26762.240043532202</v>
      </c>
      <c r="I167">
        <v>14134.057255941399</v>
      </c>
      <c r="J167">
        <v>899.37152265365501</v>
      </c>
      <c r="K167">
        <v>1027.3470370518801</v>
      </c>
      <c r="L167">
        <v>461.85133928373699</v>
      </c>
      <c r="M167">
        <v>10406.407611758899</v>
      </c>
      <c r="N167">
        <v>1923.20488262303</v>
      </c>
      <c r="O167">
        <v>470.894570679016</v>
      </c>
      <c r="P167">
        <v>1221.0579579853199</v>
      </c>
      <c r="Q167">
        <v>8012.5908576044703</v>
      </c>
      <c r="R167">
        <v>558.00800480251996</v>
      </c>
      <c r="S167">
        <v>197.64448033791399</v>
      </c>
      <c r="T167">
        <v>186.52900462213901</v>
      </c>
      <c r="U167">
        <v>175.674274720059</v>
      </c>
      <c r="V167">
        <v>181.360078803785</v>
      </c>
      <c r="W167">
        <v>159.92175144079499</v>
      </c>
      <c r="X167">
        <v>163.657276839258</v>
      </c>
      <c r="Y167">
        <v>620.42288507939202</v>
      </c>
      <c r="Z167">
        <v>174.536449499257</v>
      </c>
      <c r="AA167">
        <v>408.934752510924</v>
      </c>
      <c r="AB167">
        <v>510.95396731125697</v>
      </c>
      <c r="AC167">
        <v>834.07566303399005</v>
      </c>
      <c r="AD167">
        <v>399.71847825200501</v>
      </c>
      <c r="AE167">
        <v>862.04882819530496</v>
      </c>
      <c r="AF167">
        <v>767.41274084036195</v>
      </c>
      <c r="AG167">
        <v>410.06975190340398</v>
      </c>
    </row>
    <row r="168" spans="1:33" x14ac:dyDescent="0.25">
      <c r="A168" s="1">
        <v>44219</v>
      </c>
      <c r="B168">
        <v>8058.3931740286098</v>
      </c>
      <c r="C168">
        <v>7631.6882688539399</v>
      </c>
      <c r="D168">
        <v>5843.1413108303996</v>
      </c>
      <c r="E168">
        <v>8086.3557475605303</v>
      </c>
      <c r="F168">
        <v>12722.083596671901</v>
      </c>
      <c r="G168">
        <v>11665.595485710999</v>
      </c>
      <c r="H168">
        <v>24596.666432935901</v>
      </c>
      <c r="I168">
        <v>14431.0185016542</v>
      </c>
      <c r="J168">
        <v>899.553731550983</v>
      </c>
      <c r="K168">
        <v>975.04433364565</v>
      </c>
      <c r="L168">
        <v>462.64585949336902</v>
      </c>
      <c r="M168">
        <v>9736.2769350504605</v>
      </c>
      <c r="N168">
        <v>1460.0264014193001</v>
      </c>
      <c r="O168">
        <v>442.52384451050898</v>
      </c>
      <c r="P168">
        <v>1137.8827035450599</v>
      </c>
      <c r="Q168">
        <v>7437.4855481281202</v>
      </c>
      <c r="R168">
        <v>536.66463110762902</v>
      </c>
      <c r="S168">
        <v>200.632885494146</v>
      </c>
      <c r="T168">
        <v>177.65609510310799</v>
      </c>
      <c r="U168">
        <v>172.859071309641</v>
      </c>
      <c r="V168">
        <v>168.565985743574</v>
      </c>
      <c r="W168">
        <v>163.97396282343601</v>
      </c>
      <c r="X168">
        <v>160.332497105915</v>
      </c>
      <c r="Y168">
        <v>662.34147286554901</v>
      </c>
      <c r="Z168">
        <v>177.13567527362599</v>
      </c>
      <c r="AA168">
        <v>410.46735804602901</v>
      </c>
      <c r="AB168">
        <v>538.48151630278005</v>
      </c>
      <c r="AC168">
        <v>840.48157161428003</v>
      </c>
      <c r="AD168">
        <v>395.64059591099101</v>
      </c>
      <c r="AE168">
        <v>844.55636435128304</v>
      </c>
      <c r="AF168">
        <v>769.95802307814904</v>
      </c>
      <c r="AG168">
        <v>413.62671495460103</v>
      </c>
    </row>
    <row r="169" spans="1:33" x14ac:dyDescent="0.25">
      <c r="A169" s="1">
        <v>44220</v>
      </c>
      <c r="B169">
        <v>7903.0691869352904</v>
      </c>
      <c r="C169">
        <v>7124.5200365457504</v>
      </c>
      <c r="D169">
        <v>6059.5352817329704</v>
      </c>
      <c r="E169">
        <v>8162.2824157763498</v>
      </c>
      <c r="F169">
        <v>12544.736046911999</v>
      </c>
      <c r="G169">
        <v>11979.0139860203</v>
      </c>
      <c r="H169">
        <v>25643.188706457498</v>
      </c>
      <c r="I169">
        <v>14581.9409519483</v>
      </c>
      <c r="J169">
        <v>914.46876284072096</v>
      </c>
      <c r="K169">
        <v>1011.61942780807</v>
      </c>
      <c r="L169">
        <v>466.14543420144201</v>
      </c>
      <c r="M169">
        <v>10391.966283672</v>
      </c>
      <c r="N169">
        <v>1833.5957162930799</v>
      </c>
      <c r="O169">
        <v>455.48502840203798</v>
      </c>
      <c r="P169">
        <v>1194.74759274231</v>
      </c>
      <c r="Q169">
        <v>8127.55835644533</v>
      </c>
      <c r="R169">
        <v>554.18759977420302</v>
      </c>
      <c r="S169">
        <v>210.50127614380801</v>
      </c>
      <c r="T169">
        <v>188.38282347902401</v>
      </c>
      <c r="U169">
        <v>173.165705251833</v>
      </c>
      <c r="V169">
        <v>186.87656566107199</v>
      </c>
      <c r="W169">
        <v>172.53610064829701</v>
      </c>
      <c r="X169">
        <v>162.07959532648701</v>
      </c>
      <c r="Y169">
        <v>656.578686309879</v>
      </c>
      <c r="Z169">
        <v>181.26234832930001</v>
      </c>
      <c r="AA169">
        <v>415.525114871629</v>
      </c>
      <c r="AB169">
        <v>553.53997658568096</v>
      </c>
      <c r="AC169">
        <v>847.35470848041598</v>
      </c>
      <c r="AD169">
        <v>408.674619400918</v>
      </c>
      <c r="AE169">
        <v>845.262701779841</v>
      </c>
      <c r="AF169">
        <v>771.33681039998396</v>
      </c>
      <c r="AG169">
        <v>417.57020641248999</v>
      </c>
    </row>
    <row r="170" spans="1:33" x14ac:dyDescent="0.25">
      <c r="A170" s="1">
        <v>44221</v>
      </c>
      <c r="B170">
        <v>7798.1996727802598</v>
      </c>
      <c r="C170">
        <v>7559.0385641041803</v>
      </c>
      <c r="D170">
        <v>6335.0021638969902</v>
      </c>
      <c r="E170">
        <v>7968.5632667034697</v>
      </c>
      <c r="F170">
        <v>12733.7969193809</v>
      </c>
      <c r="G170">
        <v>11369.3780023337</v>
      </c>
      <c r="H170">
        <v>25307.515036332999</v>
      </c>
      <c r="I170">
        <v>14681.4955656776</v>
      </c>
      <c r="J170">
        <v>934.20410994137399</v>
      </c>
      <c r="K170">
        <v>998.56119023595795</v>
      </c>
      <c r="L170">
        <v>464.872608824145</v>
      </c>
      <c r="M170">
        <v>9688.5446670655692</v>
      </c>
      <c r="N170">
        <v>1488.6062979580599</v>
      </c>
      <c r="O170">
        <v>467.72093793782602</v>
      </c>
      <c r="P170">
        <v>1158.19137052921</v>
      </c>
      <c r="Q170">
        <v>7548.0032484183002</v>
      </c>
      <c r="R170">
        <v>555.95112128958203</v>
      </c>
      <c r="S170">
        <v>212.34896653916999</v>
      </c>
      <c r="T170">
        <v>182.45487785172401</v>
      </c>
      <c r="U170">
        <v>173.61540026745101</v>
      </c>
      <c r="V170">
        <v>172.02282960193699</v>
      </c>
      <c r="W170">
        <v>166.75999645550701</v>
      </c>
      <c r="X170">
        <v>164.70723939694301</v>
      </c>
      <c r="Y170">
        <v>662.67613030380903</v>
      </c>
      <c r="Z170">
        <v>185.015899308093</v>
      </c>
      <c r="AA170">
        <v>414.393547134394</v>
      </c>
      <c r="AB170">
        <v>570.94837431825704</v>
      </c>
      <c r="AC170">
        <v>850.14840734990503</v>
      </c>
      <c r="AD170">
        <v>402.42849863413602</v>
      </c>
      <c r="AE170">
        <v>847.70179632400595</v>
      </c>
      <c r="AF170">
        <v>766.84019452120401</v>
      </c>
      <c r="AG170">
        <v>422.411297501344</v>
      </c>
    </row>
    <row r="171" spans="1:33" x14ac:dyDescent="0.25">
      <c r="A171" s="1">
        <v>44222</v>
      </c>
      <c r="B171">
        <v>7700.2127640207</v>
      </c>
      <c r="C171">
        <v>7399.0174431944697</v>
      </c>
      <c r="D171">
        <v>6746.3350171953898</v>
      </c>
      <c r="E171">
        <v>8329.5290817082496</v>
      </c>
      <c r="F171">
        <v>11700.4753968562</v>
      </c>
      <c r="G171">
        <v>10568.4704665437</v>
      </c>
      <c r="H171">
        <v>23893.090971929501</v>
      </c>
      <c r="I171">
        <v>14198.820899846</v>
      </c>
      <c r="J171">
        <v>938.73285602281499</v>
      </c>
      <c r="K171">
        <v>929.42836815606699</v>
      </c>
      <c r="L171">
        <v>456.49844141958198</v>
      </c>
      <c r="M171">
        <v>9620.6397320216402</v>
      </c>
      <c r="N171">
        <v>1671.4184226396001</v>
      </c>
      <c r="O171">
        <v>432.90033621657602</v>
      </c>
      <c r="P171">
        <v>1105.44345666093</v>
      </c>
      <c r="Q171">
        <v>7192.22105392908</v>
      </c>
      <c r="R171">
        <v>511.27026853324901</v>
      </c>
      <c r="S171">
        <v>230.29087991614799</v>
      </c>
      <c r="T171">
        <v>188.01231101568001</v>
      </c>
      <c r="U171">
        <v>172.19409650528701</v>
      </c>
      <c r="V171">
        <v>192.13372960546599</v>
      </c>
      <c r="W171">
        <v>170.128003226289</v>
      </c>
      <c r="X171">
        <v>171.65673065542401</v>
      </c>
      <c r="Y171">
        <v>711.53381914024305</v>
      </c>
      <c r="Z171">
        <v>189.495568647249</v>
      </c>
      <c r="AA171">
        <v>417.17697285036797</v>
      </c>
      <c r="AB171">
        <v>617.37297502904596</v>
      </c>
      <c r="AC171">
        <v>847.81298625123202</v>
      </c>
      <c r="AD171">
        <v>400.55951723542103</v>
      </c>
      <c r="AE171">
        <v>855.556035366282</v>
      </c>
      <c r="AF171">
        <v>776.42476546504395</v>
      </c>
      <c r="AG171">
        <v>438.24018565544202</v>
      </c>
    </row>
    <row r="172" spans="1:33" x14ac:dyDescent="0.25">
      <c r="A172" s="1">
        <v>44223</v>
      </c>
      <c r="B172">
        <v>7637.3418097538497</v>
      </c>
      <c r="C172">
        <v>6609.2786207380204</v>
      </c>
      <c r="D172">
        <v>7217.6450434140497</v>
      </c>
      <c r="E172">
        <v>9446.4216058996299</v>
      </c>
      <c r="F172">
        <v>12901.046747336901</v>
      </c>
      <c r="G172">
        <v>13251.904695740801</v>
      </c>
      <c r="H172">
        <v>25493.2886522316</v>
      </c>
      <c r="I172">
        <v>14233.2697057364</v>
      </c>
      <c r="J172">
        <v>938.44160258412899</v>
      </c>
      <c r="K172">
        <v>1115.43099531711</v>
      </c>
      <c r="L172">
        <v>491.74297929789498</v>
      </c>
      <c r="M172">
        <v>11775.7905253271</v>
      </c>
      <c r="N172">
        <v>3040.5847473450399</v>
      </c>
      <c r="O172">
        <v>472.92996096825698</v>
      </c>
      <c r="P172">
        <v>1431.5956992916399</v>
      </c>
      <c r="Q172">
        <v>9232.4602880310704</v>
      </c>
      <c r="R172">
        <v>546.599922375505</v>
      </c>
      <c r="S172">
        <v>188.51021862896201</v>
      </c>
      <c r="T172">
        <v>249.09013938990199</v>
      </c>
      <c r="U172">
        <v>173.39831050735</v>
      </c>
      <c r="V172">
        <v>235.141880910883</v>
      </c>
      <c r="W172">
        <v>171.66802138215201</v>
      </c>
      <c r="X172">
        <v>172.728764559973</v>
      </c>
      <c r="Y172">
        <v>663.02002358943298</v>
      </c>
      <c r="Z172">
        <v>203.098702540517</v>
      </c>
      <c r="AA172">
        <v>416.24823140430601</v>
      </c>
      <c r="AB172">
        <v>616.25294157570397</v>
      </c>
      <c r="AC172">
        <v>845.218732473979</v>
      </c>
      <c r="AD172">
        <v>433.09547214145999</v>
      </c>
      <c r="AE172">
        <v>847.07990631277698</v>
      </c>
      <c r="AF172">
        <v>780.14796650292999</v>
      </c>
      <c r="AG172">
        <v>480.13057971401798</v>
      </c>
    </row>
    <row r="173" spans="1:33" x14ac:dyDescent="0.25">
      <c r="A173" s="1">
        <v>44224</v>
      </c>
      <c r="B173">
        <v>7701.2627726918799</v>
      </c>
      <c r="C173">
        <v>7251.5695965692103</v>
      </c>
      <c r="D173">
        <v>7132.7870168555601</v>
      </c>
      <c r="E173">
        <v>9035.6779755203697</v>
      </c>
      <c r="F173">
        <v>13274.1587968073</v>
      </c>
      <c r="G173">
        <v>12629.979200968201</v>
      </c>
      <c r="H173">
        <v>24261.700152947298</v>
      </c>
      <c r="I173">
        <v>14788.7143706606</v>
      </c>
      <c r="J173">
        <v>928.13205863582698</v>
      </c>
      <c r="K173">
        <v>1132.1623838395501</v>
      </c>
      <c r="L173">
        <v>500.44280660175099</v>
      </c>
      <c r="M173">
        <v>10995.8586681051</v>
      </c>
      <c r="N173">
        <v>2434.6431454746198</v>
      </c>
      <c r="O173">
        <v>437.45451078102298</v>
      </c>
      <c r="P173">
        <v>1430.1847200587999</v>
      </c>
      <c r="Q173">
        <v>8907.7182337327104</v>
      </c>
      <c r="R173">
        <v>544.186383796413</v>
      </c>
      <c r="S173">
        <v>226.44769172884699</v>
      </c>
      <c r="T173">
        <v>219.61748040911101</v>
      </c>
      <c r="U173">
        <v>174.605996055931</v>
      </c>
      <c r="V173">
        <v>197.501750567198</v>
      </c>
      <c r="W173">
        <v>167.25101280874401</v>
      </c>
      <c r="X173">
        <v>170.54594335814599</v>
      </c>
      <c r="Y173">
        <v>685.55731167387705</v>
      </c>
      <c r="Z173">
        <v>219.94618848066099</v>
      </c>
      <c r="AA173">
        <v>429.70086675089999</v>
      </c>
      <c r="AB173">
        <v>611.088786365381</v>
      </c>
      <c r="AC173">
        <v>842.78717706511395</v>
      </c>
      <c r="AD173">
        <v>434.66187200501003</v>
      </c>
      <c r="AE173">
        <v>711.74123647035799</v>
      </c>
      <c r="AF173">
        <v>791.42974330877996</v>
      </c>
      <c r="AG173">
        <v>542.93956774487106</v>
      </c>
    </row>
    <row r="174" spans="1:33" x14ac:dyDescent="0.25">
      <c r="A174" s="1">
        <v>44225</v>
      </c>
      <c r="B174">
        <v>7770.4230175208104</v>
      </c>
      <c r="C174">
        <v>7261.6026167510599</v>
      </c>
      <c r="D174">
        <v>6980.0858520166403</v>
      </c>
      <c r="E174">
        <v>8654.3251001523404</v>
      </c>
      <c r="F174">
        <v>12501.535205267801</v>
      </c>
      <c r="G174">
        <v>10542.4160286649</v>
      </c>
      <c r="H174">
        <v>22191.348560655199</v>
      </c>
      <c r="I174">
        <v>15155.510359006899</v>
      </c>
      <c r="J174">
        <v>914.92414723042702</v>
      </c>
      <c r="K174">
        <v>973.11311644253897</v>
      </c>
      <c r="L174">
        <v>466.59491671187499</v>
      </c>
      <c r="M174">
        <v>9075.3390708031293</v>
      </c>
      <c r="N174">
        <v>1600.4512171194899</v>
      </c>
      <c r="O174">
        <v>365.23269959079101</v>
      </c>
      <c r="P174">
        <v>1154.67073157546</v>
      </c>
      <c r="Q174">
        <v>7174.63111654165</v>
      </c>
      <c r="R174">
        <v>479.18782976660202</v>
      </c>
      <c r="S174">
        <v>259.99309375629298</v>
      </c>
      <c r="T174">
        <v>191.322254185182</v>
      </c>
      <c r="U174">
        <v>180.826493899676</v>
      </c>
      <c r="V174">
        <v>177.55116490365799</v>
      </c>
      <c r="W174">
        <v>167.60749332101599</v>
      </c>
      <c r="X174">
        <v>171.632250757571</v>
      </c>
      <c r="Y174">
        <v>782.16101074909898</v>
      </c>
      <c r="Z174">
        <v>229.47206338257001</v>
      </c>
      <c r="AA174">
        <v>445.525782171179</v>
      </c>
      <c r="AB174">
        <v>686.40120661053595</v>
      </c>
      <c r="AC174">
        <v>833.13461230058499</v>
      </c>
      <c r="AD174">
        <v>403.75997843932601</v>
      </c>
      <c r="AE174">
        <v>546.25183791664404</v>
      </c>
      <c r="AF174">
        <v>802.635492081645</v>
      </c>
      <c r="AG174">
        <v>634.93664189443302</v>
      </c>
    </row>
    <row r="175" spans="1:33" x14ac:dyDescent="0.25">
      <c r="A175" s="1">
        <v>44226</v>
      </c>
      <c r="B175">
        <v>7834.2298239736101</v>
      </c>
      <c r="C175">
        <v>5613.8895996248502</v>
      </c>
      <c r="D175">
        <v>6940.0533340046204</v>
      </c>
      <c r="E175">
        <v>8458.9649611438708</v>
      </c>
      <c r="F175">
        <v>10676.835037377699</v>
      </c>
      <c r="G175">
        <v>8422.9934853836494</v>
      </c>
      <c r="H175">
        <v>20131.530585887998</v>
      </c>
      <c r="I175">
        <v>14801.6973216153</v>
      </c>
      <c r="J175">
        <v>891.20461400478905</v>
      </c>
      <c r="K175">
        <v>850.26643394982</v>
      </c>
      <c r="L175">
        <v>428.933080502596</v>
      </c>
      <c r="M175">
        <v>7190.98233882774</v>
      </c>
      <c r="N175">
        <v>1002.28823935275</v>
      </c>
      <c r="O175">
        <v>320.60822292915702</v>
      </c>
      <c r="P175">
        <v>961.28043453693397</v>
      </c>
      <c r="Q175">
        <v>5365.0916695701299</v>
      </c>
      <c r="R175">
        <v>411.172095954952</v>
      </c>
      <c r="S175">
        <v>284.49891410737303</v>
      </c>
      <c r="T175">
        <v>179.543168427045</v>
      </c>
      <c r="U175">
        <v>191.68819090461</v>
      </c>
      <c r="V175">
        <v>168.80647198576</v>
      </c>
      <c r="W175">
        <v>169.31499789522601</v>
      </c>
      <c r="X175">
        <v>168.63883752594199</v>
      </c>
      <c r="Y175">
        <v>814.22733375171401</v>
      </c>
      <c r="Z175">
        <v>242.35374878407001</v>
      </c>
      <c r="AA175">
        <v>465.03228689742599</v>
      </c>
      <c r="AB175">
        <v>746.41311781527895</v>
      </c>
      <c r="AC175">
        <v>684.33890928211201</v>
      </c>
      <c r="AD175">
        <v>381.55090231364102</v>
      </c>
      <c r="AE175">
        <v>565.46394342409997</v>
      </c>
      <c r="AF175">
        <v>824.03562933522699</v>
      </c>
      <c r="AG175">
        <v>724.47315292826397</v>
      </c>
    </row>
    <row r="176" spans="1:33" x14ac:dyDescent="0.25">
      <c r="A176" s="1">
        <v>44227</v>
      </c>
      <c r="B176">
        <v>7921.18569824117</v>
      </c>
      <c r="C176">
        <v>4160.2041256938401</v>
      </c>
      <c r="D176">
        <v>6936.2019659792604</v>
      </c>
      <c r="E176">
        <v>8413.4083263118191</v>
      </c>
      <c r="F176">
        <v>9422.8615383326396</v>
      </c>
      <c r="G176">
        <v>7447.5591937213703</v>
      </c>
      <c r="H176">
        <v>19401.175359573801</v>
      </c>
      <c r="I176">
        <v>13992.139511478699</v>
      </c>
      <c r="J176">
        <v>868.88743758239605</v>
      </c>
      <c r="K176">
        <v>781.51408008529097</v>
      </c>
      <c r="L176">
        <v>403.85289861117599</v>
      </c>
      <c r="M176">
        <v>6280.3422312511702</v>
      </c>
      <c r="N176">
        <v>744.35298406250797</v>
      </c>
      <c r="O176">
        <v>313.51800501242701</v>
      </c>
      <c r="P176">
        <v>870.97376226334802</v>
      </c>
      <c r="Q176">
        <v>4454.3004828592102</v>
      </c>
      <c r="R176">
        <v>390.59214740780601</v>
      </c>
      <c r="S176">
        <v>306.11998679547901</v>
      </c>
      <c r="T176">
        <v>175.56154419633799</v>
      </c>
      <c r="U176">
        <v>250.177106641688</v>
      </c>
      <c r="V176">
        <v>169.80866773505701</v>
      </c>
      <c r="W176">
        <v>178.46860599284301</v>
      </c>
      <c r="X176">
        <v>169.74583675917401</v>
      </c>
      <c r="Y176">
        <v>729.41733874669001</v>
      </c>
      <c r="Z176">
        <v>239.58051941030701</v>
      </c>
      <c r="AA176">
        <v>489.53988983343498</v>
      </c>
      <c r="AB176">
        <v>710.493623289276</v>
      </c>
      <c r="AC176">
        <v>656.14552034902999</v>
      </c>
      <c r="AD176">
        <v>367.323093870707</v>
      </c>
      <c r="AE176">
        <v>625.71752120623603</v>
      </c>
      <c r="AF176">
        <v>858.58935148623004</v>
      </c>
      <c r="AG176">
        <v>745.02190764807597</v>
      </c>
    </row>
    <row r="177" spans="1:33" x14ac:dyDescent="0.25">
      <c r="A177" s="1">
        <v>44228</v>
      </c>
      <c r="B177">
        <v>7991.1236302314401</v>
      </c>
      <c r="C177">
        <v>3522.6660254509102</v>
      </c>
      <c r="D177">
        <v>6642.1231922077704</v>
      </c>
      <c r="E177">
        <v>8425.7637998717291</v>
      </c>
      <c r="F177">
        <v>8766.8741016821205</v>
      </c>
      <c r="G177">
        <v>7119.9059020732702</v>
      </c>
      <c r="H177">
        <v>19378.790035558901</v>
      </c>
      <c r="I177">
        <v>13206.276278302899</v>
      </c>
      <c r="J177">
        <v>848.72697739790397</v>
      </c>
      <c r="K177">
        <v>736.54941765061005</v>
      </c>
      <c r="L177">
        <v>389.31170513971801</v>
      </c>
      <c r="M177">
        <v>5903.7046448042602</v>
      </c>
      <c r="N177">
        <v>606.55807638029603</v>
      </c>
      <c r="O177">
        <v>314.94628423516599</v>
      </c>
      <c r="P177">
        <v>819.51597077421798</v>
      </c>
      <c r="Q177">
        <v>4105.7269170258896</v>
      </c>
      <c r="R177">
        <v>384.68692657773602</v>
      </c>
      <c r="S177">
        <v>326.04708521535298</v>
      </c>
      <c r="T177">
        <v>175.78175157749001</v>
      </c>
      <c r="U177">
        <v>226.18190977267901</v>
      </c>
      <c r="V177">
        <v>180.24023628760801</v>
      </c>
      <c r="W177">
        <v>181.52653848333699</v>
      </c>
      <c r="X177">
        <v>180.92624536780301</v>
      </c>
      <c r="Y177">
        <v>688.34826472949101</v>
      </c>
      <c r="Z177">
        <v>224.31356761860499</v>
      </c>
      <c r="AA177">
        <v>507.78632013147501</v>
      </c>
      <c r="AB177">
        <v>675.79912484150202</v>
      </c>
      <c r="AC177">
        <v>668.706937982711</v>
      </c>
      <c r="AD177">
        <v>358.19438318076902</v>
      </c>
      <c r="AE177">
        <v>671.733498120425</v>
      </c>
      <c r="AF177">
        <v>858.31025741974997</v>
      </c>
      <c r="AG177">
        <v>686.53517427904796</v>
      </c>
    </row>
    <row r="178" spans="1:33" x14ac:dyDescent="0.25">
      <c r="A178" s="1">
        <v>44229</v>
      </c>
      <c r="B178">
        <v>7982.8814729544602</v>
      </c>
      <c r="C178">
        <v>3347.82839511674</v>
      </c>
      <c r="D178">
        <v>5778.8224128198799</v>
      </c>
      <c r="E178">
        <v>8212.1185725859705</v>
      </c>
      <c r="F178">
        <v>8094.9006016477697</v>
      </c>
      <c r="G178">
        <v>5966.0535446670101</v>
      </c>
      <c r="H178">
        <v>17455.371903244799</v>
      </c>
      <c r="I178">
        <v>12891.6415912268</v>
      </c>
      <c r="J178">
        <v>825.52742427104795</v>
      </c>
      <c r="K178">
        <v>677.21002594655897</v>
      </c>
      <c r="L178">
        <v>385.03164193304599</v>
      </c>
      <c r="M178">
        <v>4864.5373869315699</v>
      </c>
      <c r="N178">
        <v>414.09775018448698</v>
      </c>
      <c r="O178">
        <v>295.58858916577401</v>
      </c>
      <c r="P178">
        <v>721.09531541944398</v>
      </c>
      <c r="Q178">
        <v>3049.83794134547</v>
      </c>
      <c r="R178">
        <v>364.30650536567799</v>
      </c>
      <c r="S178">
        <v>340.670966211321</v>
      </c>
      <c r="T178">
        <v>177.42520690055699</v>
      </c>
      <c r="U178">
        <v>227.246350476977</v>
      </c>
      <c r="V178">
        <v>181.05169427768601</v>
      </c>
      <c r="W178">
        <v>167.17109502853799</v>
      </c>
      <c r="X178">
        <v>180.96306843493099</v>
      </c>
      <c r="Y178">
        <v>682.70916364733102</v>
      </c>
      <c r="Z178">
        <v>214.140331098601</v>
      </c>
      <c r="AA178">
        <v>510.386912889413</v>
      </c>
      <c r="AB178">
        <v>665.14886832765103</v>
      </c>
      <c r="AC178">
        <v>676.37764572695301</v>
      </c>
      <c r="AD178">
        <v>353.14623833585199</v>
      </c>
      <c r="AE178">
        <v>782.15756282207303</v>
      </c>
      <c r="AF178">
        <v>802.83075083550102</v>
      </c>
      <c r="AG178">
        <v>627.92379505236102</v>
      </c>
    </row>
    <row r="179" spans="1:33" x14ac:dyDescent="0.25">
      <c r="A179" s="1">
        <v>44230</v>
      </c>
      <c r="B179">
        <v>7966.8157478335097</v>
      </c>
      <c r="C179">
        <v>2761.0982084891798</v>
      </c>
      <c r="D179">
        <v>4946.2065887216804</v>
      </c>
      <c r="E179">
        <v>7932.5235920292898</v>
      </c>
      <c r="F179">
        <v>6665.3067450093804</v>
      </c>
      <c r="G179">
        <v>4673.8615992103796</v>
      </c>
      <c r="H179">
        <v>16083.785288329</v>
      </c>
      <c r="I179">
        <v>12324.4993486924</v>
      </c>
      <c r="J179">
        <v>806.32071246220005</v>
      </c>
      <c r="K179">
        <v>618.92899126465898</v>
      </c>
      <c r="L179">
        <v>383.66542483935098</v>
      </c>
      <c r="M179">
        <v>3807.5072669739302</v>
      </c>
      <c r="N179">
        <v>315.78272337654403</v>
      </c>
      <c r="O179">
        <v>282.12452870373397</v>
      </c>
      <c r="P179">
        <v>642.42202195132199</v>
      </c>
      <c r="Q179">
        <v>2261.7446684002198</v>
      </c>
      <c r="R179">
        <v>339.39257014217702</v>
      </c>
      <c r="S179">
        <v>364.37379520413901</v>
      </c>
      <c r="T179">
        <v>176.872299029213</v>
      </c>
      <c r="U179">
        <v>235.44323277471599</v>
      </c>
      <c r="V179">
        <v>168.38500604935899</v>
      </c>
      <c r="W179">
        <v>159.89933703578501</v>
      </c>
      <c r="X179">
        <v>166.73694395933501</v>
      </c>
      <c r="Y179">
        <v>682.64351400431497</v>
      </c>
      <c r="Z179">
        <v>214.34109553019101</v>
      </c>
      <c r="AA179">
        <v>516.69595324041495</v>
      </c>
      <c r="AB179">
        <v>664.36467913737295</v>
      </c>
      <c r="AC179">
        <v>693.83538577569198</v>
      </c>
      <c r="AD179">
        <v>351.92632716230702</v>
      </c>
      <c r="AE179">
        <v>911.77133632443895</v>
      </c>
      <c r="AF179">
        <v>739.15872343091598</v>
      </c>
      <c r="AG179">
        <v>617.68588569605697</v>
      </c>
    </row>
    <row r="180" spans="1:33" x14ac:dyDescent="0.25">
      <c r="A180" s="1">
        <v>44231</v>
      </c>
      <c r="B180">
        <v>7857.9102801325598</v>
      </c>
      <c r="C180">
        <v>2230.58530385529</v>
      </c>
      <c r="D180">
        <v>4421.55284882043</v>
      </c>
      <c r="E180">
        <v>7674.2369646650604</v>
      </c>
      <c r="F180">
        <v>5821.56027150316</v>
      </c>
      <c r="G180">
        <v>3720.6278854648399</v>
      </c>
      <c r="H180">
        <v>15047.7709392052</v>
      </c>
      <c r="I180">
        <v>11328.3592255192</v>
      </c>
      <c r="J180">
        <v>785.744590691177</v>
      </c>
      <c r="K180">
        <v>578.22792691576694</v>
      </c>
      <c r="L180">
        <v>382.53309940151598</v>
      </c>
      <c r="M180">
        <v>3031.9195071197701</v>
      </c>
      <c r="N180">
        <v>274.67505639084101</v>
      </c>
      <c r="O180">
        <v>275.93553124249598</v>
      </c>
      <c r="P180">
        <v>590.99009056413695</v>
      </c>
      <c r="Q180">
        <v>1787.5759188225099</v>
      </c>
      <c r="R180">
        <v>329.707847551562</v>
      </c>
      <c r="S180">
        <v>396.674218889195</v>
      </c>
      <c r="T180">
        <v>174.36435752103301</v>
      </c>
      <c r="U180">
        <v>234.57848818596301</v>
      </c>
      <c r="V180">
        <v>161.30306111861699</v>
      </c>
      <c r="W180">
        <v>164.88474627014301</v>
      </c>
      <c r="X180">
        <v>160.25530791293701</v>
      </c>
      <c r="Y180">
        <v>689.12268930688901</v>
      </c>
      <c r="Z180">
        <v>215.51370435877999</v>
      </c>
      <c r="AA180">
        <v>523.340387966246</v>
      </c>
      <c r="AB180">
        <v>663.81635108912894</v>
      </c>
      <c r="AC180">
        <v>739.92213936624705</v>
      </c>
      <c r="AD180">
        <v>350.69863746728299</v>
      </c>
      <c r="AE180">
        <v>1023.13261942329</v>
      </c>
      <c r="AF180">
        <v>705.18023574179301</v>
      </c>
      <c r="AG180">
        <v>606.39188270689101</v>
      </c>
    </row>
    <row r="181" spans="1:33" x14ac:dyDescent="0.25">
      <c r="A181" s="1">
        <v>44232</v>
      </c>
      <c r="B181">
        <v>7614.8123660952097</v>
      </c>
      <c r="C181">
        <v>1850.5963259734101</v>
      </c>
      <c r="D181">
        <v>4004.2197741628702</v>
      </c>
      <c r="E181">
        <v>7380.8777442435503</v>
      </c>
      <c r="F181">
        <v>5424.4491930811701</v>
      </c>
      <c r="G181">
        <v>3718.6209586865102</v>
      </c>
      <c r="H181">
        <v>15628.496791036199</v>
      </c>
      <c r="I181">
        <v>10558.662578592501</v>
      </c>
      <c r="J181">
        <v>769.24192497406602</v>
      </c>
      <c r="K181">
        <v>546.68401841667605</v>
      </c>
      <c r="L181">
        <v>362.49433547688801</v>
      </c>
      <c r="M181">
        <v>2997.6449220888999</v>
      </c>
      <c r="N181">
        <v>275.00911054450501</v>
      </c>
      <c r="O181">
        <v>276.130463321023</v>
      </c>
      <c r="P181">
        <v>564.23772274957605</v>
      </c>
      <c r="Q181">
        <v>1784.0679082849599</v>
      </c>
      <c r="R181">
        <v>328.87442997029001</v>
      </c>
      <c r="S181">
        <v>404.48006112501798</v>
      </c>
      <c r="T181">
        <v>172.25541275186299</v>
      </c>
      <c r="U181">
        <v>252.66733439767799</v>
      </c>
      <c r="V181">
        <v>163.93791033273499</v>
      </c>
      <c r="W181">
        <v>168.20482736418001</v>
      </c>
      <c r="X181">
        <v>163.79976671959599</v>
      </c>
      <c r="Y181">
        <v>698.13992145208897</v>
      </c>
      <c r="Z181">
        <v>218.345805273612</v>
      </c>
      <c r="AA181">
        <v>536.46857903024602</v>
      </c>
      <c r="AB181">
        <v>656.98207818380297</v>
      </c>
      <c r="AC181">
        <v>801.60813605421197</v>
      </c>
      <c r="AD181">
        <v>345.14943478047201</v>
      </c>
      <c r="AE181">
        <v>1069.4286404638001</v>
      </c>
      <c r="AF181">
        <v>692.95973211903095</v>
      </c>
      <c r="AG181">
        <v>552.19601993380195</v>
      </c>
    </row>
    <row r="182" spans="1:33" x14ac:dyDescent="0.25">
      <c r="A182" s="1">
        <v>44233</v>
      </c>
      <c r="B182">
        <v>7259.6544799772801</v>
      </c>
      <c r="C182">
        <v>1666.19667542569</v>
      </c>
      <c r="D182">
        <v>3615.2986692464301</v>
      </c>
      <c r="E182">
        <v>7019.2383358067</v>
      </c>
      <c r="F182">
        <v>5331.85778317321</v>
      </c>
      <c r="G182">
        <v>3904.01504878796</v>
      </c>
      <c r="H182">
        <v>16285.376891169</v>
      </c>
      <c r="I182">
        <v>9935.6817037074707</v>
      </c>
      <c r="J182">
        <v>747.40409716202203</v>
      </c>
      <c r="K182">
        <v>528.430797573517</v>
      </c>
      <c r="L182">
        <v>349.54735268344399</v>
      </c>
      <c r="M182">
        <v>3153.2415775853401</v>
      </c>
      <c r="N182">
        <v>290.75135247980597</v>
      </c>
      <c r="O182">
        <v>280.85786621487</v>
      </c>
      <c r="P182">
        <v>551.38456313364998</v>
      </c>
      <c r="Q182">
        <v>1926.0793983363001</v>
      </c>
      <c r="R182">
        <v>332.50756485773201</v>
      </c>
      <c r="S182">
        <v>397.82096114240198</v>
      </c>
      <c r="T182">
        <v>172.515220836315</v>
      </c>
      <c r="U182">
        <v>256.16220764127002</v>
      </c>
      <c r="V182">
        <v>167.13214435927401</v>
      </c>
      <c r="W182">
        <v>172.30461807319401</v>
      </c>
      <c r="X182">
        <v>168.08471628851899</v>
      </c>
      <c r="Y182">
        <v>698.80462175006699</v>
      </c>
      <c r="Z182">
        <v>218.46659985668299</v>
      </c>
      <c r="AA182">
        <v>551.84188702686004</v>
      </c>
      <c r="AB182">
        <v>638.801762550685</v>
      </c>
      <c r="AC182">
        <v>845.98174930846699</v>
      </c>
      <c r="AD182">
        <v>336.69024844008999</v>
      </c>
      <c r="AE182">
        <v>1082.4050772406699</v>
      </c>
      <c r="AF182">
        <v>693.98913817777202</v>
      </c>
      <c r="AG182">
        <v>534.35807593578102</v>
      </c>
    </row>
    <row r="183" spans="1:33" x14ac:dyDescent="0.25">
      <c r="A183" s="1">
        <v>44234</v>
      </c>
      <c r="B183">
        <v>6854.9630882766596</v>
      </c>
      <c r="C183">
        <v>1559.98772900068</v>
      </c>
      <c r="D183">
        <v>3267.8597351810399</v>
      </c>
      <c r="E183">
        <v>6573.4557078808502</v>
      </c>
      <c r="F183">
        <v>5313.9154388612096</v>
      </c>
      <c r="G183">
        <v>4126.18216871806</v>
      </c>
      <c r="H183">
        <v>16731.321908518901</v>
      </c>
      <c r="I183">
        <v>9298.0132382395404</v>
      </c>
      <c r="J183">
        <v>720.68917746445698</v>
      </c>
      <c r="K183">
        <v>511.69583515487801</v>
      </c>
      <c r="L183">
        <v>344.37593916329098</v>
      </c>
      <c r="M183">
        <v>3326.17510291911</v>
      </c>
      <c r="N183">
        <v>325.14678732146803</v>
      </c>
      <c r="O183">
        <v>285.34847634347301</v>
      </c>
      <c r="P183">
        <v>539.58681095209397</v>
      </c>
      <c r="Q183">
        <v>2140.4225081316299</v>
      </c>
      <c r="R183">
        <v>335.739878491561</v>
      </c>
      <c r="S183">
        <v>396.25043959312302</v>
      </c>
      <c r="T183">
        <v>174.06119780582401</v>
      </c>
      <c r="U183">
        <v>272.95766470425502</v>
      </c>
      <c r="V183">
        <v>173.08906586805099</v>
      </c>
      <c r="W183">
        <v>179.17634830506299</v>
      </c>
      <c r="X183">
        <v>174.33234311563501</v>
      </c>
      <c r="Y183">
        <v>714.17520940752399</v>
      </c>
      <c r="Z183">
        <v>216.06126028291001</v>
      </c>
      <c r="AA183">
        <v>561.97988892530702</v>
      </c>
      <c r="AB183">
        <v>635.26209951358896</v>
      </c>
      <c r="AC183">
        <v>892.47325764225604</v>
      </c>
      <c r="AD183">
        <v>329.23180066052601</v>
      </c>
      <c r="AE183">
        <v>1084.8062683759899</v>
      </c>
      <c r="AF183">
        <v>698.56112114680104</v>
      </c>
      <c r="AG183">
        <v>534.03635960093197</v>
      </c>
    </row>
    <row r="184" spans="1:33" x14ac:dyDescent="0.25">
      <c r="A184" s="1">
        <v>44235</v>
      </c>
      <c r="B184">
        <v>6452.6098881387397</v>
      </c>
      <c r="C184">
        <v>1589.1538731145099</v>
      </c>
      <c r="D184">
        <v>3021.6272025141702</v>
      </c>
      <c r="E184">
        <v>6105.8308908377103</v>
      </c>
      <c r="F184">
        <v>5543.5404373975098</v>
      </c>
      <c r="G184">
        <v>4753.7649191445198</v>
      </c>
      <c r="H184">
        <v>17457.6334701755</v>
      </c>
      <c r="I184">
        <v>8861.41890541867</v>
      </c>
      <c r="J184">
        <v>689.45076905261806</v>
      </c>
      <c r="K184">
        <v>502.25537601656902</v>
      </c>
      <c r="L184">
        <v>341.67865247425999</v>
      </c>
      <c r="M184">
        <v>3799.0906440957001</v>
      </c>
      <c r="N184">
        <v>411.03167966777102</v>
      </c>
      <c r="O184">
        <v>296.77181328154501</v>
      </c>
      <c r="P184">
        <v>536.03111916007504</v>
      </c>
      <c r="Q184">
        <v>2563.7215725194201</v>
      </c>
      <c r="R184">
        <v>340.59621002894102</v>
      </c>
      <c r="S184">
        <v>385.45398180537597</v>
      </c>
      <c r="T184">
        <v>177.24538761478101</v>
      </c>
      <c r="U184">
        <v>276.56643866932899</v>
      </c>
      <c r="V184">
        <v>180.926301177288</v>
      </c>
      <c r="W184">
        <v>169.577777000483</v>
      </c>
      <c r="X184">
        <v>179.58869162680699</v>
      </c>
      <c r="Y184">
        <v>746.44521864600699</v>
      </c>
      <c r="Z184">
        <v>213.50033719787899</v>
      </c>
      <c r="AA184">
        <v>569.09482620628296</v>
      </c>
      <c r="AB184">
        <v>647.23156780592399</v>
      </c>
      <c r="AC184">
        <v>911.95130201505299</v>
      </c>
      <c r="AD184">
        <v>326.45727062957002</v>
      </c>
      <c r="AE184">
        <v>1089.20077377194</v>
      </c>
      <c r="AF184">
        <v>704.485351885878</v>
      </c>
      <c r="AG184">
        <v>534.48109677816399</v>
      </c>
    </row>
    <row r="185" spans="1:33" x14ac:dyDescent="0.25">
      <c r="A185" s="1">
        <v>44236</v>
      </c>
      <c r="B185">
        <v>6093.4601267923999</v>
      </c>
      <c r="C185">
        <v>1847.7619678672299</v>
      </c>
      <c r="D185">
        <v>2741.0371034977102</v>
      </c>
      <c r="E185">
        <v>5748.2409194422398</v>
      </c>
      <c r="F185">
        <v>5943.7951832014396</v>
      </c>
      <c r="G185">
        <v>5177.8131743792801</v>
      </c>
      <c r="H185">
        <v>17538.796197685599</v>
      </c>
      <c r="I185">
        <v>8822.7244685337901</v>
      </c>
      <c r="J185">
        <v>664.32402521375502</v>
      </c>
      <c r="K185">
        <v>492.24445549657497</v>
      </c>
      <c r="L185">
        <v>342.67853791607001</v>
      </c>
      <c r="M185">
        <v>4182.3145216734601</v>
      </c>
      <c r="N185">
        <v>474.483684231751</v>
      </c>
      <c r="O185">
        <v>306.67239489290699</v>
      </c>
      <c r="P185">
        <v>525.35742023580599</v>
      </c>
      <c r="Q185">
        <v>2858.0063677441799</v>
      </c>
      <c r="R185">
        <v>345.08813069887202</v>
      </c>
      <c r="S185">
        <v>374.75754696955801</v>
      </c>
      <c r="T185">
        <v>180.316293858656</v>
      </c>
      <c r="U185">
        <v>266.68243451897399</v>
      </c>
      <c r="V185">
        <v>178.97163930996899</v>
      </c>
      <c r="W185">
        <v>164.656670968458</v>
      </c>
      <c r="X185">
        <v>176.00115954226001</v>
      </c>
      <c r="Y185">
        <v>770.66923865033505</v>
      </c>
      <c r="Z185">
        <v>211.37288439067299</v>
      </c>
      <c r="AA185">
        <v>575.05730945777498</v>
      </c>
      <c r="AB185">
        <v>657.27436321640005</v>
      </c>
      <c r="AC185">
        <v>920.28925762082895</v>
      </c>
      <c r="AD185">
        <v>326.18125090260298</v>
      </c>
      <c r="AE185">
        <v>1118.5852962311999</v>
      </c>
      <c r="AF185">
        <v>711.70611469211599</v>
      </c>
      <c r="AG185">
        <v>538.35471823089301</v>
      </c>
    </row>
    <row r="186" spans="1:33" x14ac:dyDescent="0.25">
      <c r="A186" s="1">
        <v>44237</v>
      </c>
      <c r="B186">
        <v>5802.2153244941001</v>
      </c>
      <c r="C186">
        <v>2153.0728461033</v>
      </c>
      <c r="D186">
        <v>2465.2259861822399</v>
      </c>
      <c r="E186">
        <v>5384.5832358675598</v>
      </c>
      <c r="F186">
        <v>6062.9425701760802</v>
      </c>
      <c r="G186">
        <v>5054.52988881085</v>
      </c>
      <c r="H186">
        <v>16718.744747553799</v>
      </c>
      <c r="I186">
        <v>8873.4713469355902</v>
      </c>
      <c r="J186">
        <v>646.02661195525002</v>
      </c>
      <c r="K186">
        <v>475.27591883172403</v>
      </c>
      <c r="L186">
        <v>342.878465178493</v>
      </c>
      <c r="M186">
        <v>4124.1722256323001</v>
      </c>
      <c r="N186">
        <v>466.20368219114499</v>
      </c>
      <c r="O186">
        <v>308.20442691194899</v>
      </c>
      <c r="P186">
        <v>506.45564592314702</v>
      </c>
      <c r="Q186">
        <v>2802.1427746440399</v>
      </c>
      <c r="R186">
        <v>343.94914553338498</v>
      </c>
      <c r="S186">
        <v>371.08876490613102</v>
      </c>
      <c r="T186">
        <v>179.292299598255</v>
      </c>
      <c r="U186">
        <v>269.60029027207901</v>
      </c>
      <c r="V186">
        <v>167.257409642179</v>
      </c>
      <c r="W186">
        <v>155.57744302020299</v>
      </c>
      <c r="X186">
        <v>162.73400389277</v>
      </c>
      <c r="Y186">
        <v>745.50625596701195</v>
      </c>
      <c r="Z186">
        <v>210.111103273558</v>
      </c>
      <c r="AA186">
        <v>583.31888272409105</v>
      </c>
      <c r="AB186">
        <v>628.07604217423102</v>
      </c>
      <c r="AC186">
        <v>931.396096950936</v>
      </c>
      <c r="AD186">
        <v>326.09628822771901</v>
      </c>
      <c r="AE186">
        <v>1163.26616013285</v>
      </c>
      <c r="AF186">
        <v>721.89310406567097</v>
      </c>
      <c r="AG186">
        <v>543.24969239251595</v>
      </c>
    </row>
    <row r="187" spans="1:33" x14ac:dyDescent="0.25">
      <c r="A187" s="1">
        <v>44238</v>
      </c>
      <c r="B187">
        <v>5497.2055277645304</v>
      </c>
      <c r="C187">
        <v>2179.3533512448098</v>
      </c>
      <c r="D187">
        <v>2328.9198975091999</v>
      </c>
      <c r="E187">
        <v>4995.8373674312697</v>
      </c>
      <c r="F187">
        <v>5754.9306062046599</v>
      </c>
      <c r="G187">
        <v>4854.9891167232099</v>
      </c>
      <c r="H187">
        <v>16233.2290298103</v>
      </c>
      <c r="I187">
        <v>8710.07864308647</v>
      </c>
      <c r="J187">
        <v>629.51066236836505</v>
      </c>
      <c r="K187">
        <v>460.57329623794197</v>
      </c>
      <c r="L187">
        <v>340.718410594094</v>
      </c>
      <c r="M187">
        <v>3982.8620081591698</v>
      </c>
      <c r="N187">
        <v>474.92047578239499</v>
      </c>
      <c r="O187">
        <v>301.42438488391201</v>
      </c>
      <c r="P187">
        <v>488.63021590246302</v>
      </c>
      <c r="Q187">
        <v>2695.0401549977501</v>
      </c>
      <c r="R187">
        <v>336.011785993861</v>
      </c>
      <c r="S187">
        <v>370.90926778508401</v>
      </c>
      <c r="T187">
        <v>177.643850364889</v>
      </c>
      <c r="U187">
        <v>264.68141205600801</v>
      </c>
      <c r="V187">
        <v>164.52186590654699</v>
      </c>
      <c r="W187">
        <v>163.018546626839</v>
      </c>
      <c r="X187">
        <v>159.27237050252</v>
      </c>
      <c r="Y187">
        <v>808.95144384097796</v>
      </c>
      <c r="Z187">
        <v>211.24126286227099</v>
      </c>
      <c r="AA187">
        <v>576.20604917649405</v>
      </c>
      <c r="AB187">
        <v>672.52206816899695</v>
      </c>
      <c r="AC187">
        <v>945.79517065572895</v>
      </c>
      <c r="AD187">
        <v>324.99034866111299</v>
      </c>
      <c r="AE187">
        <v>1077.8544078596799</v>
      </c>
      <c r="AF187">
        <v>735.781438311579</v>
      </c>
      <c r="AG187">
        <v>555.71575101836595</v>
      </c>
    </row>
    <row r="188" spans="1:33" x14ac:dyDescent="0.25">
      <c r="A188" s="1">
        <v>44239</v>
      </c>
      <c r="B188">
        <v>5156.9825614010497</v>
      </c>
      <c r="C188">
        <v>2106.0659784457698</v>
      </c>
      <c r="D188">
        <v>2212.4286434831101</v>
      </c>
      <c r="E188">
        <v>4651.5760039443003</v>
      </c>
      <c r="F188">
        <v>5922.6891196716597</v>
      </c>
      <c r="G188">
        <v>4636.7732967019601</v>
      </c>
      <c r="H188">
        <v>16014.379462454201</v>
      </c>
      <c r="I188">
        <v>8588.9792158233395</v>
      </c>
      <c r="J188">
        <v>610.17184966993295</v>
      </c>
      <c r="K188">
        <v>445.97178701885298</v>
      </c>
      <c r="L188">
        <v>337.99632480065901</v>
      </c>
      <c r="M188">
        <v>3800.72952179099</v>
      </c>
      <c r="N188">
        <v>418.37173828349103</v>
      </c>
      <c r="O188">
        <v>300.690333179199</v>
      </c>
      <c r="P188">
        <v>473.757432186323</v>
      </c>
      <c r="Q188">
        <v>2614.7837904091798</v>
      </c>
      <c r="R188">
        <v>333.830256663706</v>
      </c>
      <c r="S188">
        <v>374.888709233089</v>
      </c>
      <c r="T188">
        <v>174.638609723672</v>
      </c>
      <c r="U188">
        <v>259.53823233398202</v>
      </c>
      <c r="V188">
        <v>163.31717111784499</v>
      </c>
      <c r="W188">
        <v>166.92446210154199</v>
      </c>
      <c r="X188">
        <v>161.870858373837</v>
      </c>
      <c r="Y188">
        <v>804.79658366026695</v>
      </c>
      <c r="Z188">
        <v>212.903018760002</v>
      </c>
      <c r="AA188">
        <v>575.347137196517</v>
      </c>
      <c r="AB188">
        <v>658.61383218948095</v>
      </c>
      <c r="AC188">
        <v>957.85814224306705</v>
      </c>
      <c r="AD188">
        <v>322.19829986189501</v>
      </c>
      <c r="AE188">
        <v>998.63560792570001</v>
      </c>
      <c r="AF188">
        <v>749.14042566417197</v>
      </c>
      <c r="AG188">
        <v>557.36036250100005</v>
      </c>
    </row>
    <row r="189" spans="1:33" x14ac:dyDescent="0.25">
      <c r="A189" s="1">
        <v>44240</v>
      </c>
      <c r="B189">
        <v>4869.3735930769999</v>
      </c>
      <c r="C189">
        <v>2287.03480849074</v>
      </c>
      <c r="D189">
        <v>2208.7619710250701</v>
      </c>
      <c r="E189">
        <v>4357.1458625289497</v>
      </c>
      <c r="F189">
        <v>5432.6149182585204</v>
      </c>
      <c r="G189">
        <v>4319.4928512697397</v>
      </c>
      <c r="H189">
        <v>15562.020838754701</v>
      </c>
      <c r="I189">
        <v>8361.8650918548301</v>
      </c>
      <c r="J189">
        <v>598.51893147183</v>
      </c>
      <c r="K189">
        <v>432.56374903078199</v>
      </c>
      <c r="L189">
        <v>332.52701894560602</v>
      </c>
      <c r="M189">
        <v>3494.5439262800001</v>
      </c>
      <c r="N189">
        <v>365.91430069524802</v>
      </c>
      <c r="O189">
        <v>296.20046331653703</v>
      </c>
      <c r="P189">
        <v>456.78251811114097</v>
      </c>
      <c r="Q189">
        <v>2397.6837579707999</v>
      </c>
      <c r="R189">
        <v>327.92372405553101</v>
      </c>
      <c r="S189">
        <v>383.79819230595399</v>
      </c>
      <c r="T189">
        <v>174.56719332072001</v>
      </c>
      <c r="U189">
        <v>250.17008993186801</v>
      </c>
      <c r="V189">
        <v>164.97486926805001</v>
      </c>
      <c r="W189">
        <v>184.44852133345</v>
      </c>
      <c r="X189">
        <v>163.85733252938601</v>
      </c>
      <c r="Y189">
        <v>837.47588223895002</v>
      </c>
      <c r="Z189">
        <v>213.670013985255</v>
      </c>
      <c r="AA189">
        <v>569.47144022068596</v>
      </c>
      <c r="AB189">
        <v>680.89710448787605</v>
      </c>
      <c r="AC189">
        <v>963.59605091091498</v>
      </c>
      <c r="AD189">
        <v>318.70279094776498</v>
      </c>
      <c r="AE189">
        <v>938.84948763859904</v>
      </c>
      <c r="AF189">
        <v>767.31784187498499</v>
      </c>
      <c r="AG189">
        <v>567.11220237841303</v>
      </c>
    </row>
    <row r="190" spans="1:33" x14ac:dyDescent="0.25">
      <c r="A190" s="1">
        <v>44241</v>
      </c>
      <c r="B190">
        <v>4672.1640132309803</v>
      </c>
      <c r="C190">
        <v>2041.8043675378799</v>
      </c>
      <c r="D190">
        <v>2158.6219924381899</v>
      </c>
      <c r="E190">
        <v>4137.1297089374302</v>
      </c>
      <c r="F190">
        <v>5057.9257459124701</v>
      </c>
      <c r="G190">
        <v>3463.38756283169</v>
      </c>
      <c r="H190">
        <v>14119.689705832299</v>
      </c>
      <c r="I190">
        <v>8171.3611295127403</v>
      </c>
      <c r="J190">
        <v>594.68059604952396</v>
      </c>
      <c r="K190">
        <v>412.32992949104101</v>
      </c>
      <c r="L190">
        <v>330.31912104889102</v>
      </c>
      <c r="M190">
        <v>2850.78725422358</v>
      </c>
      <c r="N190">
        <v>289.286333674432</v>
      </c>
      <c r="O190">
        <v>280.56574474299498</v>
      </c>
      <c r="P190">
        <v>423.77350402367802</v>
      </c>
      <c r="Q190">
        <v>1877.6827137113501</v>
      </c>
      <c r="R190">
        <v>315.80948544550102</v>
      </c>
      <c r="S190">
        <v>405.08643214665898</v>
      </c>
      <c r="T190">
        <v>177.62469139023301</v>
      </c>
      <c r="U190">
        <v>254.06138854919499</v>
      </c>
      <c r="V190">
        <v>183.15462701255399</v>
      </c>
      <c r="W190">
        <v>199.15460469973101</v>
      </c>
      <c r="X190">
        <v>183.801666610393</v>
      </c>
      <c r="Y190">
        <v>852.82447575040999</v>
      </c>
      <c r="Z190">
        <v>210.78523302493201</v>
      </c>
      <c r="AA190">
        <v>562.23825666239998</v>
      </c>
      <c r="AB190">
        <v>715.94308474585296</v>
      </c>
      <c r="AC190">
        <v>936.36904186280799</v>
      </c>
      <c r="AD190">
        <v>317.56032143070303</v>
      </c>
      <c r="AE190">
        <v>917.08978918756895</v>
      </c>
      <c r="AF190">
        <v>791.231828099209</v>
      </c>
      <c r="AG190">
        <v>564.39554097195901</v>
      </c>
    </row>
    <row r="191" spans="1:33" x14ac:dyDescent="0.25">
      <c r="A191" s="1">
        <v>44242</v>
      </c>
      <c r="B191">
        <v>4401.7122357153603</v>
      </c>
      <c r="C191">
        <v>1830.1532987230401</v>
      </c>
      <c r="D191">
        <v>2194.3269028583099</v>
      </c>
      <c r="E191">
        <v>3890.70108114405</v>
      </c>
      <c r="F191">
        <v>4796.52031096878</v>
      </c>
      <c r="G191">
        <v>3547.12833798468</v>
      </c>
      <c r="H191">
        <v>14538.9292123745</v>
      </c>
      <c r="I191">
        <v>7814.2709831409002</v>
      </c>
      <c r="J191">
        <v>586.06939031229695</v>
      </c>
      <c r="K191">
        <v>403.359878421573</v>
      </c>
      <c r="L191">
        <v>321.21239611880702</v>
      </c>
      <c r="M191">
        <v>2873.1434231374401</v>
      </c>
      <c r="N191">
        <v>283.679172422335</v>
      </c>
      <c r="O191">
        <v>276.02279333544698</v>
      </c>
      <c r="P191">
        <v>417.63201201480501</v>
      </c>
      <c r="Q191">
        <v>1812.35032820519</v>
      </c>
      <c r="R191">
        <v>310.86526580110302</v>
      </c>
      <c r="S191">
        <v>400.021548982068</v>
      </c>
      <c r="T191">
        <v>183.781312799284</v>
      </c>
      <c r="U191">
        <v>261.14444631545598</v>
      </c>
      <c r="V191">
        <v>195.91019554930801</v>
      </c>
      <c r="W191">
        <v>198.45882819338999</v>
      </c>
      <c r="X191">
        <v>197.31969292390701</v>
      </c>
      <c r="Y191">
        <v>830.65670084786598</v>
      </c>
      <c r="Z191">
        <v>208.157162117761</v>
      </c>
      <c r="AA191">
        <v>564.66029472816399</v>
      </c>
      <c r="AB191">
        <v>687.45335656036502</v>
      </c>
      <c r="AC191">
        <v>905.55391238386596</v>
      </c>
      <c r="AD191">
        <v>311.49966957092801</v>
      </c>
      <c r="AE191">
        <v>840.78235846492998</v>
      </c>
      <c r="AF191">
        <v>809.704849352888</v>
      </c>
      <c r="AG191">
        <v>571.56613369077797</v>
      </c>
    </row>
    <row r="192" spans="1:33" x14ac:dyDescent="0.25">
      <c r="A192" s="1">
        <v>44243</v>
      </c>
      <c r="B192">
        <v>4102.5347987571304</v>
      </c>
      <c r="C192">
        <v>1599.9515014406199</v>
      </c>
      <c r="D192">
        <v>2191.5216814721002</v>
      </c>
      <c r="E192">
        <v>3885.1170381613101</v>
      </c>
      <c r="F192">
        <v>4496.5507515869303</v>
      </c>
      <c r="G192">
        <v>2795.2030425397302</v>
      </c>
      <c r="H192">
        <v>13464.8740746191</v>
      </c>
      <c r="I192">
        <v>7694.5491109964696</v>
      </c>
      <c r="J192">
        <v>576.03364513625104</v>
      </c>
      <c r="K192">
        <v>386.70182227305497</v>
      </c>
      <c r="L192">
        <v>320.40617106339198</v>
      </c>
      <c r="M192">
        <v>2316.7261288975501</v>
      </c>
      <c r="N192">
        <v>231.03884625886801</v>
      </c>
      <c r="O192">
        <v>269.01272115937502</v>
      </c>
      <c r="P192">
        <v>391.94658748401599</v>
      </c>
      <c r="Q192">
        <v>1349.08007685231</v>
      </c>
      <c r="R192">
        <v>303.383068005768</v>
      </c>
      <c r="S192">
        <v>402.78954086723598</v>
      </c>
      <c r="T192">
        <v>189.60637866091599</v>
      </c>
      <c r="U192">
        <v>260.64261628479397</v>
      </c>
      <c r="V192">
        <v>199.13494825899801</v>
      </c>
      <c r="W192">
        <v>199.42166466846601</v>
      </c>
      <c r="X192">
        <v>199.048884797358</v>
      </c>
      <c r="Y192">
        <v>818.21470335312199</v>
      </c>
      <c r="Z192">
        <v>202.04501581604501</v>
      </c>
      <c r="AA192">
        <v>557.52577204811496</v>
      </c>
      <c r="AB192">
        <v>663.68177791453695</v>
      </c>
      <c r="AC192">
        <v>885.77855853532401</v>
      </c>
      <c r="AD192">
        <v>310.20050414558</v>
      </c>
      <c r="AE192">
        <v>834.57567358179904</v>
      </c>
      <c r="AF192">
        <v>829.24862174193004</v>
      </c>
      <c r="AG192">
        <v>552.46489723049899</v>
      </c>
    </row>
    <row r="193" spans="1:33" x14ac:dyDescent="0.25">
      <c r="A193" s="1">
        <v>44244</v>
      </c>
      <c r="B193">
        <v>3891.0733467432101</v>
      </c>
      <c r="C193">
        <v>1464.5454588135999</v>
      </c>
      <c r="D193">
        <v>2160.3022409693099</v>
      </c>
      <c r="E193">
        <v>3835.9487866929098</v>
      </c>
      <c r="F193">
        <v>3844.6035851575002</v>
      </c>
      <c r="G193">
        <v>2352.3317974996098</v>
      </c>
      <c r="H193">
        <v>12975.6360634132</v>
      </c>
      <c r="I193">
        <v>7354.1051088104196</v>
      </c>
      <c r="J193">
        <v>572.03661654828295</v>
      </c>
      <c r="K193">
        <v>376.61189453547303</v>
      </c>
      <c r="L193">
        <v>307.95346025409401</v>
      </c>
      <c r="M193">
        <v>1899.0677473216699</v>
      </c>
      <c r="N193">
        <v>210.041433603738</v>
      </c>
      <c r="O193">
        <v>264.47567325591803</v>
      </c>
      <c r="P193">
        <v>379.21413029245798</v>
      </c>
      <c r="Q193">
        <v>1058.0757595590101</v>
      </c>
      <c r="R193">
        <v>295.24669299856401</v>
      </c>
      <c r="S193">
        <v>441.44577704452098</v>
      </c>
      <c r="T193">
        <v>193.81590338062799</v>
      </c>
      <c r="U193">
        <v>260.29241344549098</v>
      </c>
      <c r="V193">
        <v>199.43229715048901</v>
      </c>
      <c r="W193">
        <v>195.06385286846199</v>
      </c>
      <c r="X193">
        <v>199.433676476275</v>
      </c>
      <c r="Y193">
        <v>786.81698279388104</v>
      </c>
      <c r="Z193">
        <v>201.17580347144801</v>
      </c>
      <c r="AA193">
        <v>566.46061124309404</v>
      </c>
      <c r="AB193">
        <v>622.61088405477301</v>
      </c>
      <c r="AC193">
        <v>861.370149550169</v>
      </c>
      <c r="AD193">
        <v>304.45191256006399</v>
      </c>
      <c r="AE193">
        <v>825.88078086819303</v>
      </c>
      <c r="AF193">
        <v>851.994034107532</v>
      </c>
      <c r="AG193">
        <v>543.91390372393596</v>
      </c>
    </row>
    <row r="194" spans="1:33" x14ac:dyDescent="0.25">
      <c r="A194" s="1">
        <v>44245</v>
      </c>
      <c r="B194">
        <v>3781.5387656934299</v>
      </c>
      <c r="C194">
        <v>1048.4771947249001</v>
      </c>
      <c r="D194">
        <v>2054.3843294124499</v>
      </c>
      <c r="E194">
        <v>3766.8313935449901</v>
      </c>
      <c r="F194">
        <v>3540.1988255626002</v>
      </c>
      <c r="G194">
        <v>2154.7086424998602</v>
      </c>
      <c r="H194">
        <v>14090.924213705301</v>
      </c>
      <c r="I194">
        <v>6975.3382314607397</v>
      </c>
      <c r="J194">
        <v>567.49574779056195</v>
      </c>
      <c r="K194">
        <v>368.44860147394502</v>
      </c>
      <c r="L194">
        <v>295.56441882320001</v>
      </c>
      <c r="M194">
        <v>1795.99797482538</v>
      </c>
      <c r="N194">
        <v>203.43390355314801</v>
      </c>
      <c r="O194">
        <v>264.23680134128</v>
      </c>
      <c r="P194">
        <v>373.46101523313001</v>
      </c>
      <c r="Q194">
        <v>955.83542467909297</v>
      </c>
      <c r="R194">
        <v>294.821790314542</v>
      </c>
      <c r="S194">
        <v>455.95009134580999</v>
      </c>
      <c r="T194">
        <v>196.18294967363099</v>
      </c>
      <c r="U194">
        <v>266.72335725173798</v>
      </c>
      <c r="V194">
        <v>195.61116894525099</v>
      </c>
      <c r="W194">
        <v>182.39548992518701</v>
      </c>
      <c r="X194">
        <v>195.42915266333901</v>
      </c>
      <c r="Y194">
        <v>758.72252538485395</v>
      </c>
      <c r="Z194">
        <v>204.81957990146</v>
      </c>
      <c r="AA194">
        <v>574.75061462624296</v>
      </c>
      <c r="AB194">
        <v>587.16238303042803</v>
      </c>
      <c r="AC194">
        <v>850.69831389547301</v>
      </c>
      <c r="AD194">
        <v>298.376530729183</v>
      </c>
      <c r="AE194">
        <v>834.37062613490104</v>
      </c>
      <c r="AF194">
        <v>873.55820935902</v>
      </c>
      <c r="AG194">
        <v>534.42884577772099</v>
      </c>
    </row>
    <row r="195" spans="1:33" x14ac:dyDescent="0.25">
      <c r="A195" s="1">
        <v>44246</v>
      </c>
      <c r="B195">
        <v>3684.4742355456001</v>
      </c>
      <c r="C195">
        <v>856.73438201725696</v>
      </c>
      <c r="D195">
        <v>1933.45208908789</v>
      </c>
      <c r="E195">
        <v>3674.5309165622202</v>
      </c>
      <c r="F195">
        <v>3572.8043313503399</v>
      </c>
      <c r="G195">
        <v>2453.0597442615399</v>
      </c>
      <c r="H195">
        <v>15739.2735069761</v>
      </c>
      <c r="I195">
        <v>6752.3442945220504</v>
      </c>
      <c r="J195">
        <v>558.78660980990799</v>
      </c>
      <c r="K195">
        <v>364.567556091016</v>
      </c>
      <c r="L195">
        <v>292.63232876767</v>
      </c>
      <c r="M195">
        <v>1952.5902204823201</v>
      </c>
      <c r="N195">
        <v>203.78793059855599</v>
      </c>
      <c r="O195">
        <v>262.45946947832903</v>
      </c>
      <c r="P195">
        <v>373.708647391152</v>
      </c>
      <c r="Q195">
        <v>1024.88004294495</v>
      </c>
      <c r="R195">
        <v>296.19206611939501</v>
      </c>
      <c r="S195">
        <v>441.66784817299202</v>
      </c>
      <c r="T195">
        <v>194.788618647525</v>
      </c>
      <c r="U195">
        <v>269.79276085995599</v>
      </c>
      <c r="V195">
        <v>184.41096166801299</v>
      </c>
      <c r="W195">
        <v>170.688026526117</v>
      </c>
      <c r="X195">
        <v>183.46601219802301</v>
      </c>
      <c r="Y195">
        <v>729.97084361580505</v>
      </c>
      <c r="Z195">
        <v>207.026529852414</v>
      </c>
      <c r="AA195">
        <v>566.30239487688698</v>
      </c>
      <c r="AB195">
        <v>545.61018289431297</v>
      </c>
      <c r="AC195">
        <v>849.16752217221097</v>
      </c>
      <c r="AD195">
        <v>290.94369011628299</v>
      </c>
      <c r="AE195">
        <v>816.20779007513704</v>
      </c>
      <c r="AF195">
        <v>882.27414968717801</v>
      </c>
      <c r="AG195">
        <v>532.43403192233905</v>
      </c>
    </row>
    <row r="196" spans="1:33" x14ac:dyDescent="0.25">
      <c r="A196" s="1">
        <v>44247</v>
      </c>
      <c r="B196">
        <v>3609.02187135342</v>
      </c>
      <c r="C196">
        <v>880.59085242936101</v>
      </c>
      <c r="D196">
        <v>1689.9982579812499</v>
      </c>
      <c r="E196">
        <v>3622.6584394781698</v>
      </c>
      <c r="F196">
        <v>3894.3586665245198</v>
      </c>
      <c r="G196">
        <v>2722.9162247139102</v>
      </c>
      <c r="H196">
        <v>16516.800591512601</v>
      </c>
      <c r="I196">
        <v>6481.0464466297799</v>
      </c>
      <c r="J196">
        <v>542.61354874452002</v>
      </c>
      <c r="K196">
        <v>370.49002300413599</v>
      </c>
      <c r="L196">
        <v>298.29597558269001</v>
      </c>
      <c r="M196">
        <v>2228.2181574378001</v>
      </c>
      <c r="N196">
        <v>214.90124209331</v>
      </c>
      <c r="O196">
        <v>269.65485680455299</v>
      </c>
      <c r="P196">
        <v>390.643365956769</v>
      </c>
      <c r="Q196">
        <v>1195.9223191686999</v>
      </c>
      <c r="R196">
        <v>302.74000040671001</v>
      </c>
      <c r="S196">
        <v>430.94188086822498</v>
      </c>
      <c r="T196">
        <v>190.60378439491001</v>
      </c>
      <c r="U196">
        <v>267.986988439252</v>
      </c>
      <c r="V196">
        <v>173.90086302114699</v>
      </c>
      <c r="W196">
        <v>179.629246450068</v>
      </c>
      <c r="X196">
        <v>173.315539672406</v>
      </c>
      <c r="Y196">
        <v>675.94342279602495</v>
      </c>
      <c r="Z196">
        <v>208.519155898598</v>
      </c>
      <c r="AA196">
        <v>537.08066169569599</v>
      </c>
      <c r="AB196">
        <v>588.449091565412</v>
      </c>
      <c r="AC196">
        <v>848.34309381851904</v>
      </c>
      <c r="AD196">
        <v>286.69643891228901</v>
      </c>
      <c r="AE196">
        <v>839.15291106139603</v>
      </c>
      <c r="AF196">
        <v>882.92409832268697</v>
      </c>
      <c r="AG196">
        <v>532.79477447250304</v>
      </c>
    </row>
    <row r="197" spans="1:33" x14ac:dyDescent="0.25">
      <c r="A197" s="1">
        <v>44248</v>
      </c>
      <c r="B197">
        <v>3528.4225101614302</v>
      </c>
      <c r="C197">
        <v>1136.02395398062</v>
      </c>
      <c r="D197">
        <v>1478.9396575206599</v>
      </c>
      <c r="E197">
        <v>3452.6819914611401</v>
      </c>
      <c r="F197">
        <v>3814.2124438972801</v>
      </c>
      <c r="G197">
        <v>2328.2846590600002</v>
      </c>
      <c r="H197">
        <v>15143.7866774986</v>
      </c>
      <c r="I197">
        <v>6383.71606133978</v>
      </c>
      <c r="J197">
        <v>535.98366386297903</v>
      </c>
      <c r="K197">
        <v>353.95095378395598</v>
      </c>
      <c r="L197">
        <v>291.942438869336</v>
      </c>
      <c r="M197">
        <v>1901.7731781826201</v>
      </c>
      <c r="N197">
        <v>209.46519408462299</v>
      </c>
      <c r="O197">
        <v>260.35515865080401</v>
      </c>
      <c r="P197">
        <v>367.40005856942599</v>
      </c>
      <c r="Q197">
        <v>1001.64446852704</v>
      </c>
      <c r="R197">
        <v>290.87001005420001</v>
      </c>
      <c r="S197">
        <v>463.56457741717702</v>
      </c>
      <c r="T197">
        <v>186.93548777566201</v>
      </c>
      <c r="U197">
        <v>263.43609352513499</v>
      </c>
      <c r="V197">
        <v>174.293379842702</v>
      </c>
      <c r="W197">
        <v>178.62286119131701</v>
      </c>
      <c r="X197">
        <v>176.521761001784</v>
      </c>
      <c r="Y197">
        <v>701.73460044257195</v>
      </c>
      <c r="Z197">
        <v>210.418095485268</v>
      </c>
      <c r="AA197">
        <v>523.02318557091201</v>
      </c>
      <c r="AB197">
        <v>578.58429413447595</v>
      </c>
      <c r="AC197">
        <v>841.57504053405</v>
      </c>
      <c r="AD197">
        <v>284.04204708488999</v>
      </c>
      <c r="AE197">
        <v>695.43274381201604</v>
      </c>
      <c r="AF197">
        <v>897.29752604033695</v>
      </c>
      <c r="AG197">
        <v>518.57396550222597</v>
      </c>
    </row>
    <row r="198" spans="1:33" x14ac:dyDescent="0.25">
      <c r="A198" s="1">
        <v>44249</v>
      </c>
      <c r="B198">
        <v>3311.6851174562998</v>
      </c>
      <c r="C198">
        <v>871.43009368644903</v>
      </c>
      <c r="D198">
        <v>1397.7270706527499</v>
      </c>
      <c r="E198">
        <v>3260.5451292822499</v>
      </c>
      <c r="F198">
        <v>3799.4856870034901</v>
      </c>
      <c r="G198">
        <v>3092.1996351980501</v>
      </c>
      <c r="H198">
        <v>16868.775765493599</v>
      </c>
      <c r="I198">
        <v>6213.5803502787203</v>
      </c>
      <c r="J198">
        <v>516.50797616275202</v>
      </c>
      <c r="K198">
        <v>355.951738374743</v>
      </c>
      <c r="L198">
        <v>288.43040803259902</v>
      </c>
      <c r="M198">
        <v>2496.3863447463</v>
      </c>
      <c r="N198">
        <v>229.761808968455</v>
      </c>
      <c r="O198">
        <v>263.35062239635897</v>
      </c>
      <c r="P198">
        <v>376.51770872327</v>
      </c>
      <c r="Q198">
        <v>1427.6207729221401</v>
      </c>
      <c r="R198">
        <v>293.58126967244101</v>
      </c>
      <c r="S198">
        <v>468.114932430919</v>
      </c>
      <c r="T198">
        <v>188.065490759639</v>
      </c>
      <c r="U198">
        <v>263.61827061734198</v>
      </c>
      <c r="V198">
        <v>180.83189685393501</v>
      </c>
      <c r="W198">
        <v>180.24375931946599</v>
      </c>
      <c r="X198">
        <v>180.250309285935</v>
      </c>
      <c r="Y198">
        <v>663.84579321595197</v>
      </c>
      <c r="Z198">
        <v>212.10469755785601</v>
      </c>
      <c r="AA198">
        <v>532.75155026580103</v>
      </c>
      <c r="AB198">
        <v>567.14802790864098</v>
      </c>
      <c r="AC198">
        <v>840.33023845135301</v>
      </c>
      <c r="AD198">
        <v>279.539630338797</v>
      </c>
      <c r="AE198">
        <v>627.942999903805</v>
      </c>
      <c r="AF198">
        <v>900.95467079845196</v>
      </c>
      <c r="AG198">
        <v>495.678979820851</v>
      </c>
    </row>
    <row r="199" spans="1:33" x14ac:dyDescent="0.25">
      <c r="A199" s="1">
        <v>44250</v>
      </c>
      <c r="B199">
        <v>3106.3608803314701</v>
      </c>
      <c r="C199">
        <v>1110.9465140101599</v>
      </c>
      <c r="D199">
        <v>1376.06239347579</v>
      </c>
      <c r="E199">
        <v>3198.2455840113698</v>
      </c>
      <c r="F199">
        <v>4541.6707934327696</v>
      </c>
      <c r="G199">
        <v>4313.9162657260104</v>
      </c>
      <c r="H199">
        <v>18544.761840872099</v>
      </c>
      <c r="I199">
        <v>6235.38800494924</v>
      </c>
      <c r="J199">
        <v>495.143283567769</v>
      </c>
      <c r="K199">
        <v>364.20575995322997</v>
      </c>
      <c r="L199">
        <v>289.74657483042398</v>
      </c>
      <c r="M199">
        <v>3347.4306535939199</v>
      </c>
      <c r="N199">
        <v>284.03254999399201</v>
      </c>
      <c r="O199">
        <v>271.71012589054499</v>
      </c>
      <c r="P199">
        <v>390.113952300525</v>
      </c>
      <c r="Q199">
        <v>2068.3849317003701</v>
      </c>
      <c r="R199">
        <v>297.62610622593502</v>
      </c>
      <c r="S199">
        <v>447.04958009212902</v>
      </c>
      <c r="T199">
        <v>188.27035443151101</v>
      </c>
      <c r="U199">
        <v>263.29038063946598</v>
      </c>
      <c r="V199">
        <v>173.439766361295</v>
      </c>
      <c r="W199">
        <v>181.144715235284</v>
      </c>
      <c r="X199">
        <v>170.52045162242899</v>
      </c>
      <c r="Y199">
        <v>635.03777793215204</v>
      </c>
      <c r="Z199">
        <v>211.50458535665501</v>
      </c>
      <c r="AA199">
        <v>525.04414687937503</v>
      </c>
      <c r="AB199">
        <v>557.34911194588506</v>
      </c>
      <c r="AC199">
        <v>832.432790773806</v>
      </c>
      <c r="AD199">
        <v>279.43828729372598</v>
      </c>
      <c r="AE199">
        <v>750.79827353696601</v>
      </c>
      <c r="AF199">
        <v>898.54540026453901</v>
      </c>
      <c r="AG199">
        <v>485.29494044823798</v>
      </c>
    </row>
    <row r="200" spans="1:33" x14ac:dyDescent="0.25">
      <c r="A200" s="1">
        <v>44251</v>
      </c>
      <c r="B200">
        <v>3016.9863737648998</v>
      </c>
      <c r="C200">
        <v>1594.54610913174</v>
      </c>
      <c r="D200">
        <v>1355.90064839612</v>
      </c>
      <c r="E200">
        <v>3186.0555132232798</v>
      </c>
      <c r="F200">
        <v>5326.5601616518497</v>
      </c>
      <c r="G200">
        <v>4782.2721727772296</v>
      </c>
      <c r="H200">
        <v>18373.1059381784</v>
      </c>
      <c r="I200">
        <v>6758.4863394774502</v>
      </c>
      <c r="J200">
        <v>483.66130084355001</v>
      </c>
      <c r="K200">
        <v>362.90535038349799</v>
      </c>
      <c r="L200">
        <v>290.03565733986198</v>
      </c>
      <c r="M200">
        <v>3570.6809932779502</v>
      </c>
      <c r="N200">
        <v>294.29886576391198</v>
      </c>
      <c r="O200">
        <v>276.89320462825799</v>
      </c>
      <c r="P200">
        <v>391.10580858616999</v>
      </c>
      <c r="Q200">
        <v>2305.61859134101</v>
      </c>
      <c r="R200">
        <v>294.93703109330602</v>
      </c>
      <c r="S200">
        <v>413.72920633619401</v>
      </c>
      <c r="T200">
        <v>188.80573284695799</v>
      </c>
      <c r="U200">
        <v>262.66504529322901</v>
      </c>
      <c r="V200">
        <v>183.46570068767301</v>
      </c>
      <c r="W200">
        <v>167.626841528505</v>
      </c>
      <c r="X200">
        <v>181.70988606026401</v>
      </c>
      <c r="Y200">
        <v>650.62493680228897</v>
      </c>
      <c r="Z200">
        <v>208.572776013495</v>
      </c>
      <c r="AA200">
        <v>503.89981786645598</v>
      </c>
      <c r="AB200">
        <v>565.28800314814805</v>
      </c>
      <c r="AC200">
        <v>793.78736809048098</v>
      </c>
      <c r="AD200">
        <v>278.28030478873598</v>
      </c>
      <c r="AE200">
        <v>843.320696733624</v>
      </c>
      <c r="AF200">
        <v>894.95333218683004</v>
      </c>
      <c r="AG200">
        <v>483.29506881189798</v>
      </c>
    </row>
    <row r="201" spans="1:33" x14ac:dyDescent="0.25">
      <c r="A201" s="1">
        <v>44252</v>
      </c>
      <c r="B201">
        <v>2978.94395515419</v>
      </c>
      <c r="C201">
        <v>1857.31848051411</v>
      </c>
      <c r="D201">
        <v>1402.3497338745999</v>
      </c>
      <c r="E201">
        <v>3262.3316107954302</v>
      </c>
      <c r="F201">
        <v>5585.84204871981</v>
      </c>
      <c r="G201">
        <v>4742.7716425327499</v>
      </c>
      <c r="H201">
        <v>17506.847989970502</v>
      </c>
      <c r="I201">
        <v>7393.3242172980499</v>
      </c>
      <c r="J201">
        <v>476.38463307524597</v>
      </c>
      <c r="K201">
        <v>354.72982367497701</v>
      </c>
      <c r="L201">
        <v>285.858323977287</v>
      </c>
      <c r="M201">
        <v>3622.3409253346899</v>
      </c>
      <c r="N201">
        <v>345.97409546134901</v>
      </c>
      <c r="O201">
        <v>275.41062520076099</v>
      </c>
      <c r="P201">
        <v>375.71567847713197</v>
      </c>
      <c r="Q201">
        <v>2407.77131522025</v>
      </c>
      <c r="R201">
        <v>292.02649965414201</v>
      </c>
      <c r="S201">
        <v>426.34590959090599</v>
      </c>
      <c r="T201">
        <v>189.46006807103001</v>
      </c>
      <c r="U201">
        <v>261.92089957404102</v>
      </c>
      <c r="V201">
        <v>178.87488406838099</v>
      </c>
      <c r="W201">
        <v>169.64245617618499</v>
      </c>
      <c r="X201">
        <v>172.17263517438701</v>
      </c>
      <c r="Y201">
        <v>686.61156003846895</v>
      </c>
      <c r="Z201">
        <v>206.86694373061599</v>
      </c>
      <c r="AA201">
        <v>489.714069770268</v>
      </c>
      <c r="AB201">
        <v>583.15029007501596</v>
      </c>
      <c r="AC201">
        <v>793.33204082289706</v>
      </c>
      <c r="AD201">
        <v>277.95887904659202</v>
      </c>
      <c r="AE201">
        <v>858.26825461093802</v>
      </c>
      <c r="AF201">
        <v>892.90222700535605</v>
      </c>
      <c r="AG201">
        <v>480.89013648245799</v>
      </c>
    </row>
    <row r="202" spans="1:33" x14ac:dyDescent="0.25">
      <c r="A202" s="1">
        <v>44253</v>
      </c>
      <c r="B202">
        <v>2953.8910927123202</v>
      </c>
      <c r="C202">
        <v>1885.35469680246</v>
      </c>
      <c r="D202">
        <v>1476.84731731856</v>
      </c>
      <c r="E202">
        <v>3238.6687642872398</v>
      </c>
      <c r="F202">
        <v>5745.8808451274799</v>
      </c>
      <c r="G202">
        <v>4838.65278588002</v>
      </c>
      <c r="H202">
        <v>17386.807101664101</v>
      </c>
      <c r="I202">
        <v>7574.3758566309198</v>
      </c>
      <c r="J202">
        <v>466.40914583333699</v>
      </c>
      <c r="K202">
        <v>349.692287657669</v>
      </c>
      <c r="L202">
        <v>285.209442675925</v>
      </c>
      <c r="M202">
        <v>3820.4119709565898</v>
      </c>
      <c r="N202">
        <v>370.65883471183702</v>
      </c>
      <c r="O202">
        <v>271.43047431221498</v>
      </c>
      <c r="P202">
        <v>369.96567111700199</v>
      </c>
      <c r="Q202">
        <v>2455.8640547608402</v>
      </c>
      <c r="R202">
        <v>288.94423415406197</v>
      </c>
      <c r="S202">
        <v>432.87419354967</v>
      </c>
      <c r="T202">
        <v>187.28964513463001</v>
      </c>
      <c r="U202">
        <v>261.136620033138</v>
      </c>
      <c r="V202">
        <v>177.017419116882</v>
      </c>
      <c r="W202">
        <v>180.08487795970001</v>
      </c>
      <c r="X202">
        <v>173.69195264078201</v>
      </c>
      <c r="Y202">
        <v>703.63115654832598</v>
      </c>
      <c r="Z202">
        <v>206.156278761187</v>
      </c>
      <c r="AA202">
        <v>484.40311662817101</v>
      </c>
      <c r="AB202">
        <v>595.55906729646495</v>
      </c>
      <c r="AC202">
        <v>816.33302659627304</v>
      </c>
      <c r="AD202">
        <v>277.529169720798</v>
      </c>
      <c r="AE202">
        <v>895.331368395033</v>
      </c>
      <c r="AF202">
        <v>888.59712462740401</v>
      </c>
      <c r="AG202">
        <v>477.04317421452703</v>
      </c>
    </row>
    <row r="203" spans="1:33" x14ac:dyDescent="0.25">
      <c r="A203" s="1">
        <v>44254</v>
      </c>
      <c r="B203">
        <v>2986.5742201839198</v>
      </c>
      <c r="C203">
        <v>2095.91604075138</v>
      </c>
      <c r="D203">
        <v>1577.2413044393199</v>
      </c>
      <c r="E203">
        <v>3163.8725475555402</v>
      </c>
      <c r="F203">
        <v>5514.7544190899898</v>
      </c>
      <c r="G203">
        <v>4397.8939392615102</v>
      </c>
      <c r="H203">
        <v>15939.1715923141</v>
      </c>
      <c r="I203">
        <v>7744.8989152840404</v>
      </c>
      <c r="J203">
        <v>460.38933590782301</v>
      </c>
      <c r="K203">
        <v>342.65640502209902</v>
      </c>
      <c r="L203">
        <v>283.37640293347903</v>
      </c>
      <c r="M203">
        <v>3315.1012466146999</v>
      </c>
      <c r="N203">
        <v>324.67891832063401</v>
      </c>
      <c r="O203">
        <v>268.36541310991203</v>
      </c>
      <c r="P203">
        <v>358.50700699600401</v>
      </c>
      <c r="Q203">
        <v>2252.1601267685601</v>
      </c>
      <c r="R203">
        <v>283.59166713896599</v>
      </c>
      <c r="S203">
        <v>440.118183429645</v>
      </c>
      <c r="T203">
        <v>186.87653479252199</v>
      </c>
      <c r="U203">
        <v>260.79969789360501</v>
      </c>
      <c r="V203">
        <v>178.713817089933</v>
      </c>
      <c r="W203">
        <v>180.13450570848701</v>
      </c>
      <c r="X203">
        <v>178.21273708064899</v>
      </c>
      <c r="Y203">
        <v>710.21012137828802</v>
      </c>
      <c r="Z203">
        <v>205.07119757260801</v>
      </c>
      <c r="AA203">
        <v>480.18670716504897</v>
      </c>
      <c r="AB203">
        <v>587.95772588407499</v>
      </c>
      <c r="AC203">
        <v>837.20313247507499</v>
      </c>
      <c r="AD203">
        <v>276.533726144171</v>
      </c>
      <c r="AE203">
        <v>943.61473749366303</v>
      </c>
      <c r="AF203">
        <v>883.34386262595694</v>
      </c>
      <c r="AG203">
        <v>471.913398450427</v>
      </c>
    </row>
    <row r="204" spans="1:33" x14ac:dyDescent="0.25">
      <c r="A204" s="1">
        <v>44255</v>
      </c>
      <c r="B204">
        <v>2973.99173086267</v>
      </c>
      <c r="C204">
        <v>2090.7372629317902</v>
      </c>
      <c r="D204">
        <v>1740.3253850476799</v>
      </c>
      <c r="E204">
        <v>3195.7234143783298</v>
      </c>
      <c r="F204">
        <v>5632.90938106883</v>
      </c>
      <c r="G204">
        <v>4799.9440255469799</v>
      </c>
      <c r="H204">
        <v>16264.4098198432</v>
      </c>
      <c r="I204">
        <v>7806.4545398542105</v>
      </c>
      <c r="J204">
        <v>449.76939510387399</v>
      </c>
      <c r="K204">
        <v>340.47221540432997</v>
      </c>
      <c r="L204">
        <v>282.78535808492597</v>
      </c>
      <c r="M204">
        <v>3737.5394283969099</v>
      </c>
      <c r="N204">
        <v>383.83714569526001</v>
      </c>
      <c r="O204">
        <v>267.87605253703902</v>
      </c>
      <c r="P204">
        <v>359.62219003116002</v>
      </c>
      <c r="Q204">
        <v>2508.35703500415</v>
      </c>
      <c r="R204">
        <v>282.59140713752902</v>
      </c>
      <c r="S204">
        <v>439.031086857861</v>
      </c>
      <c r="T204">
        <v>188.754582718748</v>
      </c>
      <c r="U204">
        <v>260.13678530393003</v>
      </c>
      <c r="V204">
        <v>184.11079788755899</v>
      </c>
      <c r="W204">
        <v>180.210976887854</v>
      </c>
      <c r="X204">
        <v>180.877399426051</v>
      </c>
      <c r="Y204">
        <v>704.77123099714504</v>
      </c>
      <c r="Z204">
        <v>205.01120477898701</v>
      </c>
      <c r="AA204">
        <v>482.61588955160801</v>
      </c>
      <c r="AB204">
        <v>600.43753542726699</v>
      </c>
      <c r="AC204">
        <v>850.66262240943297</v>
      </c>
      <c r="AD204">
        <v>276.006604576283</v>
      </c>
      <c r="AE204">
        <v>960.45916602990201</v>
      </c>
      <c r="AF204">
        <v>879.05394257837099</v>
      </c>
      <c r="AG204">
        <v>468.09939498938201</v>
      </c>
    </row>
    <row r="205" spans="1:33" x14ac:dyDescent="0.25">
      <c r="A205" s="1">
        <v>44256</v>
      </c>
      <c r="B205">
        <v>2966.5801945343301</v>
      </c>
      <c r="C205">
        <v>2269.9871513201801</v>
      </c>
      <c r="D205">
        <v>1881.11733972196</v>
      </c>
      <c r="E205">
        <v>3277.8390745400802</v>
      </c>
      <c r="F205">
        <v>6298.5535829256596</v>
      </c>
      <c r="G205">
        <v>5503.0971879706303</v>
      </c>
      <c r="H205">
        <v>17366.575625743</v>
      </c>
      <c r="I205">
        <v>7986.0489867515898</v>
      </c>
      <c r="J205">
        <v>440.69222777539102</v>
      </c>
      <c r="K205">
        <v>343.323123548225</v>
      </c>
      <c r="L205">
        <v>283.95068472521302</v>
      </c>
      <c r="M205">
        <v>4446.81517807623</v>
      </c>
      <c r="N205">
        <v>496.76029345268699</v>
      </c>
      <c r="O205">
        <v>267.46410529118799</v>
      </c>
      <c r="P205">
        <v>367.83644103988502</v>
      </c>
      <c r="Q205">
        <v>2981.9618571641699</v>
      </c>
      <c r="R205">
        <v>282.94547548736</v>
      </c>
      <c r="S205">
        <v>418.37476277155901</v>
      </c>
      <c r="T205">
        <v>189.927136497654</v>
      </c>
      <c r="U205">
        <v>258.33473781567301</v>
      </c>
      <c r="V205">
        <v>185.308750277831</v>
      </c>
      <c r="W205">
        <v>180.11606695942501</v>
      </c>
      <c r="X205">
        <v>180.903801311834</v>
      </c>
      <c r="Y205">
        <v>687.25136164480796</v>
      </c>
      <c r="Z205">
        <v>203.31283340631001</v>
      </c>
      <c r="AA205">
        <v>480.12655068833601</v>
      </c>
      <c r="AB205">
        <v>577.97369166176702</v>
      </c>
      <c r="AC205">
        <v>863.23501014039402</v>
      </c>
      <c r="AD205">
        <v>275.65741084402998</v>
      </c>
      <c r="AE205">
        <v>935.04697472050998</v>
      </c>
      <c r="AF205">
        <v>875.59347551820395</v>
      </c>
      <c r="AG205">
        <v>465.84602057514002</v>
      </c>
    </row>
    <row r="206" spans="1:33" x14ac:dyDescent="0.25">
      <c r="A206" s="1">
        <v>44257</v>
      </c>
      <c r="B206">
        <v>3000.5271460781701</v>
      </c>
      <c r="C206">
        <v>2719.3369103722498</v>
      </c>
      <c r="D206">
        <v>1997.1954603629599</v>
      </c>
      <c r="E206">
        <v>3408.98723011538</v>
      </c>
      <c r="F206">
        <v>7246.4495246348097</v>
      </c>
      <c r="G206">
        <v>6543.3471275642796</v>
      </c>
      <c r="H206">
        <v>18864.074988928001</v>
      </c>
      <c r="I206">
        <v>8314.0814867335102</v>
      </c>
      <c r="J206">
        <v>432.81788491026998</v>
      </c>
      <c r="K206">
        <v>356.80265330622501</v>
      </c>
      <c r="L206">
        <v>284.43924120741701</v>
      </c>
      <c r="M206">
        <v>5314.4952632853001</v>
      </c>
      <c r="N206">
        <v>660.72918272623895</v>
      </c>
      <c r="O206">
        <v>272.03711258957401</v>
      </c>
      <c r="P206">
        <v>390.844266931851</v>
      </c>
      <c r="Q206">
        <v>3733.3843607086101</v>
      </c>
      <c r="R206">
        <v>285.30430011531303</v>
      </c>
      <c r="S206">
        <v>395.09734087563299</v>
      </c>
      <c r="T206">
        <v>191.20097581270699</v>
      </c>
      <c r="U206">
        <v>259.04770259827598</v>
      </c>
      <c r="V206">
        <v>186.61307451305399</v>
      </c>
      <c r="W206">
        <v>180.43654976974599</v>
      </c>
      <c r="X206">
        <v>181.18798798100701</v>
      </c>
      <c r="Y206">
        <v>672.80109402928497</v>
      </c>
      <c r="Z206">
        <v>201.26691832279499</v>
      </c>
      <c r="AA206">
        <v>474.604490560334</v>
      </c>
      <c r="AB206">
        <v>557.55320130437099</v>
      </c>
      <c r="AC206">
        <v>880.00568667874995</v>
      </c>
      <c r="AD206">
        <v>275.28348583109698</v>
      </c>
      <c r="AE206">
        <v>894.50711258308399</v>
      </c>
      <c r="AF206">
        <v>873.254682319008</v>
      </c>
      <c r="AG206">
        <v>462.31092822802202</v>
      </c>
    </row>
    <row r="207" spans="1:33" x14ac:dyDescent="0.25">
      <c r="A207" s="1">
        <v>44258</v>
      </c>
      <c r="B207">
        <v>3089.77628970466</v>
      </c>
      <c r="C207">
        <v>3547.27462611495</v>
      </c>
      <c r="D207">
        <v>2130.7319887528602</v>
      </c>
      <c r="E207">
        <v>3710.0568009980202</v>
      </c>
      <c r="F207">
        <v>8098.21598028059</v>
      </c>
      <c r="G207">
        <v>7778.2541301748297</v>
      </c>
      <c r="H207">
        <v>20925.9240713728</v>
      </c>
      <c r="I207">
        <v>8758.1967296620205</v>
      </c>
      <c r="J207">
        <v>428.19354712046601</v>
      </c>
      <c r="K207">
        <v>385.38511135091801</v>
      </c>
      <c r="L207">
        <v>285.26306198010201</v>
      </c>
      <c r="M207">
        <v>6435.5226229548598</v>
      </c>
      <c r="N207">
        <v>950.782673577727</v>
      </c>
      <c r="O207">
        <v>276.96298375959299</v>
      </c>
      <c r="P207">
        <v>439.53244104270698</v>
      </c>
      <c r="Q207">
        <v>4707.7450365125896</v>
      </c>
      <c r="R207">
        <v>289.62583885777599</v>
      </c>
      <c r="S207">
        <v>367.60660999666197</v>
      </c>
      <c r="T207">
        <v>193.572659718902</v>
      </c>
      <c r="U207">
        <v>257.49659967086097</v>
      </c>
      <c r="V207">
        <v>190.10432397743</v>
      </c>
      <c r="W207">
        <v>184.54487973566299</v>
      </c>
      <c r="X207">
        <v>181.593747043598</v>
      </c>
      <c r="Y207">
        <v>661.73760083558795</v>
      </c>
      <c r="Z207">
        <v>200.24190237268601</v>
      </c>
      <c r="AA207">
        <v>469.73962701385801</v>
      </c>
      <c r="AB207">
        <v>555.61109019742105</v>
      </c>
      <c r="AC207">
        <v>896.91809394157599</v>
      </c>
      <c r="AD207">
        <v>275.74955511409797</v>
      </c>
      <c r="AE207">
        <v>955.01831729707499</v>
      </c>
      <c r="AF207">
        <v>870.24678047480404</v>
      </c>
      <c r="AG207">
        <v>462.14929550087697</v>
      </c>
    </row>
    <row r="208" spans="1:33" x14ac:dyDescent="0.25">
      <c r="A208" s="1">
        <v>44259</v>
      </c>
      <c r="B208">
        <v>3226.2048262517001</v>
      </c>
      <c r="C208">
        <v>4641.4062051312103</v>
      </c>
      <c r="D208">
        <v>2288.2440215469001</v>
      </c>
      <c r="E208">
        <v>3759.8433003537498</v>
      </c>
      <c r="F208">
        <v>8515.1196181532996</v>
      </c>
      <c r="G208">
        <v>7062.3495213851402</v>
      </c>
      <c r="H208">
        <v>19426.5563790335</v>
      </c>
      <c r="I208">
        <v>9143.2204680438608</v>
      </c>
      <c r="J208">
        <v>428.83219828233399</v>
      </c>
      <c r="K208">
        <v>388.76841916275902</v>
      </c>
      <c r="L208">
        <v>290.23986781507699</v>
      </c>
      <c r="M208">
        <v>5916.3779716068102</v>
      </c>
      <c r="N208">
        <v>947.52416053913601</v>
      </c>
      <c r="O208">
        <v>268.77248547073901</v>
      </c>
      <c r="P208">
        <v>435.37825233443903</v>
      </c>
      <c r="Q208">
        <v>4312.23117469318</v>
      </c>
      <c r="R208">
        <v>286.98543822348898</v>
      </c>
      <c r="S208">
        <v>364.160541725337</v>
      </c>
      <c r="T208">
        <v>193.70737294932599</v>
      </c>
      <c r="U208">
        <v>253.90548926506901</v>
      </c>
      <c r="V208">
        <v>187.43964616164001</v>
      </c>
      <c r="W208">
        <v>179.63082229463501</v>
      </c>
      <c r="X208">
        <v>181.07270686970699</v>
      </c>
      <c r="Y208">
        <v>699.39414362819605</v>
      </c>
      <c r="Z208">
        <v>198.275949987529</v>
      </c>
      <c r="AA208">
        <v>457.77594548655998</v>
      </c>
      <c r="AB208">
        <v>591.544828567379</v>
      </c>
      <c r="AC208">
        <v>893.21206475157896</v>
      </c>
      <c r="AD208">
        <v>277.80258339383101</v>
      </c>
      <c r="AE208">
        <v>967.02252386475595</v>
      </c>
      <c r="AF208">
        <v>864.51338101987903</v>
      </c>
      <c r="AG208">
        <v>470.57153305180998</v>
      </c>
    </row>
    <row r="209" spans="1:33" x14ac:dyDescent="0.25">
      <c r="A209" s="1">
        <v>44260</v>
      </c>
      <c r="B209">
        <v>3363.2021601354199</v>
      </c>
      <c r="C209">
        <v>4201.7870282803497</v>
      </c>
      <c r="D209">
        <v>2635.5143059317602</v>
      </c>
      <c r="E209">
        <v>3797.5885379768301</v>
      </c>
      <c r="F209">
        <v>8189.8432862706904</v>
      </c>
      <c r="G209">
        <v>6535.8775188866903</v>
      </c>
      <c r="H209">
        <v>18717.672790295201</v>
      </c>
      <c r="I209">
        <v>9428.5374323329506</v>
      </c>
      <c r="J209">
        <v>429.41852775513502</v>
      </c>
      <c r="K209">
        <v>384.451102921011</v>
      </c>
      <c r="L209">
        <v>288.49227147690499</v>
      </c>
      <c r="M209">
        <v>5456.1779008232497</v>
      </c>
      <c r="N209">
        <v>816.50252399105398</v>
      </c>
      <c r="O209">
        <v>260.548965289264</v>
      </c>
      <c r="P209">
        <v>423.41775319018399</v>
      </c>
      <c r="Q209">
        <v>3888.6665582904302</v>
      </c>
      <c r="R209">
        <v>281.177373333307</v>
      </c>
      <c r="S209">
        <v>367.677396126632</v>
      </c>
      <c r="T209">
        <v>193.28477352817399</v>
      </c>
      <c r="U209">
        <v>251.78794580100401</v>
      </c>
      <c r="V209">
        <v>190.97830209358699</v>
      </c>
      <c r="W209">
        <v>176.86104833553401</v>
      </c>
      <c r="X209">
        <v>184.97610983413401</v>
      </c>
      <c r="Y209">
        <v>764.78070211790703</v>
      </c>
      <c r="Z209">
        <v>198.48362844538801</v>
      </c>
      <c r="AA209">
        <v>454.84505813854503</v>
      </c>
      <c r="AB209">
        <v>669.77616470289297</v>
      </c>
      <c r="AC209">
        <v>877.22126050069699</v>
      </c>
      <c r="AD209">
        <v>279.03780185417401</v>
      </c>
      <c r="AE209">
        <v>944.32776150035704</v>
      </c>
      <c r="AF209">
        <v>857.52842536255196</v>
      </c>
      <c r="AG209">
        <v>480.65104599972801</v>
      </c>
    </row>
    <row r="210" spans="1:33" x14ac:dyDescent="0.25">
      <c r="A210" s="1">
        <v>44261</v>
      </c>
      <c r="B210">
        <v>3438.9175975268699</v>
      </c>
      <c r="C210">
        <v>3924.0082692414198</v>
      </c>
      <c r="D210">
        <v>3098.9896204048</v>
      </c>
      <c r="E210">
        <v>3957.1405017340999</v>
      </c>
      <c r="F210">
        <v>8125.0113608256497</v>
      </c>
      <c r="G210">
        <v>6618.1475064488004</v>
      </c>
      <c r="H210">
        <v>19096.727922410399</v>
      </c>
      <c r="I210">
        <v>9702.4074196072797</v>
      </c>
      <c r="J210">
        <v>428.84501388573102</v>
      </c>
      <c r="K210">
        <v>397.25653993266002</v>
      </c>
      <c r="L210">
        <v>285.89669799171003</v>
      </c>
      <c r="M210">
        <v>5634.0946578149797</v>
      </c>
      <c r="N210">
        <v>878.15830245719906</v>
      </c>
      <c r="O210">
        <v>262.34512400862502</v>
      </c>
      <c r="P210">
        <v>441.216079263994</v>
      </c>
      <c r="Q210">
        <v>4086.9332174635201</v>
      </c>
      <c r="R210">
        <v>283.73178184838798</v>
      </c>
      <c r="S210">
        <v>361.575324517838</v>
      </c>
      <c r="T210">
        <v>194.80065714214999</v>
      </c>
      <c r="U210">
        <v>252.19006166782</v>
      </c>
      <c r="V210">
        <v>189.42027471341899</v>
      </c>
      <c r="W210">
        <v>172.52837531435699</v>
      </c>
      <c r="X210">
        <v>180.00898584786</v>
      </c>
      <c r="Y210">
        <v>754.56719662453895</v>
      </c>
      <c r="Z210">
        <v>199.96291489609999</v>
      </c>
      <c r="AA210">
        <v>457.42073545652801</v>
      </c>
      <c r="AB210">
        <v>668.07194350431803</v>
      </c>
      <c r="AC210">
        <v>883.15330388391999</v>
      </c>
      <c r="AD210">
        <v>278.52342896883403</v>
      </c>
      <c r="AE210">
        <v>919.96070828967004</v>
      </c>
      <c r="AF210">
        <v>855.16698098060397</v>
      </c>
      <c r="AG210">
        <v>483.41601327643002</v>
      </c>
    </row>
    <row r="211" spans="1:33" x14ac:dyDescent="0.25">
      <c r="A211" s="1">
        <v>44262</v>
      </c>
      <c r="B211">
        <v>3512.1107113871899</v>
      </c>
      <c r="C211">
        <v>3950.20067962248</v>
      </c>
      <c r="D211">
        <v>3453.0159307417698</v>
      </c>
      <c r="E211">
        <v>3992.1975332791899</v>
      </c>
      <c r="F211">
        <v>7795.4557468307703</v>
      </c>
      <c r="G211">
        <v>6125.4677480621403</v>
      </c>
      <c r="H211">
        <v>18419.9945188823</v>
      </c>
      <c r="I211">
        <v>9733.8709865891105</v>
      </c>
      <c r="J211">
        <v>428.44720811535097</v>
      </c>
      <c r="K211">
        <v>393.721005619609</v>
      </c>
      <c r="L211">
        <v>286.97151521655798</v>
      </c>
      <c r="M211">
        <v>5248.5877321458802</v>
      </c>
      <c r="N211">
        <v>770.15639850939203</v>
      </c>
      <c r="O211">
        <v>259.97731624423301</v>
      </c>
      <c r="P211">
        <v>439.275426070202</v>
      </c>
      <c r="Q211">
        <v>3798.29546783552</v>
      </c>
      <c r="R211">
        <v>280.45658936821599</v>
      </c>
      <c r="S211">
        <v>363.88011673798502</v>
      </c>
      <c r="T211">
        <v>194.487527378453</v>
      </c>
      <c r="U211">
        <v>249.61435610822099</v>
      </c>
      <c r="V211">
        <v>185.03864375807899</v>
      </c>
      <c r="W211">
        <v>180.89628596370301</v>
      </c>
      <c r="X211">
        <v>175.66704836934801</v>
      </c>
      <c r="Y211">
        <v>790.18248054522701</v>
      </c>
      <c r="Z211">
        <v>200.92078197747301</v>
      </c>
      <c r="AA211">
        <v>456.0375192514</v>
      </c>
      <c r="AB211">
        <v>719.68227502838499</v>
      </c>
      <c r="AC211">
        <v>894.88740875595704</v>
      </c>
      <c r="AD211">
        <v>279.73012704832502</v>
      </c>
      <c r="AE211">
        <v>944.93819526995003</v>
      </c>
      <c r="AF211">
        <v>851.45854598166295</v>
      </c>
      <c r="AG211">
        <v>490.10101797093301</v>
      </c>
    </row>
    <row r="212" spans="1:33" x14ac:dyDescent="0.25">
      <c r="A212" s="1">
        <v>44263</v>
      </c>
      <c r="B212">
        <v>3593.1799991673802</v>
      </c>
      <c r="C212">
        <v>3591.5699014310499</v>
      </c>
      <c r="D212">
        <v>3642.77825757346</v>
      </c>
      <c r="E212">
        <v>4260.97310374263</v>
      </c>
      <c r="F212">
        <v>7637.83780108681</v>
      </c>
      <c r="G212">
        <v>6224.5738039202297</v>
      </c>
      <c r="H212">
        <v>18666.076239146001</v>
      </c>
      <c r="I212">
        <v>9842.1254717727807</v>
      </c>
      <c r="J212">
        <v>427.508644527743</v>
      </c>
      <c r="K212">
        <v>398.49599012073003</v>
      </c>
      <c r="L212">
        <v>285.54289018864</v>
      </c>
      <c r="M212">
        <v>5518.7662344242499</v>
      </c>
      <c r="N212">
        <v>872.04258586098695</v>
      </c>
      <c r="O212">
        <v>263.77824209731</v>
      </c>
      <c r="P212">
        <v>453.48226374801902</v>
      </c>
      <c r="Q212">
        <v>3908.71646896742</v>
      </c>
      <c r="R212">
        <v>283.23505752721002</v>
      </c>
      <c r="S212">
        <v>349.11928996622402</v>
      </c>
      <c r="T212">
        <v>194.87879965289301</v>
      </c>
      <c r="U212">
        <v>243.97060565757701</v>
      </c>
      <c r="V212">
        <v>187.08489399721199</v>
      </c>
      <c r="W212">
        <v>177.84719769003601</v>
      </c>
      <c r="X212">
        <v>173.71973016090001</v>
      </c>
      <c r="Y212">
        <v>792.89186611573405</v>
      </c>
      <c r="Z212">
        <v>201.963760454061</v>
      </c>
      <c r="AA212">
        <v>457.39078912931399</v>
      </c>
      <c r="AB212">
        <v>718.36996051267897</v>
      </c>
      <c r="AC212">
        <v>889.77349293501095</v>
      </c>
      <c r="AD212">
        <v>278.906476558164</v>
      </c>
      <c r="AE212">
        <v>962.13545152482902</v>
      </c>
      <c r="AF212">
        <v>851.05192240219606</v>
      </c>
      <c r="AG212">
        <v>493.43080069287498</v>
      </c>
    </row>
    <row r="213" spans="1:33" x14ac:dyDescent="0.25">
      <c r="A213" s="1">
        <v>44264</v>
      </c>
      <c r="B213">
        <v>3716.1494710728898</v>
      </c>
      <c r="C213">
        <v>3450.1765106674202</v>
      </c>
      <c r="D213">
        <v>3720.8829610426301</v>
      </c>
      <c r="E213">
        <v>4460.6173291945397</v>
      </c>
      <c r="F213">
        <v>7393.2122037278004</v>
      </c>
      <c r="G213">
        <v>6219.5037290403498</v>
      </c>
      <c r="H213">
        <v>18060.4005305391</v>
      </c>
      <c r="I213">
        <v>9887.8130832372408</v>
      </c>
      <c r="J213">
        <v>427.15664198514099</v>
      </c>
      <c r="K213">
        <v>398.91760324204699</v>
      </c>
      <c r="L213">
        <v>284.58232134844002</v>
      </c>
      <c r="M213">
        <v>5283.6723427634697</v>
      </c>
      <c r="N213">
        <v>860.04787508201503</v>
      </c>
      <c r="O213">
        <v>262.87450840432803</v>
      </c>
      <c r="P213">
        <v>446.96228521515599</v>
      </c>
      <c r="Q213">
        <v>3840.4375840089001</v>
      </c>
      <c r="R213">
        <v>282.04593158085999</v>
      </c>
      <c r="S213">
        <v>340.72856444603201</v>
      </c>
      <c r="T213">
        <v>194.496009160124</v>
      </c>
      <c r="U213">
        <v>241.96229095339899</v>
      </c>
      <c r="V213">
        <v>190.81989847313201</v>
      </c>
      <c r="W213">
        <v>173.270053820653</v>
      </c>
      <c r="X213">
        <v>181.26851171931301</v>
      </c>
      <c r="Y213">
        <v>774.45658912173303</v>
      </c>
      <c r="Z213">
        <v>202.20297943079899</v>
      </c>
      <c r="AA213">
        <v>456.73387041291397</v>
      </c>
      <c r="AB213">
        <v>694.75662929867099</v>
      </c>
      <c r="AC213">
        <v>886.17933781413001</v>
      </c>
      <c r="AD213">
        <v>279.67086485358902</v>
      </c>
      <c r="AE213">
        <v>885.97872080034404</v>
      </c>
      <c r="AF213">
        <v>853.34958664433805</v>
      </c>
      <c r="AG213">
        <v>491.33031565217402</v>
      </c>
    </row>
    <row r="214" spans="1:33" x14ac:dyDescent="0.25">
      <c r="A214" s="1">
        <v>44265</v>
      </c>
      <c r="B214">
        <v>3868.5468483893201</v>
      </c>
      <c r="C214">
        <v>3393.00725597375</v>
      </c>
      <c r="D214">
        <v>3716.08619769916</v>
      </c>
      <c r="E214">
        <v>4708.0495503123902</v>
      </c>
      <c r="F214">
        <v>7676.2779833734603</v>
      </c>
      <c r="G214">
        <v>6639.0099235199596</v>
      </c>
      <c r="H214">
        <v>18117.6988111098</v>
      </c>
      <c r="I214">
        <v>9899.9651937101207</v>
      </c>
      <c r="J214">
        <v>427.58426997652901</v>
      </c>
      <c r="K214">
        <v>408.44862215895802</v>
      </c>
      <c r="L214">
        <v>284.858433823604</v>
      </c>
      <c r="M214">
        <v>5587.2522063441702</v>
      </c>
      <c r="N214">
        <v>947.80521189756905</v>
      </c>
      <c r="O214">
        <v>265.516670822761</v>
      </c>
      <c r="P214">
        <v>466.92707448684399</v>
      </c>
      <c r="Q214">
        <v>4075.3339194415698</v>
      </c>
      <c r="R214">
        <v>284.34625970472598</v>
      </c>
      <c r="S214">
        <v>326.42853544168599</v>
      </c>
      <c r="T214">
        <v>195.95705112373699</v>
      </c>
      <c r="U214">
        <v>244.37090090885599</v>
      </c>
      <c r="V214">
        <v>191.42444807752699</v>
      </c>
      <c r="W214">
        <v>169.408979770927</v>
      </c>
      <c r="X214">
        <v>179.32723857697701</v>
      </c>
      <c r="Y214">
        <v>752.74710788274399</v>
      </c>
      <c r="Z214">
        <v>202.50369803545601</v>
      </c>
      <c r="AA214">
        <v>453.54256364285902</v>
      </c>
      <c r="AB214">
        <v>661.44588912571396</v>
      </c>
      <c r="AC214">
        <v>898.09411247395894</v>
      </c>
      <c r="AD214">
        <v>279.76828727904899</v>
      </c>
      <c r="AE214">
        <v>828.36874808062896</v>
      </c>
      <c r="AF214">
        <v>856.532606952734</v>
      </c>
      <c r="AG214">
        <v>490.67288735360302</v>
      </c>
    </row>
    <row r="215" spans="1:33" x14ac:dyDescent="0.25">
      <c r="A215" s="1">
        <v>44266</v>
      </c>
      <c r="B215">
        <v>4032.4481372696901</v>
      </c>
      <c r="C215">
        <v>3451.8069342424601</v>
      </c>
      <c r="D215">
        <v>3613.29807668376</v>
      </c>
      <c r="E215">
        <v>4656.92403060386</v>
      </c>
      <c r="F215">
        <v>7553.4534898960001</v>
      </c>
      <c r="G215">
        <v>6267.2545743717601</v>
      </c>
      <c r="H215">
        <v>17362.868056953801</v>
      </c>
      <c r="I215">
        <v>9933.9319837296207</v>
      </c>
      <c r="J215">
        <v>429.573356624376</v>
      </c>
      <c r="K215">
        <v>402.27864284115401</v>
      </c>
      <c r="L215">
        <v>286.42526386885203</v>
      </c>
      <c r="M215">
        <v>5126.02487163357</v>
      </c>
      <c r="N215">
        <v>786.49211640608803</v>
      </c>
      <c r="O215">
        <v>262.60814483391601</v>
      </c>
      <c r="P215">
        <v>449.58698989306799</v>
      </c>
      <c r="Q215">
        <v>3687.08901082486</v>
      </c>
      <c r="R215">
        <v>281.57314071137802</v>
      </c>
      <c r="S215">
        <v>340.21806355083498</v>
      </c>
      <c r="T215">
        <v>192.91899520810199</v>
      </c>
      <c r="U215">
        <v>244.21358628495801</v>
      </c>
      <c r="V215">
        <v>182.85747337477201</v>
      </c>
      <c r="W215">
        <v>173.29903439637999</v>
      </c>
      <c r="X215">
        <v>173.89150927076301</v>
      </c>
      <c r="Y215">
        <v>774.01933779040303</v>
      </c>
      <c r="Z215">
        <v>201.60772263674201</v>
      </c>
      <c r="AA215">
        <v>450.05388180905499</v>
      </c>
      <c r="AB215">
        <v>682.89732325586294</v>
      </c>
      <c r="AC215">
        <v>897.38626046799902</v>
      </c>
      <c r="AD215">
        <v>280.88976851141803</v>
      </c>
      <c r="AE215">
        <v>849.89748812907305</v>
      </c>
      <c r="AF215">
        <v>860.98882316159597</v>
      </c>
      <c r="AG215">
        <v>497.96325502422201</v>
      </c>
    </row>
    <row r="216" spans="1:33" x14ac:dyDescent="0.25">
      <c r="A216" s="1">
        <v>44267</v>
      </c>
      <c r="B216">
        <v>4176.6136270298903</v>
      </c>
      <c r="C216">
        <v>3244.81779093971</v>
      </c>
      <c r="D216">
        <v>3532.7981089381301</v>
      </c>
      <c r="E216">
        <v>4647.2534464935497</v>
      </c>
      <c r="F216">
        <v>7326.9707210789902</v>
      </c>
      <c r="G216">
        <v>5822.9656094784896</v>
      </c>
      <c r="H216">
        <v>17287.432519227699</v>
      </c>
      <c r="I216">
        <v>9906.9696692892103</v>
      </c>
      <c r="J216">
        <v>431.044850224171</v>
      </c>
      <c r="K216">
        <v>394.44405523596902</v>
      </c>
      <c r="L216">
        <v>287.27003209956098</v>
      </c>
      <c r="M216">
        <v>4777.3589843248201</v>
      </c>
      <c r="N216">
        <v>632.62468524293604</v>
      </c>
      <c r="O216">
        <v>262.51820832163003</v>
      </c>
      <c r="P216">
        <v>434.88796572418698</v>
      </c>
      <c r="Q216">
        <v>3399.2694902049898</v>
      </c>
      <c r="R216">
        <v>280.19706112740499</v>
      </c>
      <c r="S216">
        <v>353.24840366409001</v>
      </c>
      <c r="T216">
        <v>189.63637875747901</v>
      </c>
      <c r="U216">
        <v>244.51492354748001</v>
      </c>
      <c r="V216">
        <v>174.44737217100899</v>
      </c>
      <c r="W216">
        <v>181.54753863171899</v>
      </c>
      <c r="X216">
        <v>168.24290561628101</v>
      </c>
      <c r="Y216">
        <v>801.32215400603002</v>
      </c>
      <c r="Z216">
        <v>201.859526516557</v>
      </c>
      <c r="AA216">
        <v>451.13162436149798</v>
      </c>
      <c r="AB216">
        <v>711.68702452811704</v>
      </c>
      <c r="AC216">
        <v>865.25363603946596</v>
      </c>
      <c r="AD216">
        <v>281.94947604955598</v>
      </c>
      <c r="AE216">
        <v>864.88861173144801</v>
      </c>
      <c r="AF216">
        <v>865.11298035062896</v>
      </c>
      <c r="AG216">
        <v>504.62191695853198</v>
      </c>
    </row>
    <row r="217" spans="1:33" x14ac:dyDescent="0.25">
      <c r="A217" s="1">
        <v>44268</v>
      </c>
      <c r="B217">
        <v>4245.0367109419103</v>
      </c>
      <c r="C217">
        <v>3195.93602402237</v>
      </c>
      <c r="D217">
        <v>3496.42444569695</v>
      </c>
      <c r="E217">
        <v>4687.7301669988101</v>
      </c>
      <c r="F217">
        <v>6955.0188143883297</v>
      </c>
      <c r="G217">
        <v>5709.9315976555999</v>
      </c>
      <c r="H217">
        <v>18140.409821517202</v>
      </c>
      <c r="I217">
        <v>9750.1122716106693</v>
      </c>
      <c r="J217">
        <v>432.38986016264403</v>
      </c>
      <c r="K217">
        <v>389.67821977709201</v>
      </c>
      <c r="L217">
        <v>287.25075143131301</v>
      </c>
      <c r="M217">
        <v>4758.7414674436504</v>
      </c>
      <c r="N217">
        <v>598.29876056218495</v>
      </c>
      <c r="O217">
        <v>264.88298726354202</v>
      </c>
      <c r="P217">
        <v>425.81865559477802</v>
      </c>
      <c r="Q217">
        <v>3353.5141023145502</v>
      </c>
      <c r="R217">
        <v>281.15166404298202</v>
      </c>
      <c r="S217">
        <v>346.83778444491799</v>
      </c>
      <c r="T217">
        <v>189.20477150001301</v>
      </c>
      <c r="U217">
        <v>243.070743267978</v>
      </c>
      <c r="V217">
        <v>184.36953789230799</v>
      </c>
      <c r="W217">
        <v>170.865766222491</v>
      </c>
      <c r="X217">
        <v>182.49147965388701</v>
      </c>
      <c r="Y217">
        <v>823.09264231519205</v>
      </c>
      <c r="Z217">
        <v>202.389343119958</v>
      </c>
      <c r="AA217">
        <v>455.57730991168899</v>
      </c>
      <c r="AB217">
        <v>753.35809870957598</v>
      </c>
      <c r="AC217">
        <v>841.93070246816796</v>
      </c>
      <c r="AD217">
        <v>282.20681126444299</v>
      </c>
      <c r="AE217">
        <v>886.49159064052697</v>
      </c>
      <c r="AF217">
        <v>868.305731103771</v>
      </c>
      <c r="AG217">
        <v>514.81260816562201</v>
      </c>
    </row>
    <row r="218" spans="1:33" x14ac:dyDescent="0.25">
      <c r="A218" s="1">
        <v>44269</v>
      </c>
      <c r="B218">
        <v>4326.0990294409203</v>
      </c>
      <c r="C218">
        <v>3116.4741628319898</v>
      </c>
      <c r="D218">
        <v>3419.9443095096799</v>
      </c>
      <c r="E218">
        <v>4713.5443521662601</v>
      </c>
      <c r="F218">
        <v>6677.0732377897202</v>
      </c>
      <c r="G218">
        <v>5173.4561452511298</v>
      </c>
      <c r="H218">
        <v>17425.685997949098</v>
      </c>
      <c r="I218">
        <v>9673.9076341458494</v>
      </c>
      <c r="J218">
        <v>432.47043094268201</v>
      </c>
      <c r="K218">
        <v>377.97907388439597</v>
      </c>
      <c r="L218">
        <v>291.03082792607302</v>
      </c>
      <c r="M218">
        <v>4387.1793334349104</v>
      </c>
      <c r="N218">
        <v>533.43816981679197</v>
      </c>
      <c r="O218">
        <v>260.93181860646001</v>
      </c>
      <c r="P218">
        <v>404.43243747861698</v>
      </c>
      <c r="Q218">
        <v>3035.8113414611298</v>
      </c>
      <c r="R218">
        <v>278.39181937593702</v>
      </c>
      <c r="S218">
        <v>330.64870550995602</v>
      </c>
      <c r="T218">
        <v>188.81165754029701</v>
      </c>
      <c r="U218">
        <v>244.66109438327999</v>
      </c>
      <c r="V218">
        <v>177.075121714022</v>
      </c>
      <c r="W218">
        <v>156.76098716174101</v>
      </c>
      <c r="X218">
        <v>173.198823579644</v>
      </c>
      <c r="Y218">
        <v>852.47516499902895</v>
      </c>
      <c r="Z218">
        <v>200.211322322483</v>
      </c>
      <c r="AA218">
        <v>456.49959729294</v>
      </c>
      <c r="AB218">
        <v>788.93032601930599</v>
      </c>
      <c r="AC218">
        <v>851.32238905890597</v>
      </c>
      <c r="AD218">
        <v>285.13756978120199</v>
      </c>
      <c r="AE218">
        <v>910.66574320290795</v>
      </c>
      <c r="AF218">
        <v>871.31088117293598</v>
      </c>
      <c r="AG218">
        <v>528.94542316545005</v>
      </c>
    </row>
    <row r="219" spans="1:33" x14ac:dyDescent="0.25">
      <c r="A219" s="1">
        <v>44270</v>
      </c>
      <c r="B219">
        <v>4393.63587939016</v>
      </c>
      <c r="C219">
        <v>2749.0328179502399</v>
      </c>
      <c r="D219">
        <v>3296.02677103513</v>
      </c>
      <c r="E219">
        <v>4706.1875976709698</v>
      </c>
      <c r="F219">
        <v>6465.8445797479899</v>
      </c>
      <c r="G219">
        <v>4894.4044998925201</v>
      </c>
      <c r="H219">
        <v>16764.140243837799</v>
      </c>
      <c r="I219">
        <v>9589.3340764620007</v>
      </c>
      <c r="J219">
        <v>431.40885964197798</v>
      </c>
      <c r="K219">
        <v>370.78566690042902</v>
      </c>
      <c r="L219">
        <v>292.87202395981501</v>
      </c>
      <c r="M219">
        <v>3914.07354265188</v>
      </c>
      <c r="N219">
        <v>435.974389954527</v>
      </c>
      <c r="O219">
        <v>263.02291612895499</v>
      </c>
      <c r="P219">
        <v>393.258273412503</v>
      </c>
      <c r="Q219">
        <v>2718.0442277114598</v>
      </c>
      <c r="R219">
        <v>275.54586459414702</v>
      </c>
      <c r="S219">
        <v>321.20087177950802</v>
      </c>
      <c r="T219">
        <v>186.165088031257</v>
      </c>
      <c r="U219">
        <v>244.989699849327</v>
      </c>
      <c r="V219">
        <v>168.70068362721801</v>
      </c>
      <c r="W219">
        <v>140.56869510689</v>
      </c>
      <c r="X219">
        <v>165.03760850459901</v>
      </c>
      <c r="Y219">
        <v>844.172770021627</v>
      </c>
      <c r="Z219">
        <v>196.034237385621</v>
      </c>
      <c r="AA219">
        <v>458.96046681355801</v>
      </c>
      <c r="AB219">
        <v>793.02928478279205</v>
      </c>
      <c r="AC219">
        <v>859.00490835142602</v>
      </c>
      <c r="AD219">
        <v>287.06637948431</v>
      </c>
      <c r="AE219">
        <v>901.78062970173698</v>
      </c>
      <c r="AF219">
        <v>874.24092917115195</v>
      </c>
      <c r="AG219">
        <v>528.37081671227304</v>
      </c>
    </row>
    <row r="220" spans="1:33" x14ac:dyDescent="0.25">
      <c r="A220" s="1">
        <v>44271</v>
      </c>
      <c r="B220">
        <v>4478.1762295294002</v>
      </c>
      <c r="C220">
        <v>2671.8929355478699</v>
      </c>
      <c r="D220">
        <v>3217.8931999412598</v>
      </c>
      <c r="E220">
        <v>4595.4695110131097</v>
      </c>
      <c r="F220">
        <v>5814.6956528398096</v>
      </c>
      <c r="G220">
        <v>4335.0822826925196</v>
      </c>
      <c r="H220">
        <v>15908.568806990301</v>
      </c>
      <c r="I220">
        <v>9384.87093014331</v>
      </c>
      <c r="J220">
        <v>430.59208446285697</v>
      </c>
      <c r="K220">
        <v>355.70471733398699</v>
      </c>
      <c r="L220">
        <v>290.34613129086398</v>
      </c>
      <c r="M220">
        <v>3542.4099439971301</v>
      </c>
      <c r="N220">
        <v>367.576241918721</v>
      </c>
      <c r="O220">
        <v>256.31084033544602</v>
      </c>
      <c r="P220">
        <v>373.63165524105801</v>
      </c>
      <c r="Q220">
        <v>2359.7880368808301</v>
      </c>
      <c r="R220">
        <v>273.50363890582901</v>
      </c>
      <c r="S220">
        <v>346.43413823318502</v>
      </c>
      <c r="T220">
        <v>179.22654654790099</v>
      </c>
      <c r="U220">
        <v>245.18441305372301</v>
      </c>
      <c r="V220">
        <v>149.69025588543801</v>
      </c>
      <c r="W220">
        <v>142.89705928021999</v>
      </c>
      <c r="X220">
        <v>141.93405962405899</v>
      </c>
      <c r="Y220">
        <v>760.52111820439495</v>
      </c>
      <c r="Z220">
        <v>194.32864320590599</v>
      </c>
      <c r="AA220">
        <v>465.67672912956601</v>
      </c>
      <c r="AB220">
        <v>716.65953675566004</v>
      </c>
      <c r="AC220">
        <v>874.93772110445298</v>
      </c>
      <c r="AD220">
        <v>287.42120801368799</v>
      </c>
      <c r="AE220">
        <v>889.54370931870801</v>
      </c>
      <c r="AF220">
        <v>877.09234481950602</v>
      </c>
      <c r="AG220">
        <v>518.17093557714895</v>
      </c>
    </row>
    <row r="221" spans="1:33" x14ac:dyDescent="0.25">
      <c r="A221" s="1">
        <v>44272</v>
      </c>
      <c r="B221">
        <v>4492.5539295257404</v>
      </c>
      <c r="C221">
        <v>2384.4082047668999</v>
      </c>
      <c r="D221">
        <v>3130.19076588908</v>
      </c>
      <c r="E221">
        <v>4588.8650602388097</v>
      </c>
      <c r="F221">
        <v>5826.4641191373303</v>
      </c>
      <c r="G221">
        <v>4502.0364800906</v>
      </c>
      <c r="H221">
        <v>16592.027626801901</v>
      </c>
      <c r="I221">
        <v>9089.9208047202501</v>
      </c>
      <c r="J221">
        <v>429.12927780241199</v>
      </c>
      <c r="K221">
        <v>353.730774341303</v>
      </c>
      <c r="L221">
        <v>283.72767957418301</v>
      </c>
      <c r="M221">
        <v>3708.2632958467402</v>
      </c>
      <c r="N221">
        <v>374.00046764166802</v>
      </c>
      <c r="O221">
        <v>257.04673459590498</v>
      </c>
      <c r="P221">
        <v>374.52380745022901</v>
      </c>
      <c r="Q221">
        <v>2432.4125447684401</v>
      </c>
      <c r="R221">
        <v>275.92841425098601</v>
      </c>
      <c r="S221">
        <v>334.272607442366</v>
      </c>
      <c r="T221">
        <v>172.93586919616101</v>
      </c>
      <c r="U221">
        <v>245.46370630059801</v>
      </c>
      <c r="V221">
        <v>146.68113038173701</v>
      </c>
      <c r="W221">
        <v>145.54862280410401</v>
      </c>
      <c r="X221">
        <v>142.70376865246601</v>
      </c>
      <c r="Y221">
        <v>728.14102730093805</v>
      </c>
      <c r="Z221">
        <v>196.57812516939899</v>
      </c>
      <c r="AA221">
        <v>475.27630879127099</v>
      </c>
      <c r="AB221">
        <v>644.77749804261202</v>
      </c>
      <c r="AC221">
        <v>881.91923417809005</v>
      </c>
      <c r="AD221">
        <v>282.96878455598102</v>
      </c>
      <c r="AE221">
        <v>901.092481736026</v>
      </c>
      <c r="AF221">
        <v>876.88678411785804</v>
      </c>
      <c r="AG221">
        <v>486.417977494593</v>
      </c>
    </row>
    <row r="222" spans="1:33" x14ac:dyDescent="0.25">
      <c r="A222" s="1">
        <v>44273</v>
      </c>
      <c r="B222">
        <v>4452.1218597307497</v>
      </c>
      <c r="C222">
        <v>2370.08199475537</v>
      </c>
      <c r="D222">
        <v>3001.1373649536499</v>
      </c>
      <c r="E222">
        <v>4545.7172933175798</v>
      </c>
      <c r="F222">
        <v>6006.52999266399</v>
      </c>
      <c r="G222">
        <v>4752.6918693570296</v>
      </c>
      <c r="H222">
        <v>17434.923216928401</v>
      </c>
      <c r="I222">
        <v>8826.2400066314403</v>
      </c>
      <c r="J222">
        <v>426.22772624633802</v>
      </c>
      <c r="K222">
        <v>354.15350101231797</v>
      </c>
      <c r="L222">
        <v>279.44287885924598</v>
      </c>
      <c r="M222">
        <v>4019.86080933126</v>
      </c>
      <c r="N222">
        <v>379.63110174803001</v>
      </c>
      <c r="O222">
        <v>250.780326000098</v>
      </c>
      <c r="P222">
        <v>378.53201851405697</v>
      </c>
      <c r="Q222">
        <v>2512.5525405725298</v>
      </c>
      <c r="R222">
        <v>275.73069518121599</v>
      </c>
      <c r="S222">
        <v>329.426194986398</v>
      </c>
      <c r="T222">
        <v>168.259995979639</v>
      </c>
      <c r="U222">
        <v>246.25032474085199</v>
      </c>
      <c r="V222">
        <v>147.432847741204</v>
      </c>
      <c r="W222">
        <v>143.61118205397699</v>
      </c>
      <c r="X222">
        <v>145.20506968861</v>
      </c>
      <c r="Y222">
        <v>709.529774262258</v>
      </c>
      <c r="Z222">
        <v>199.021086887981</v>
      </c>
      <c r="AA222">
        <v>490.46312908701401</v>
      </c>
      <c r="AB222">
        <v>607.61489938718603</v>
      </c>
      <c r="AC222">
        <v>877.11809714351102</v>
      </c>
      <c r="AD222">
        <v>278.88283956778997</v>
      </c>
      <c r="AE222">
        <v>934.90189785616496</v>
      </c>
      <c r="AF222">
        <v>874.557092168439</v>
      </c>
      <c r="AG222">
        <v>483.11372385763798</v>
      </c>
    </row>
    <row r="223" spans="1:33" x14ac:dyDescent="0.25">
      <c r="A223" s="1">
        <v>44274</v>
      </c>
      <c r="B223">
        <v>4415.0948666041704</v>
      </c>
      <c r="C223">
        <v>2322.5234046446399</v>
      </c>
      <c r="D223">
        <v>2791.7149701185199</v>
      </c>
      <c r="E223">
        <v>4502.5221354211599</v>
      </c>
      <c r="F223">
        <v>6049.77552235448</v>
      </c>
      <c r="G223">
        <v>4802.2599084814201</v>
      </c>
      <c r="H223">
        <v>17762.278455248001</v>
      </c>
      <c r="I223">
        <v>8729.5826393635107</v>
      </c>
      <c r="J223">
        <v>421.44921669064797</v>
      </c>
      <c r="K223">
        <v>353.36471471064601</v>
      </c>
      <c r="L223">
        <v>278.74231260191698</v>
      </c>
      <c r="M223">
        <v>3902.4797210373699</v>
      </c>
      <c r="N223">
        <v>359.14599279551499</v>
      </c>
      <c r="O223">
        <v>241.397480639176</v>
      </c>
      <c r="P223">
        <v>377.97229886762602</v>
      </c>
      <c r="Q223">
        <v>2433.7634547166599</v>
      </c>
      <c r="R223">
        <v>272.483972575677</v>
      </c>
      <c r="S223">
        <v>334.32862405082398</v>
      </c>
      <c r="T223">
        <v>164.843479753759</v>
      </c>
      <c r="U223">
        <v>245.325897132085</v>
      </c>
      <c r="V223">
        <v>145.14423219766499</v>
      </c>
      <c r="W223">
        <v>143.436306261228</v>
      </c>
      <c r="X223">
        <v>144.198704911715</v>
      </c>
      <c r="Y223">
        <v>701.529484926137</v>
      </c>
      <c r="Z223">
        <v>197.02709320722099</v>
      </c>
      <c r="AA223">
        <v>499.12056401702699</v>
      </c>
      <c r="AB223">
        <v>596.77427367492805</v>
      </c>
      <c r="AC223">
        <v>870.12686136951402</v>
      </c>
      <c r="AD223">
        <v>277.89536428681703</v>
      </c>
      <c r="AE223">
        <v>955.86602801680203</v>
      </c>
      <c r="AF223">
        <v>870.46805490280497</v>
      </c>
      <c r="AG223">
        <v>487.28202131343602</v>
      </c>
    </row>
    <row r="224" spans="1:33" x14ac:dyDescent="0.25">
      <c r="A224" s="1">
        <v>44275</v>
      </c>
      <c r="B224">
        <v>4394.55099720629</v>
      </c>
      <c r="C224">
        <v>2313.2555799830102</v>
      </c>
      <c r="D224">
        <v>2602.3591290599602</v>
      </c>
      <c r="E224">
        <v>4396.1809069773299</v>
      </c>
      <c r="F224">
        <v>5795.97995543257</v>
      </c>
      <c r="G224">
        <v>4148.7252701277503</v>
      </c>
      <c r="H224">
        <v>17561.366887931901</v>
      </c>
      <c r="I224">
        <v>8738.8995183659699</v>
      </c>
      <c r="J224">
        <v>419.97201670895902</v>
      </c>
      <c r="K224">
        <v>343.78007055198998</v>
      </c>
      <c r="L224">
        <v>280.01049708139601</v>
      </c>
      <c r="M224">
        <v>3440.09093169373</v>
      </c>
      <c r="N224">
        <v>288.784434149974</v>
      </c>
      <c r="O224">
        <v>231.751548977433</v>
      </c>
      <c r="P224">
        <v>362.92500806164702</v>
      </c>
      <c r="Q224">
        <v>2044.6835241614999</v>
      </c>
      <c r="R224">
        <v>266.35199532467198</v>
      </c>
      <c r="S224">
        <v>349.17054316801699</v>
      </c>
      <c r="T224">
        <v>162.20658065767901</v>
      </c>
      <c r="U224">
        <v>244.96197124116901</v>
      </c>
      <c r="V224">
        <v>143.625643534598</v>
      </c>
      <c r="W224">
        <v>157.42774079583401</v>
      </c>
      <c r="X224">
        <v>143.58011337313599</v>
      </c>
      <c r="Y224">
        <v>703.74830670992299</v>
      </c>
      <c r="Z224">
        <v>191.13910787312301</v>
      </c>
      <c r="AA224">
        <v>492.76483631881399</v>
      </c>
      <c r="AB224">
        <v>606.38744481080505</v>
      </c>
      <c r="AC224">
        <v>872.51144969359405</v>
      </c>
      <c r="AD224">
        <v>276.82887725891601</v>
      </c>
      <c r="AE224">
        <v>991.35039050256103</v>
      </c>
      <c r="AF224">
        <v>867.302729863271</v>
      </c>
      <c r="AG224">
        <v>494.806624263446</v>
      </c>
    </row>
    <row r="225" spans="1:33" x14ac:dyDescent="0.25">
      <c r="A225" s="1">
        <v>44276</v>
      </c>
      <c r="B225">
        <v>4352.5792876333599</v>
      </c>
      <c r="C225">
        <v>2098.1917593807598</v>
      </c>
      <c r="D225">
        <v>2493.1589053561102</v>
      </c>
      <c r="E225">
        <v>4235.3444022472804</v>
      </c>
      <c r="F225">
        <v>5260.4446166526004</v>
      </c>
      <c r="G225">
        <v>3317.6375661145798</v>
      </c>
      <c r="H225">
        <v>16775.101768190001</v>
      </c>
      <c r="I225">
        <v>8679.2331062588401</v>
      </c>
      <c r="J225">
        <v>417.93121219886302</v>
      </c>
      <c r="K225">
        <v>331.24039348569801</v>
      </c>
      <c r="L225">
        <v>277.60092438614703</v>
      </c>
      <c r="M225">
        <v>2819.0975824270199</v>
      </c>
      <c r="N225">
        <v>230.19384509283299</v>
      </c>
      <c r="O225">
        <v>220.648179317027</v>
      </c>
      <c r="P225">
        <v>344.76347425970403</v>
      </c>
      <c r="Q225">
        <v>1632.9896013074599</v>
      </c>
      <c r="R225">
        <v>254.90814584695499</v>
      </c>
      <c r="S225">
        <v>367.04791982038302</v>
      </c>
      <c r="T225">
        <v>161.86624898523399</v>
      </c>
      <c r="U225">
        <v>245.11350227778499</v>
      </c>
      <c r="V225">
        <v>151.09097019111101</v>
      </c>
      <c r="W225">
        <v>160.38470494064799</v>
      </c>
      <c r="X225">
        <v>152.06800723060201</v>
      </c>
      <c r="Y225">
        <v>723.66434474375399</v>
      </c>
      <c r="Z225">
        <v>186.28299251695901</v>
      </c>
      <c r="AA225">
        <v>495.51359446818299</v>
      </c>
      <c r="AB225">
        <v>626.03450108921504</v>
      </c>
      <c r="AC225">
        <v>878.49289897557503</v>
      </c>
      <c r="AD225">
        <v>276.82529105557802</v>
      </c>
      <c r="AE225">
        <v>1055.41961771653</v>
      </c>
      <c r="AF225">
        <v>864.46037560411401</v>
      </c>
      <c r="AG225">
        <v>506.63732187720899</v>
      </c>
    </row>
    <row r="226" spans="1:33" x14ac:dyDescent="0.25">
      <c r="A226" s="1">
        <v>44277</v>
      </c>
      <c r="B226">
        <v>4267.9407654020297</v>
      </c>
      <c r="C226">
        <v>1618.57253051253</v>
      </c>
      <c r="D226">
        <v>2421.1656596777402</v>
      </c>
      <c r="E226">
        <v>4054.3453780364098</v>
      </c>
      <c r="F226">
        <v>4659.7038403782099</v>
      </c>
      <c r="G226">
        <v>2933.8311749401601</v>
      </c>
      <c r="H226">
        <v>17294.795439569702</v>
      </c>
      <c r="I226">
        <v>8521.43100807472</v>
      </c>
      <c r="J226">
        <v>415.752966051665</v>
      </c>
      <c r="K226">
        <v>322.174505178684</v>
      </c>
      <c r="L226">
        <v>275.59130621382599</v>
      </c>
      <c r="M226">
        <v>2604.31601226983</v>
      </c>
      <c r="N226">
        <v>233.33160034754701</v>
      </c>
      <c r="O226">
        <v>222.401935174502</v>
      </c>
      <c r="P226">
        <v>334.58048223350198</v>
      </c>
      <c r="Q226">
        <v>1522.0721195056001</v>
      </c>
      <c r="R226">
        <v>253.96314744922199</v>
      </c>
      <c r="S226">
        <v>399.56959646329102</v>
      </c>
      <c r="T226">
        <v>164.21324890013199</v>
      </c>
      <c r="U226">
        <v>245.64976763031501</v>
      </c>
      <c r="V226">
        <v>160.498536472697</v>
      </c>
      <c r="W226">
        <v>161.85629155267301</v>
      </c>
      <c r="X226">
        <v>160.58866900091499</v>
      </c>
      <c r="Y226">
        <v>732.93963856826895</v>
      </c>
      <c r="Z226">
        <v>184.34606223980799</v>
      </c>
      <c r="AA226">
        <v>502.93075638494298</v>
      </c>
      <c r="AB226">
        <v>643.72755297374999</v>
      </c>
      <c r="AC226">
        <v>895.43489426610495</v>
      </c>
      <c r="AD226">
        <v>273.577158139034</v>
      </c>
      <c r="AE226">
        <v>1143.6483363387899</v>
      </c>
      <c r="AF226">
        <v>862.27886473674903</v>
      </c>
      <c r="AG226">
        <v>512.13076764924404</v>
      </c>
    </row>
    <row r="227" spans="1:33" x14ac:dyDescent="0.25">
      <c r="A227" s="1">
        <v>44278</v>
      </c>
      <c r="B227">
        <v>4129.8943929644101</v>
      </c>
      <c r="C227">
        <v>1459.5320980214201</v>
      </c>
      <c r="D227">
        <v>2319.1877715169599</v>
      </c>
      <c r="E227">
        <v>3922.4410416811602</v>
      </c>
      <c r="F227">
        <v>3983.3797678744099</v>
      </c>
      <c r="G227">
        <v>2635.56365604251</v>
      </c>
      <c r="H227">
        <v>16145.4804374789</v>
      </c>
      <c r="I227">
        <v>7947.1753327749002</v>
      </c>
      <c r="J227">
        <v>406.09532459126399</v>
      </c>
      <c r="K227">
        <v>307.53656876871901</v>
      </c>
      <c r="L227">
        <v>269.56232824823297</v>
      </c>
      <c r="M227">
        <v>1918.9352726228699</v>
      </c>
      <c r="N227">
        <v>193.40936478290399</v>
      </c>
      <c r="O227">
        <v>227.20649097626301</v>
      </c>
      <c r="P227">
        <v>316.66492167163199</v>
      </c>
      <c r="Q227">
        <v>1233.2583681237199</v>
      </c>
      <c r="R227">
        <v>250.371089028977</v>
      </c>
      <c r="S227">
        <v>358.51597100831202</v>
      </c>
      <c r="T227">
        <v>166.299173711875</v>
      </c>
      <c r="U227">
        <v>245.547622372506</v>
      </c>
      <c r="V227">
        <v>161.19766275302899</v>
      </c>
      <c r="W227">
        <v>155.25316337843901</v>
      </c>
      <c r="X227">
        <v>161.534447352201</v>
      </c>
      <c r="Y227">
        <v>730.90276075438499</v>
      </c>
      <c r="Z227">
        <v>177.048235809549</v>
      </c>
      <c r="AA227">
        <v>507.25505609340303</v>
      </c>
      <c r="AB227">
        <v>639.630169830765</v>
      </c>
      <c r="AC227">
        <v>913.75241409346199</v>
      </c>
      <c r="AD227">
        <v>275.43881930621399</v>
      </c>
      <c r="AE227">
        <v>1181.1078032017001</v>
      </c>
      <c r="AF227">
        <v>862.76871329983601</v>
      </c>
      <c r="AG227">
        <v>504.75466375867899</v>
      </c>
    </row>
    <row r="228" spans="1:33" x14ac:dyDescent="0.25">
      <c r="A228" s="1">
        <v>44279</v>
      </c>
      <c r="B228">
        <v>3923.98170397284</v>
      </c>
      <c r="C228">
        <v>1083.9697691506899</v>
      </c>
      <c r="D228">
        <v>2263.8629979616298</v>
      </c>
      <c r="E228">
        <v>3758.5640951517998</v>
      </c>
      <c r="F228">
        <v>3735.1061671572402</v>
      </c>
      <c r="G228">
        <v>3028.4035532890698</v>
      </c>
      <c r="H228">
        <v>17204.220459148099</v>
      </c>
      <c r="I228">
        <v>6534.76265671077</v>
      </c>
      <c r="J228">
        <v>396.56350132075403</v>
      </c>
      <c r="K228">
        <v>303.20918137151301</v>
      </c>
      <c r="L228">
        <v>267.64074225334099</v>
      </c>
      <c r="M228">
        <v>2161.32235795427</v>
      </c>
      <c r="N228">
        <v>218.12487189945301</v>
      </c>
      <c r="O228">
        <v>231.933109933548</v>
      </c>
      <c r="P228">
        <v>315.08942604282697</v>
      </c>
      <c r="Q228">
        <v>1240.7627614247899</v>
      </c>
      <c r="R228">
        <v>247.228216306983</v>
      </c>
      <c r="S228">
        <v>359.64720261322401</v>
      </c>
      <c r="T228">
        <v>167.41282981272201</v>
      </c>
      <c r="U228">
        <v>245.89514275075501</v>
      </c>
      <c r="V228">
        <v>158.94678228626901</v>
      </c>
      <c r="W228">
        <v>150.14887516892301</v>
      </c>
      <c r="X228">
        <v>158.29340498345999</v>
      </c>
      <c r="Y228">
        <v>741.819911396458</v>
      </c>
      <c r="Z228">
        <v>176.198768407627</v>
      </c>
      <c r="AA228">
        <v>505.79475135538399</v>
      </c>
      <c r="AB228">
        <v>648.13098878188998</v>
      </c>
      <c r="AC228">
        <v>945.04316841757804</v>
      </c>
      <c r="AD228">
        <v>272.21624039543201</v>
      </c>
      <c r="AE228">
        <v>1096.8270303936999</v>
      </c>
      <c r="AF228">
        <v>863.46037779704102</v>
      </c>
      <c r="AG228">
        <v>502.919184138427</v>
      </c>
    </row>
    <row r="229" spans="1:33" x14ac:dyDescent="0.25">
      <c r="A229" s="1">
        <v>44280</v>
      </c>
      <c r="B229">
        <v>3709.5483364689899</v>
      </c>
      <c r="C229">
        <v>1122.5487044587401</v>
      </c>
      <c r="D229">
        <v>2102.5621945492899</v>
      </c>
      <c r="E229">
        <v>3758.8710674291301</v>
      </c>
      <c r="F229">
        <v>4553.44054975367</v>
      </c>
      <c r="G229">
        <v>4094.85079702446</v>
      </c>
      <c r="H229">
        <v>19925.155576510198</v>
      </c>
      <c r="I229">
        <v>6775.6332457287399</v>
      </c>
      <c r="J229">
        <v>381.56438927878997</v>
      </c>
      <c r="K229">
        <v>301.01868049387201</v>
      </c>
      <c r="L229">
        <v>263.27173270146397</v>
      </c>
      <c r="M229">
        <v>3187.9017016459302</v>
      </c>
      <c r="N229">
        <v>255.55874036837201</v>
      </c>
      <c r="O229">
        <v>238.97295469093501</v>
      </c>
      <c r="P229">
        <v>319.78630788456798</v>
      </c>
      <c r="Q229">
        <v>1881.3524856752299</v>
      </c>
      <c r="R229">
        <v>254.36615338219701</v>
      </c>
      <c r="S229">
        <v>340.65030372263197</v>
      </c>
      <c r="T229">
        <v>165.97221322543399</v>
      </c>
      <c r="U229">
        <v>246.27090195484701</v>
      </c>
      <c r="V229">
        <v>152.29865114930499</v>
      </c>
      <c r="W229">
        <v>161.133181212175</v>
      </c>
      <c r="X229">
        <v>147.846181734921</v>
      </c>
      <c r="Y229">
        <v>671.62094947305002</v>
      </c>
      <c r="Z229">
        <v>176.13683400675001</v>
      </c>
      <c r="AA229">
        <v>507.64211359179302</v>
      </c>
      <c r="AB229">
        <v>597.90306468834899</v>
      </c>
      <c r="AC229">
        <v>964.41115108645704</v>
      </c>
      <c r="AD229">
        <v>266.04099804288302</v>
      </c>
      <c r="AE229">
        <v>1132.1091003075501</v>
      </c>
      <c r="AF229">
        <v>864.65688630174895</v>
      </c>
      <c r="AG229">
        <v>494.08878582672003</v>
      </c>
    </row>
    <row r="230" spans="1:33" x14ac:dyDescent="0.25">
      <c r="A230" s="1">
        <v>44281</v>
      </c>
      <c r="B230">
        <v>3647.39871550721</v>
      </c>
      <c r="C230">
        <v>1708.3109876834101</v>
      </c>
      <c r="D230">
        <v>1857.53734228445</v>
      </c>
      <c r="E230">
        <v>3653.5129704995902</v>
      </c>
      <c r="F230">
        <v>5172.6924004672901</v>
      </c>
      <c r="G230">
        <v>4032.9088264634302</v>
      </c>
      <c r="H230">
        <v>17165.185814068001</v>
      </c>
      <c r="I230">
        <v>6906.7618376583696</v>
      </c>
      <c r="J230">
        <v>378.52001566754097</v>
      </c>
      <c r="K230">
        <v>291.49049119375701</v>
      </c>
      <c r="L230">
        <v>266.82805059664901</v>
      </c>
      <c r="M230">
        <v>2822.6909934087198</v>
      </c>
      <c r="N230">
        <v>227.18270807670299</v>
      </c>
      <c r="O230">
        <v>236.63028105972899</v>
      </c>
      <c r="P230">
        <v>303.32435339471903</v>
      </c>
      <c r="Q230">
        <v>1807.0899118901</v>
      </c>
      <c r="R230">
        <v>251.14216665187899</v>
      </c>
      <c r="S230">
        <v>323.86837854181903</v>
      </c>
      <c r="T230">
        <v>164.84836647891601</v>
      </c>
      <c r="U230">
        <v>245.95740410240501</v>
      </c>
      <c r="V230">
        <v>160.13765005388601</v>
      </c>
      <c r="W230">
        <v>159.20211369844299</v>
      </c>
      <c r="X230">
        <v>160.08166184781501</v>
      </c>
      <c r="Y230">
        <v>714.84049078471503</v>
      </c>
      <c r="Z230">
        <v>176.047596692209</v>
      </c>
      <c r="AA230">
        <v>496.293061502809</v>
      </c>
      <c r="AB230">
        <v>611.79903315804802</v>
      </c>
      <c r="AC230">
        <v>1010.83099770782</v>
      </c>
      <c r="AD230">
        <v>270.05515188556097</v>
      </c>
      <c r="AE230">
        <v>1066.4470598549501</v>
      </c>
      <c r="AF230">
        <v>866.44359789428995</v>
      </c>
      <c r="AG230">
        <v>496.47080895484498</v>
      </c>
    </row>
    <row r="231" spans="1:33" x14ac:dyDescent="0.25">
      <c r="A231" s="1">
        <v>44282</v>
      </c>
      <c r="B231">
        <v>3553.4552492725702</v>
      </c>
      <c r="C231">
        <v>1708.7338073354699</v>
      </c>
      <c r="D231">
        <v>1727.76549882319</v>
      </c>
      <c r="E231">
        <v>3548.2988246323998</v>
      </c>
      <c r="F231">
        <v>5110.2130887789499</v>
      </c>
      <c r="G231">
        <v>4095.5322791149902</v>
      </c>
      <c r="H231">
        <v>16716.234660247999</v>
      </c>
      <c r="I231">
        <v>7082.0467900767098</v>
      </c>
      <c r="J231">
        <v>372.999474822205</v>
      </c>
      <c r="K231">
        <v>286.80474556790602</v>
      </c>
      <c r="L231">
        <v>268.43284028117301</v>
      </c>
      <c r="M231">
        <v>3156.1528794011101</v>
      </c>
      <c r="N231">
        <v>254.58337140710401</v>
      </c>
      <c r="O231">
        <v>236.24862144888201</v>
      </c>
      <c r="P231">
        <v>295.936960639304</v>
      </c>
      <c r="Q231">
        <v>1943.4480885119999</v>
      </c>
      <c r="R231">
        <v>250.61327611496301</v>
      </c>
      <c r="S231">
        <v>325.24967117430498</v>
      </c>
      <c r="T231">
        <v>166.52467751879601</v>
      </c>
      <c r="U231">
        <v>244.92675704419599</v>
      </c>
      <c r="V231">
        <v>163.014927991435</v>
      </c>
      <c r="W231">
        <v>148.278511262178</v>
      </c>
      <c r="X231">
        <v>160.81372991525399</v>
      </c>
      <c r="Y231">
        <v>739.65776887976006</v>
      </c>
      <c r="Z231">
        <v>177.540758456107</v>
      </c>
      <c r="AA231">
        <v>498.20271528461899</v>
      </c>
      <c r="AB231">
        <v>633.63961177179203</v>
      </c>
      <c r="AC231">
        <v>1046.7487755049499</v>
      </c>
      <c r="AD231">
        <v>271.17662997801301</v>
      </c>
      <c r="AE231">
        <v>1010.79969984329</v>
      </c>
      <c r="AF231">
        <v>868.63934109338595</v>
      </c>
      <c r="AG231">
        <v>500.42127696517002</v>
      </c>
    </row>
    <row r="232" spans="1:33" x14ac:dyDescent="0.25">
      <c r="A232" s="1">
        <v>44283</v>
      </c>
      <c r="B232">
        <v>3408.5479408023498</v>
      </c>
      <c r="C232">
        <v>1642.42199289265</v>
      </c>
      <c r="D232">
        <v>1715.3160480917199</v>
      </c>
      <c r="E232">
        <v>3446.1423551489402</v>
      </c>
      <c r="F232">
        <v>5441.7005789011</v>
      </c>
      <c r="G232">
        <v>4471.0776897374199</v>
      </c>
      <c r="H232">
        <v>16887.884589739198</v>
      </c>
      <c r="I232">
        <v>7233.7476186188696</v>
      </c>
      <c r="J232">
        <v>365.886760036748</v>
      </c>
      <c r="K232">
        <v>283.590660066064</v>
      </c>
      <c r="L232">
        <v>268.66843239386401</v>
      </c>
      <c r="M232">
        <v>3453.1104793560098</v>
      </c>
      <c r="N232">
        <v>289.615413268385</v>
      </c>
      <c r="O232">
        <v>237.67428228833001</v>
      </c>
      <c r="P232">
        <v>292.57562805556802</v>
      </c>
      <c r="Q232">
        <v>2178.9499763782801</v>
      </c>
      <c r="R232">
        <v>250.37725969370999</v>
      </c>
      <c r="S232">
        <v>319.90306458854002</v>
      </c>
      <c r="T232">
        <v>166.768014205273</v>
      </c>
      <c r="U232">
        <v>244.64340807424199</v>
      </c>
      <c r="V232">
        <v>158.90478480472399</v>
      </c>
      <c r="W232">
        <v>155.39430213100701</v>
      </c>
      <c r="X232">
        <v>153.829144186088</v>
      </c>
      <c r="Y232">
        <v>756.19532383851401</v>
      </c>
      <c r="Z232">
        <v>178.32056879387099</v>
      </c>
      <c r="AA232">
        <v>498.80436515071199</v>
      </c>
      <c r="AB232">
        <v>635.76925512595994</v>
      </c>
      <c r="AC232">
        <v>1044.03733880609</v>
      </c>
      <c r="AD232">
        <v>270.61893562191398</v>
      </c>
      <c r="AE232">
        <v>1011.27760574333</v>
      </c>
      <c r="AF232">
        <v>870.68235888767003</v>
      </c>
      <c r="AG232">
        <v>501.91901150136601</v>
      </c>
    </row>
    <row r="233" spans="1:33" x14ac:dyDescent="0.25">
      <c r="A233" s="1">
        <v>44284</v>
      </c>
      <c r="B233">
        <v>3275.0510702503102</v>
      </c>
      <c r="C233">
        <v>1958.0776243052801</v>
      </c>
      <c r="D233">
        <v>1754.69468411088</v>
      </c>
      <c r="E233">
        <v>3383.4770219474699</v>
      </c>
      <c r="F233">
        <v>5943.6315395225101</v>
      </c>
      <c r="G233">
        <v>4755.2327283532004</v>
      </c>
      <c r="H233">
        <v>16826.556394993499</v>
      </c>
      <c r="I233">
        <v>7508.0614095023302</v>
      </c>
      <c r="J233">
        <v>358.89080054399301</v>
      </c>
      <c r="K233">
        <v>282.71693722338802</v>
      </c>
      <c r="L233">
        <v>268.26141155636702</v>
      </c>
      <c r="M233">
        <v>3764.37090604992</v>
      </c>
      <c r="N233">
        <v>322.752573698817</v>
      </c>
      <c r="O233">
        <v>241.15166193250201</v>
      </c>
      <c r="P233">
        <v>293.43910649022001</v>
      </c>
      <c r="Q233">
        <v>2461.0280174423201</v>
      </c>
      <c r="R233">
        <v>251.060792309763</v>
      </c>
      <c r="S233">
        <v>314.74272190511101</v>
      </c>
      <c r="T233">
        <v>165.68961340396601</v>
      </c>
      <c r="U233">
        <v>244.11674066738601</v>
      </c>
      <c r="V233">
        <v>156.42630482221699</v>
      </c>
      <c r="W233">
        <v>155.002507176195</v>
      </c>
      <c r="X233">
        <v>151.77823771272699</v>
      </c>
      <c r="Y233">
        <v>779.70333322612203</v>
      </c>
      <c r="Z233">
        <v>177.68117622074101</v>
      </c>
      <c r="AA233">
        <v>501.24885151183798</v>
      </c>
      <c r="AB233">
        <v>646.20982069921297</v>
      </c>
      <c r="AC233">
        <v>1039.3063303447</v>
      </c>
      <c r="AD233">
        <v>269.12215982685098</v>
      </c>
      <c r="AE233">
        <v>982.85094935625</v>
      </c>
      <c r="AF233">
        <v>873.00039676423103</v>
      </c>
      <c r="AG233">
        <v>501.99358077614602</v>
      </c>
    </row>
    <row r="234" spans="1:33" x14ac:dyDescent="0.25">
      <c r="A234" s="1">
        <v>44285</v>
      </c>
      <c r="B234">
        <v>3195.5800936735</v>
      </c>
      <c r="C234">
        <v>2314.9903495081198</v>
      </c>
      <c r="D234">
        <v>1840.82566463183</v>
      </c>
      <c r="E234">
        <v>3410.87091270582</v>
      </c>
      <c r="F234">
        <v>6170.3372606550001</v>
      </c>
      <c r="G234">
        <v>5004.2080028539604</v>
      </c>
      <c r="H234">
        <v>16537.456268931699</v>
      </c>
      <c r="I234">
        <v>7882.4908051982002</v>
      </c>
      <c r="J234">
        <v>352.88858760079501</v>
      </c>
      <c r="K234">
        <v>283.25134071476998</v>
      </c>
      <c r="L234">
        <v>267.78959031986301</v>
      </c>
      <c r="M234">
        <v>3880.0457741831201</v>
      </c>
      <c r="N234">
        <v>348.24760539041102</v>
      </c>
      <c r="O234">
        <v>243.07613393212199</v>
      </c>
      <c r="P234">
        <v>294.83635454800799</v>
      </c>
      <c r="Q234">
        <v>2602.8387955102398</v>
      </c>
      <c r="R234">
        <v>251.152666832389</v>
      </c>
      <c r="S234">
        <v>311.81494159439899</v>
      </c>
      <c r="T234">
        <v>165.73804769426101</v>
      </c>
      <c r="U234">
        <v>241.880692398843</v>
      </c>
      <c r="V234">
        <v>158.126692810561</v>
      </c>
      <c r="W234">
        <v>157.35426312102601</v>
      </c>
      <c r="X234">
        <v>154.41172426821501</v>
      </c>
      <c r="Y234">
        <v>811.89362297268599</v>
      </c>
      <c r="Z234">
        <v>176.90449549842199</v>
      </c>
      <c r="AA234">
        <v>506.170294284975</v>
      </c>
      <c r="AB234">
        <v>672.775871715829</v>
      </c>
      <c r="AC234">
        <v>1007.95705105638</v>
      </c>
      <c r="AD234">
        <v>269.23390067152701</v>
      </c>
      <c r="AE234">
        <v>974.41470348708503</v>
      </c>
      <c r="AF234">
        <v>877.97994551218005</v>
      </c>
      <c r="AG234">
        <v>502.80243721431401</v>
      </c>
    </row>
    <row r="235" spans="1:33" x14ac:dyDescent="0.25">
      <c r="A235" s="1">
        <v>44286</v>
      </c>
      <c r="B235">
        <v>3229.0128454946198</v>
      </c>
      <c r="C235">
        <v>2475.63980411696</v>
      </c>
      <c r="D235">
        <v>2000.23492860081</v>
      </c>
      <c r="E235">
        <v>3578.4414383149101</v>
      </c>
      <c r="F235">
        <v>6385.2083282941303</v>
      </c>
      <c r="G235">
        <v>5526.2771535430202</v>
      </c>
      <c r="H235">
        <v>17422.6971102469</v>
      </c>
      <c r="I235">
        <v>8215.2214406467701</v>
      </c>
      <c r="J235">
        <v>347.68380961603498</v>
      </c>
      <c r="K235">
        <v>287.493713373969</v>
      </c>
      <c r="L235">
        <v>269.015283854487</v>
      </c>
      <c r="M235">
        <v>4469.1450971274799</v>
      </c>
      <c r="N235">
        <v>501.90873784489901</v>
      </c>
      <c r="O235">
        <v>241.19749541272299</v>
      </c>
      <c r="P235">
        <v>304.58330126163298</v>
      </c>
      <c r="Q235">
        <v>3009.19457589473</v>
      </c>
      <c r="R235">
        <v>251.91432759749301</v>
      </c>
      <c r="S235">
        <v>312.35543434822102</v>
      </c>
      <c r="T235">
        <v>166.45609247260001</v>
      </c>
      <c r="U235">
        <v>239.33485004365599</v>
      </c>
      <c r="V235">
        <v>162.43333909524699</v>
      </c>
      <c r="W235">
        <v>161.52987998013899</v>
      </c>
      <c r="X235">
        <v>158.13419073870301</v>
      </c>
      <c r="Y235">
        <v>826.53689137094102</v>
      </c>
      <c r="Z235">
        <v>177.26110477356499</v>
      </c>
      <c r="AA235">
        <v>509.11494557106897</v>
      </c>
      <c r="AB235">
        <v>697.76812816000904</v>
      </c>
      <c r="AC235">
        <v>983.94855219281305</v>
      </c>
      <c r="AD235">
        <v>269.58093043081197</v>
      </c>
      <c r="AE235">
        <v>903.00635880300501</v>
      </c>
      <c r="AF235">
        <v>882.92053586592397</v>
      </c>
      <c r="AG235">
        <v>503.77777891364599</v>
      </c>
    </row>
    <row r="236" spans="1:33" x14ac:dyDescent="0.25">
      <c r="A236" s="1">
        <v>44287</v>
      </c>
      <c r="B236">
        <v>3317.3536787901498</v>
      </c>
      <c r="C236">
        <v>2678.0366277173498</v>
      </c>
      <c r="D236">
        <v>2157.5816376339098</v>
      </c>
      <c r="E236">
        <v>3771.0816242209598</v>
      </c>
      <c r="F236">
        <v>7109.1036948045803</v>
      </c>
      <c r="G236">
        <v>6499.87527114976</v>
      </c>
      <c r="H236">
        <v>18963.544843120198</v>
      </c>
      <c r="I236">
        <v>8543.8480142072403</v>
      </c>
      <c r="J236">
        <v>341.91173960335499</v>
      </c>
      <c r="K236">
        <v>301.57599480222399</v>
      </c>
      <c r="L236">
        <v>266.98737729123098</v>
      </c>
      <c r="M236">
        <v>5302.0405987341601</v>
      </c>
      <c r="N236">
        <v>710.28080588671901</v>
      </c>
      <c r="O236">
        <v>241.57169444061299</v>
      </c>
      <c r="P236">
        <v>333.09556891559498</v>
      </c>
      <c r="Q236">
        <v>3753.77010810606</v>
      </c>
      <c r="R236">
        <v>252.78284484378199</v>
      </c>
      <c r="S236">
        <v>305.37343689281499</v>
      </c>
      <c r="T236">
        <v>168.353410681865</v>
      </c>
      <c r="U236">
        <v>238.53801210981101</v>
      </c>
      <c r="V236">
        <v>165.896141961138</v>
      </c>
      <c r="W236">
        <v>160.122237558813</v>
      </c>
      <c r="X236">
        <v>160.23699395708999</v>
      </c>
      <c r="Y236">
        <v>796.30421466557902</v>
      </c>
      <c r="Z236">
        <v>176.62295161566101</v>
      </c>
      <c r="AA236">
        <v>509.20681280674103</v>
      </c>
      <c r="AB236">
        <v>678.58278353634205</v>
      </c>
      <c r="AC236">
        <v>968.42068939183503</v>
      </c>
      <c r="AD236">
        <v>267.10008141010599</v>
      </c>
      <c r="AE236">
        <v>837.59853022284199</v>
      </c>
      <c r="AF236">
        <v>886.08210331050896</v>
      </c>
      <c r="AG236">
        <v>500.868792318837</v>
      </c>
    </row>
    <row r="237" spans="1:33" x14ac:dyDescent="0.25">
      <c r="A237" s="1">
        <v>44288</v>
      </c>
      <c r="B237">
        <v>3424.5808440352298</v>
      </c>
      <c r="C237">
        <v>3461.6620372243501</v>
      </c>
      <c r="D237">
        <v>2285.24896294888</v>
      </c>
      <c r="E237">
        <v>4014.5427046264299</v>
      </c>
      <c r="F237">
        <v>7937.41824167495</v>
      </c>
      <c r="G237">
        <v>7227.6739395762297</v>
      </c>
      <c r="H237">
        <v>20167.5519370439</v>
      </c>
      <c r="I237">
        <v>8877.7375811002403</v>
      </c>
      <c r="J237">
        <v>340.04550662060001</v>
      </c>
      <c r="K237">
        <v>326.605039543283</v>
      </c>
      <c r="L237">
        <v>265.97140127851901</v>
      </c>
      <c r="M237">
        <v>5843.7822545896797</v>
      </c>
      <c r="N237">
        <v>898.93311845133906</v>
      </c>
      <c r="O237">
        <v>242.688494389352</v>
      </c>
      <c r="P237">
        <v>374.30278357989602</v>
      </c>
      <c r="Q237">
        <v>4422.8644387679396</v>
      </c>
      <c r="R237">
        <v>254.25010884791701</v>
      </c>
      <c r="S237">
        <v>296.98631593991399</v>
      </c>
      <c r="T237">
        <v>172.14626393101801</v>
      </c>
      <c r="U237">
        <v>236.54260064157199</v>
      </c>
      <c r="V237">
        <v>171.25519216002201</v>
      </c>
      <c r="W237">
        <v>158.25889386963101</v>
      </c>
      <c r="X237">
        <v>162.78415633089199</v>
      </c>
      <c r="Y237">
        <v>764.62634483130898</v>
      </c>
      <c r="Z237">
        <v>175.260643729604</v>
      </c>
      <c r="AA237">
        <v>507.00584000969098</v>
      </c>
      <c r="AB237">
        <v>659.17694998177205</v>
      </c>
      <c r="AC237">
        <v>955.38330198245603</v>
      </c>
      <c r="AD237">
        <v>266.68899737821698</v>
      </c>
      <c r="AE237">
        <v>819.84994648300994</v>
      </c>
      <c r="AF237">
        <v>888.938172105116</v>
      </c>
      <c r="AG237">
        <v>499.24615374641002</v>
      </c>
    </row>
    <row r="238" spans="1:33" x14ac:dyDescent="0.25">
      <c r="A238" s="1">
        <v>44289</v>
      </c>
      <c r="B238">
        <v>3536.70951404075</v>
      </c>
      <c r="C238">
        <v>4292.8522427203898</v>
      </c>
      <c r="D238">
        <v>2395.7524431391998</v>
      </c>
      <c r="E238">
        <v>4070.5890560776002</v>
      </c>
      <c r="F238">
        <v>8294.3363766437105</v>
      </c>
      <c r="G238">
        <v>6868.51639569297</v>
      </c>
      <c r="H238">
        <v>19992.545650235999</v>
      </c>
      <c r="I238">
        <v>8972.9280973052992</v>
      </c>
      <c r="J238">
        <v>341.09923765553799</v>
      </c>
      <c r="K238">
        <v>337.75327470615099</v>
      </c>
      <c r="L238">
        <v>269.37948120379298</v>
      </c>
      <c r="M238">
        <v>5788.1604934021498</v>
      </c>
      <c r="N238">
        <v>943.310910549239</v>
      </c>
      <c r="O238">
        <v>243.21429519010499</v>
      </c>
      <c r="P238">
        <v>384.45238654284998</v>
      </c>
      <c r="Q238">
        <v>4307.4826307488802</v>
      </c>
      <c r="R238">
        <v>255.51659850147701</v>
      </c>
      <c r="S238">
        <v>292.63763831370801</v>
      </c>
      <c r="T238">
        <v>175.13488817931699</v>
      </c>
      <c r="U238">
        <v>229.80871101767701</v>
      </c>
      <c r="V238">
        <v>170.94960368194501</v>
      </c>
      <c r="W238">
        <v>157.870624253427</v>
      </c>
      <c r="X238">
        <v>160.67051630685199</v>
      </c>
      <c r="Y238">
        <v>764.89612317129502</v>
      </c>
      <c r="Z238">
        <v>173.15915472318201</v>
      </c>
      <c r="AA238">
        <v>506.260054041236</v>
      </c>
      <c r="AB238">
        <v>674.88831596406806</v>
      </c>
      <c r="AC238">
        <v>933.07667149382996</v>
      </c>
      <c r="AD238">
        <v>268.02616868465799</v>
      </c>
      <c r="AE238">
        <v>816.14653494065601</v>
      </c>
      <c r="AF238">
        <v>896.631553137266</v>
      </c>
      <c r="AG238">
        <v>499.88171241228201</v>
      </c>
    </row>
    <row r="239" spans="1:33" x14ac:dyDescent="0.25">
      <c r="A239" s="1">
        <v>44290</v>
      </c>
      <c r="B239">
        <v>3627.62671910572</v>
      </c>
      <c r="C239">
        <v>4346.1561705055401</v>
      </c>
      <c r="D239">
        <v>2646.6522281256898</v>
      </c>
      <c r="E239">
        <v>4076.94709495093</v>
      </c>
      <c r="F239">
        <v>7832.9478168729602</v>
      </c>
      <c r="G239">
        <v>6085.1997374072998</v>
      </c>
      <c r="H239">
        <v>18946.922746007898</v>
      </c>
      <c r="I239">
        <v>9242.1908482052495</v>
      </c>
      <c r="J239">
        <v>342.73672890200999</v>
      </c>
      <c r="K239">
        <v>332.916393894252</v>
      </c>
      <c r="L239">
        <v>271.81964157642801</v>
      </c>
      <c r="M239">
        <v>5229.6534048084804</v>
      </c>
      <c r="N239">
        <v>791.601345817523</v>
      </c>
      <c r="O239">
        <v>237.493483317645</v>
      </c>
      <c r="P239">
        <v>374.59954032525297</v>
      </c>
      <c r="Q239">
        <v>3810.05535212223</v>
      </c>
      <c r="R239">
        <v>253.50231829229801</v>
      </c>
      <c r="S239">
        <v>289.505217324238</v>
      </c>
      <c r="T239">
        <v>172.56862102998201</v>
      </c>
      <c r="U239">
        <v>229.270747546883</v>
      </c>
      <c r="V239">
        <v>163.56032987020299</v>
      </c>
      <c r="W239">
        <v>159.18373475797901</v>
      </c>
      <c r="X239">
        <v>158.38562848383199</v>
      </c>
      <c r="Y239">
        <v>802.82347489254198</v>
      </c>
      <c r="Z239">
        <v>171.25869597360099</v>
      </c>
      <c r="AA239">
        <v>504.51375644246502</v>
      </c>
      <c r="AB239">
        <v>716.078989203986</v>
      </c>
      <c r="AC239">
        <v>901.38783638705195</v>
      </c>
      <c r="AD239">
        <v>270.55759712767701</v>
      </c>
      <c r="AE239">
        <v>829.56186580119504</v>
      </c>
      <c r="AF239">
        <v>911.431150638129</v>
      </c>
      <c r="AG239">
        <v>503.274451629064</v>
      </c>
    </row>
    <row r="240" spans="1:33" x14ac:dyDescent="0.25">
      <c r="A240" s="1">
        <v>44291</v>
      </c>
      <c r="B240">
        <v>3679.0850018124202</v>
      </c>
      <c r="C240">
        <v>3858.12319860447</v>
      </c>
      <c r="D240">
        <v>2970.9102914650998</v>
      </c>
      <c r="E240">
        <v>4139.3175642802898</v>
      </c>
      <c r="F240">
        <v>7499.7261123933204</v>
      </c>
      <c r="G240">
        <v>6046.8399697855202</v>
      </c>
      <c r="H240">
        <v>19029.064652098899</v>
      </c>
      <c r="I240">
        <v>9466.6937944778001</v>
      </c>
      <c r="J240">
        <v>343.083454793393</v>
      </c>
      <c r="K240">
        <v>337.266201991331</v>
      </c>
      <c r="L240">
        <v>269.94067926246998</v>
      </c>
      <c r="M240">
        <v>5240.4672110892898</v>
      </c>
      <c r="N240">
        <v>810.74120894248495</v>
      </c>
      <c r="O240">
        <v>240.299596160834</v>
      </c>
      <c r="P240">
        <v>383.22666280351501</v>
      </c>
      <c r="Q240">
        <v>3754.2324888220901</v>
      </c>
      <c r="R240">
        <v>254.55318593490099</v>
      </c>
      <c r="S240">
        <v>273.402474975801</v>
      </c>
      <c r="T240">
        <v>172.89407828896199</v>
      </c>
      <c r="U240">
        <v>225.308904165527</v>
      </c>
      <c r="V240">
        <v>164.413857217047</v>
      </c>
      <c r="W240">
        <v>153.277597918498</v>
      </c>
      <c r="X240">
        <v>158.714615398082</v>
      </c>
      <c r="Y240">
        <v>808.74690325253698</v>
      </c>
      <c r="Z240">
        <v>170.588673697632</v>
      </c>
      <c r="AA240">
        <v>509.011699632194</v>
      </c>
      <c r="AB240">
        <v>731.78902922843702</v>
      </c>
      <c r="AC240">
        <v>880.00320076318405</v>
      </c>
      <c r="AD240">
        <v>268.43573498819597</v>
      </c>
      <c r="AE240">
        <v>823.58469911971702</v>
      </c>
      <c r="AF240">
        <v>923.78473452056096</v>
      </c>
      <c r="AG240">
        <v>503.10759002466301</v>
      </c>
    </row>
    <row r="241" spans="1:33" x14ac:dyDescent="0.25">
      <c r="A241" s="1">
        <v>44292</v>
      </c>
      <c r="B241">
        <v>3737.8588376848702</v>
      </c>
      <c r="C241">
        <v>3678.5495274407199</v>
      </c>
      <c r="D241">
        <v>3281.1134594528398</v>
      </c>
      <c r="E241">
        <v>4181.1085994841796</v>
      </c>
      <c r="F241">
        <v>7283.1511797686098</v>
      </c>
      <c r="G241">
        <v>5796.3566916608997</v>
      </c>
      <c r="H241">
        <v>18277.5871071933</v>
      </c>
      <c r="I241">
        <v>9613.2682281604193</v>
      </c>
      <c r="J241">
        <v>343.96528305763502</v>
      </c>
      <c r="K241">
        <v>331.406173113443</v>
      </c>
      <c r="L241">
        <v>266.83351199380598</v>
      </c>
      <c r="M241">
        <v>4860.6490388987904</v>
      </c>
      <c r="N241">
        <v>683.35142808710998</v>
      </c>
      <c r="O241">
        <v>238.66194349633301</v>
      </c>
      <c r="P241">
        <v>369.112944345632</v>
      </c>
      <c r="Q241">
        <v>3502.44335942105</v>
      </c>
      <c r="R241">
        <v>252.949588261109</v>
      </c>
      <c r="S241">
        <v>263.71423969522601</v>
      </c>
      <c r="T241">
        <v>170.65992189378201</v>
      </c>
      <c r="U241">
        <v>226.35254464053401</v>
      </c>
      <c r="V241">
        <v>161.96476833176999</v>
      </c>
      <c r="W241">
        <v>146.747626946861</v>
      </c>
      <c r="X241">
        <v>158.01456634485601</v>
      </c>
      <c r="Y241">
        <v>805.82656252731795</v>
      </c>
      <c r="Z241">
        <v>169.91453829129799</v>
      </c>
      <c r="AA241">
        <v>508.656583640745</v>
      </c>
      <c r="AB241">
        <v>721.883512894928</v>
      </c>
      <c r="AC241">
        <v>878.65065207217697</v>
      </c>
      <c r="AD241">
        <v>269.029793097165</v>
      </c>
      <c r="AE241">
        <v>801.29613732413895</v>
      </c>
      <c r="AF241">
        <v>938.10824074528796</v>
      </c>
      <c r="AG241">
        <v>503.03645018340501</v>
      </c>
    </row>
    <row r="242" spans="1:33" x14ac:dyDescent="0.25">
      <c r="A242" s="1">
        <v>44293</v>
      </c>
      <c r="B242">
        <v>3821.6413214743302</v>
      </c>
      <c r="C242">
        <v>3459.2041711393399</v>
      </c>
      <c r="D242">
        <v>3477.34625803684</v>
      </c>
      <c r="E242">
        <v>4255.9241021502303</v>
      </c>
      <c r="F242">
        <v>7033.4609408619799</v>
      </c>
      <c r="G242">
        <v>5602.7970073093602</v>
      </c>
      <c r="H242">
        <v>18385.245318024099</v>
      </c>
      <c r="I242">
        <v>9653.9737746710907</v>
      </c>
      <c r="J242">
        <v>345.028661972777</v>
      </c>
      <c r="K242">
        <v>332.24615136830198</v>
      </c>
      <c r="L242">
        <v>266.63606171888102</v>
      </c>
      <c r="M242">
        <v>4692.8374582143097</v>
      </c>
      <c r="N242">
        <v>670.605316590097</v>
      </c>
      <c r="O242">
        <v>241.34781285441599</v>
      </c>
      <c r="P242">
        <v>373.55513193496398</v>
      </c>
      <c r="Q242">
        <v>3324.2372902340699</v>
      </c>
      <c r="R242">
        <v>254.921119422792</v>
      </c>
      <c r="S242">
        <v>246.004831493529</v>
      </c>
      <c r="T242">
        <v>169.201091670377</v>
      </c>
      <c r="U242">
        <v>222.27142815871201</v>
      </c>
      <c r="V242">
        <v>156.18352403934199</v>
      </c>
      <c r="W242">
        <v>143.909896439075</v>
      </c>
      <c r="X242">
        <v>149.37128478252899</v>
      </c>
      <c r="Y242">
        <v>753.96072251699104</v>
      </c>
      <c r="Z242">
        <v>169.426787219131</v>
      </c>
      <c r="AA242">
        <v>509.413115775412</v>
      </c>
      <c r="AB242">
        <v>674.57395056570704</v>
      </c>
      <c r="AC242">
        <v>876.50664581288004</v>
      </c>
      <c r="AD242">
        <v>267.908551169855</v>
      </c>
      <c r="AE242">
        <v>734.88597470120601</v>
      </c>
      <c r="AF242">
        <v>945.16818190797903</v>
      </c>
      <c r="AG242">
        <v>499.98849977800802</v>
      </c>
    </row>
    <row r="243" spans="1:33" x14ac:dyDescent="0.25">
      <c r="A243" s="1">
        <v>44294</v>
      </c>
      <c r="B243">
        <v>3953.3385094610699</v>
      </c>
      <c r="C243">
        <v>3195.0390133769602</v>
      </c>
      <c r="D243">
        <v>3508.31610134734</v>
      </c>
      <c r="E243">
        <v>4329.6080901994601</v>
      </c>
      <c r="F243">
        <v>6492.2705714428103</v>
      </c>
      <c r="G243">
        <v>4828.7678325452398</v>
      </c>
      <c r="H243">
        <v>16877.043937090701</v>
      </c>
      <c r="I243">
        <v>9644.1065571851796</v>
      </c>
      <c r="J243">
        <v>346.464189292328</v>
      </c>
      <c r="K243">
        <v>321.376022313595</v>
      </c>
      <c r="L243">
        <v>267.67080350295601</v>
      </c>
      <c r="M243">
        <v>4018.08043092049</v>
      </c>
      <c r="N243">
        <v>518.07811326010403</v>
      </c>
      <c r="O243">
        <v>236.776562052743</v>
      </c>
      <c r="P243">
        <v>341.87467678048199</v>
      </c>
      <c r="Q243">
        <v>2819.49024333233</v>
      </c>
      <c r="R243">
        <v>252.13832608877701</v>
      </c>
      <c r="S243">
        <v>244.250913502229</v>
      </c>
      <c r="T243">
        <v>165.083641375778</v>
      </c>
      <c r="U243">
        <v>222.55313928599099</v>
      </c>
      <c r="V243">
        <v>149.22591012334499</v>
      </c>
      <c r="W243">
        <v>141.61099620644299</v>
      </c>
      <c r="X243">
        <v>145.51315718547701</v>
      </c>
      <c r="Y243">
        <v>742.62675370642796</v>
      </c>
      <c r="Z243">
        <v>168.37989264072201</v>
      </c>
      <c r="AA243">
        <v>503.962445449109</v>
      </c>
      <c r="AB243">
        <v>655.00611340828095</v>
      </c>
      <c r="AC243">
        <v>865.47761771917999</v>
      </c>
      <c r="AD243">
        <v>270.72706608266202</v>
      </c>
      <c r="AE243">
        <v>703.37971883039097</v>
      </c>
      <c r="AF243">
        <v>953.084539563053</v>
      </c>
      <c r="AG243">
        <v>500.20079567192499</v>
      </c>
    </row>
    <row r="244" spans="1:33" x14ac:dyDescent="0.25">
      <c r="A244" s="1">
        <v>44295</v>
      </c>
      <c r="B244">
        <v>4076.4545197443099</v>
      </c>
      <c r="C244">
        <v>2788.0996073598799</v>
      </c>
      <c r="D244">
        <v>3494.3034499332002</v>
      </c>
      <c r="E244">
        <v>4420.8113822818204</v>
      </c>
      <c r="F244">
        <v>6055.6136577714897</v>
      </c>
      <c r="G244">
        <v>4871.6433240425404</v>
      </c>
      <c r="H244">
        <v>17369.0892231281</v>
      </c>
      <c r="I244">
        <v>9362.3113154726707</v>
      </c>
      <c r="J244">
        <v>346.92952123879201</v>
      </c>
      <c r="K244">
        <v>320.04467511468101</v>
      </c>
      <c r="L244">
        <v>264.23243802555203</v>
      </c>
      <c r="M244">
        <v>4062.1260757514301</v>
      </c>
      <c r="N244">
        <v>491.66336742439501</v>
      </c>
      <c r="O244">
        <v>238.65937341127099</v>
      </c>
      <c r="P244">
        <v>342.54010022142103</v>
      </c>
      <c r="Q244">
        <v>2798.7126283735001</v>
      </c>
      <c r="R244">
        <v>252.47135196065099</v>
      </c>
      <c r="S244">
        <v>254.31680704315099</v>
      </c>
      <c r="T244">
        <v>162.00252362617101</v>
      </c>
      <c r="U244">
        <v>221.43822592798099</v>
      </c>
      <c r="V244">
        <v>148.21833973635</v>
      </c>
      <c r="W244">
        <v>135.87221084249299</v>
      </c>
      <c r="X244">
        <v>142.04365769696199</v>
      </c>
      <c r="Y244">
        <v>690.78585468968402</v>
      </c>
      <c r="Z244">
        <v>167.90363073324599</v>
      </c>
      <c r="AA244">
        <v>507.27307737754199</v>
      </c>
      <c r="AB244">
        <v>613.35933833756303</v>
      </c>
      <c r="AC244">
        <v>859.35097186254495</v>
      </c>
      <c r="AD244">
        <v>266.77978402552799</v>
      </c>
      <c r="AE244">
        <v>643.11709513671804</v>
      </c>
      <c r="AF244">
        <v>953.36073978030902</v>
      </c>
      <c r="AG244">
        <v>496.53153493328199</v>
      </c>
    </row>
    <row r="245" spans="1:33" x14ac:dyDescent="0.25">
      <c r="A245" s="1">
        <v>44296</v>
      </c>
      <c r="B245">
        <v>4208.11435597737</v>
      </c>
      <c r="C245">
        <v>2701.9350783399</v>
      </c>
      <c r="D245">
        <v>3394.2891540013002</v>
      </c>
      <c r="E245">
        <v>4500.88547084111</v>
      </c>
      <c r="F245">
        <v>6049.2844942867896</v>
      </c>
      <c r="G245">
        <v>4672.4717658466698</v>
      </c>
      <c r="H245">
        <v>16839.367782996502</v>
      </c>
      <c r="I245">
        <v>9199.5700134325798</v>
      </c>
      <c r="J245">
        <v>346.91022207740099</v>
      </c>
      <c r="K245">
        <v>317.04430525452898</v>
      </c>
      <c r="L245">
        <v>264.42675992358602</v>
      </c>
      <c r="M245">
        <v>3881.8091807772298</v>
      </c>
      <c r="N245">
        <v>460.37665703592199</v>
      </c>
      <c r="O245">
        <v>235.626462938516</v>
      </c>
      <c r="P245">
        <v>336.005582442817</v>
      </c>
      <c r="Q245">
        <v>2642.2589357992701</v>
      </c>
      <c r="R245">
        <v>251.05417175445299</v>
      </c>
      <c r="S245">
        <v>250.01399516992601</v>
      </c>
      <c r="T245">
        <v>159.11554327450401</v>
      </c>
      <c r="U245">
        <v>218.89002175974301</v>
      </c>
      <c r="V245">
        <v>144.398612375265</v>
      </c>
      <c r="W245">
        <v>134.321942667728</v>
      </c>
      <c r="X245">
        <v>139.54373494160501</v>
      </c>
      <c r="Y245">
        <v>679.94193194441095</v>
      </c>
      <c r="Z245">
        <v>167.18366236410401</v>
      </c>
      <c r="AA245">
        <v>501.61887618501498</v>
      </c>
      <c r="AB245">
        <v>585.44470895617599</v>
      </c>
      <c r="AC245">
        <v>850.80743174513805</v>
      </c>
      <c r="AD245">
        <v>266.01377578762299</v>
      </c>
      <c r="AE245">
        <v>643.75110844509902</v>
      </c>
      <c r="AF245">
        <v>952.07152993683906</v>
      </c>
      <c r="AG245">
        <v>495.318575811291</v>
      </c>
    </row>
    <row r="246" spans="1:33" x14ac:dyDescent="0.25">
      <c r="A246" s="1">
        <v>44297</v>
      </c>
      <c r="B246">
        <v>4336.2438222487299</v>
      </c>
      <c r="C246">
        <v>2629.3481124025998</v>
      </c>
      <c r="D246">
        <v>3280.3657880669002</v>
      </c>
      <c r="E246">
        <v>4600.3449564319999</v>
      </c>
      <c r="F246">
        <v>6150.5074600869002</v>
      </c>
      <c r="G246">
        <v>5200.8741083391496</v>
      </c>
      <c r="H246">
        <v>17707.337994321399</v>
      </c>
      <c r="I246">
        <v>9022.1406036070603</v>
      </c>
      <c r="J246">
        <v>346.80143003977201</v>
      </c>
      <c r="K246">
        <v>319.70225568561199</v>
      </c>
      <c r="L246">
        <v>261.02115728057601</v>
      </c>
      <c r="M246">
        <v>4239.5157530865699</v>
      </c>
      <c r="N246">
        <v>493.39214411332802</v>
      </c>
      <c r="O246">
        <v>237.74184766432199</v>
      </c>
      <c r="P246">
        <v>342.87532361478497</v>
      </c>
      <c r="Q246">
        <v>2910.8758166491498</v>
      </c>
      <c r="R246">
        <v>251.64555554520101</v>
      </c>
      <c r="S246">
        <v>253.38795232499001</v>
      </c>
      <c r="T246">
        <v>155.84064879404099</v>
      </c>
      <c r="U246">
        <v>219.00079698193099</v>
      </c>
      <c r="V246">
        <v>141.52312228777501</v>
      </c>
      <c r="W246">
        <v>140.78199441824501</v>
      </c>
      <c r="X246">
        <v>134.60583467870899</v>
      </c>
      <c r="Y246">
        <v>671.37935998092303</v>
      </c>
      <c r="Z246">
        <v>166.15308785973599</v>
      </c>
      <c r="AA246">
        <v>501.98963748070003</v>
      </c>
      <c r="AB246">
        <v>584.18396298778202</v>
      </c>
      <c r="AC246">
        <v>837.13474509615105</v>
      </c>
      <c r="AD246">
        <v>261.724716300681</v>
      </c>
      <c r="AE246">
        <v>676.36783678926702</v>
      </c>
      <c r="AF246">
        <v>948.53409988602698</v>
      </c>
      <c r="AG246">
        <v>496.19497008994603</v>
      </c>
    </row>
    <row r="247" spans="1:33" x14ac:dyDescent="0.25">
      <c r="A247" s="1">
        <v>44298</v>
      </c>
      <c r="B247">
        <v>4440.3766090553299</v>
      </c>
      <c r="C247">
        <v>2905.7830433622898</v>
      </c>
      <c r="D247">
        <v>3169.44274167614</v>
      </c>
      <c r="E247">
        <v>4716.0350753696803</v>
      </c>
      <c r="F247">
        <v>6739.6628339907202</v>
      </c>
      <c r="G247">
        <v>6151.51913243337</v>
      </c>
      <c r="H247">
        <v>19067.138232471701</v>
      </c>
      <c r="I247">
        <v>9017.4549402872108</v>
      </c>
      <c r="J247">
        <v>346.728343723519</v>
      </c>
      <c r="K247">
        <v>330.11872518085102</v>
      </c>
      <c r="L247">
        <v>259.21769360972502</v>
      </c>
      <c r="M247">
        <v>4927.3796474565197</v>
      </c>
      <c r="N247">
        <v>599.841648579663</v>
      </c>
      <c r="O247">
        <v>240.63680588165201</v>
      </c>
      <c r="P247">
        <v>359.06280737488299</v>
      </c>
      <c r="Q247">
        <v>3467.0627997914798</v>
      </c>
      <c r="R247">
        <v>253.90525588436401</v>
      </c>
      <c r="S247">
        <v>242.984410056348</v>
      </c>
      <c r="T247">
        <v>154.102942840662</v>
      </c>
      <c r="U247">
        <v>216.843056337391</v>
      </c>
      <c r="V247">
        <v>143.75676138780199</v>
      </c>
      <c r="W247">
        <v>135.423576159943</v>
      </c>
      <c r="X247">
        <v>138.026634024434</v>
      </c>
      <c r="Y247">
        <v>647.75705001397296</v>
      </c>
      <c r="Z247">
        <v>164.37034933631699</v>
      </c>
      <c r="AA247">
        <v>500.91243323825898</v>
      </c>
      <c r="AB247">
        <v>563.48635205055598</v>
      </c>
      <c r="AC247">
        <v>822.96305227745199</v>
      </c>
      <c r="AD247">
        <v>257.87880007547801</v>
      </c>
      <c r="AE247">
        <v>587.10427273912296</v>
      </c>
      <c r="AF247">
        <v>944.80435209231803</v>
      </c>
      <c r="AG247">
        <v>496.42150807569402</v>
      </c>
    </row>
    <row r="248" spans="1:33" x14ac:dyDescent="0.25">
      <c r="A248" s="1">
        <v>44299</v>
      </c>
      <c r="B248">
        <v>4509.94016385942</v>
      </c>
      <c r="C248">
        <v>3431.60991800486</v>
      </c>
      <c r="D248">
        <v>3039.1125991999102</v>
      </c>
      <c r="E248">
        <v>4774.1876639675202</v>
      </c>
      <c r="F248">
        <v>7308.3561000158197</v>
      </c>
      <c r="G248">
        <v>6540.8122943614198</v>
      </c>
      <c r="H248">
        <v>19490.0852993101</v>
      </c>
      <c r="I248">
        <v>9216.0758567678295</v>
      </c>
      <c r="J248">
        <v>347.98117383951501</v>
      </c>
      <c r="K248">
        <v>338.02387633982602</v>
      </c>
      <c r="L248">
        <v>259.79214717575701</v>
      </c>
      <c r="M248">
        <v>5421.15488818826</v>
      </c>
      <c r="N248">
        <v>709.25825459033194</v>
      </c>
      <c r="O248">
        <v>239.65373966587299</v>
      </c>
      <c r="P248">
        <v>371.15086967185698</v>
      </c>
      <c r="Q248">
        <v>3859.0672594907101</v>
      </c>
      <c r="R248">
        <v>255.251840604785</v>
      </c>
      <c r="S248">
        <v>234.25186981659101</v>
      </c>
      <c r="T248">
        <v>154.110144035605</v>
      </c>
      <c r="U248">
        <v>213.236845476837</v>
      </c>
      <c r="V248">
        <v>145.524646366665</v>
      </c>
      <c r="W248">
        <v>137.729524283833</v>
      </c>
      <c r="X248">
        <v>139.38975528686601</v>
      </c>
      <c r="Y248">
        <v>651.69676765919803</v>
      </c>
      <c r="Z248">
        <v>161.72990085834201</v>
      </c>
      <c r="AA248">
        <v>495.59702465108302</v>
      </c>
      <c r="AB248">
        <v>564.17027951050795</v>
      </c>
      <c r="AC248">
        <v>804.91763939262103</v>
      </c>
      <c r="AD248">
        <v>256.79032863244203</v>
      </c>
      <c r="AE248">
        <v>432.58250967409901</v>
      </c>
      <c r="AF248">
        <v>940.60057132309703</v>
      </c>
      <c r="AG248">
        <v>497.32855410311902</v>
      </c>
    </row>
    <row r="249" spans="1:33" x14ac:dyDescent="0.25">
      <c r="A249" s="1">
        <v>44300</v>
      </c>
      <c r="B249">
        <v>4540.6067883546402</v>
      </c>
      <c r="C249">
        <v>3742.9554513580201</v>
      </c>
      <c r="D249">
        <v>2992.2076012079001</v>
      </c>
      <c r="E249">
        <v>4770.3583971325297</v>
      </c>
      <c r="F249">
        <v>7671.3454276975999</v>
      </c>
      <c r="G249">
        <v>6317.4627022941304</v>
      </c>
      <c r="H249">
        <v>18839.913845493898</v>
      </c>
      <c r="I249">
        <v>9472.5057282690905</v>
      </c>
      <c r="J249">
        <v>349.63041062347099</v>
      </c>
      <c r="K249">
        <v>342.62873800790197</v>
      </c>
      <c r="L249">
        <v>259.76967942910801</v>
      </c>
      <c r="M249">
        <v>5378.4560648719598</v>
      </c>
      <c r="N249">
        <v>710.52730079104595</v>
      </c>
      <c r="O249">
        <v>232.300177171055</v>
      </c>
      <c r="P249">
        <v>380.89002018960798</v>
      </c>
      <c r="Q249">
        <v>3833.1241686624398</v>
      </c>
      <c r="R249">
        <v>252.38021817955101</v>
      </c>
      <c r="S249">
        <v>235.75615303601501</v>
      </c>
      <c r="T249">
        <v>152.252807602323</v>
      </c>
      <c r="U249">
        <v>211.61671499518499</v>
      </c>
      <c r="V249">
        <v>142.28270039963101</v>
      </c>
      <c r="W249">
        <v>140.822760780105</v>
      </c>
      <c r="X249">
        <v>136.06460373513301</v>
      </c>
      <c r="Y249">
        <v>662.60273830309302</v>
      </c>
      <c r="Z249">
        <v>159.14038401296699</v>
      </c>
      <c r="AA249">
        <v>487.44204727089902</v>
      </c>
      <c r="AB249">
        <v>571.48960361567401</v>
      </c>
      <c r="AC249">
        <v>788.06927832489703</v>
      </c>
      <c r="AD249">
        <v>256.01272693686201</v>
      </c>
      <c r="AE249">
        <v>364.60702467070502</v>
      </c>
      <c r="AF249">
        <v>934.60397784145505</v>
      </c>
      <c r="AG249">
        <v>498.54611348732698</v>
      </c>
    </row>
    <row r="250" spans="1:33" x14ac:dyDescent="0.25">
      <c r="A250" s="1">
        <v>44301</v>
      </c>
      <c r="B250">
        <v>4525.1082764884504</v>
      </c>
      <c r="C250">
        <v>3644.2090638693498</v>
      </c>
      <c r="D250">
        <v>3056.7429024571402</v>
      </c>
      <c r="E250">
        <v>4711.4015151091899</v>
      </c>
      <c r="F250">
        <v>7688.3061151316997</v>
      </c>
      <c r="G250">
        <v>6392.41696416595</v>
      </c>
      <c r="H250">
        <v>18697.6059094423</v>
      </c>
      <c r="I250">
        <v>9717.1703511982505</v>
      </c>
      <c r="J250">
        <v>351.06506931570402</v>
      </c>
      <c r="K250">
        <v>344.22063067589801</v>
      </c>
      <c r="L250">
        <v>259.12827407006802</v>
      </c>
      <c r="M250">
        <v>5347.5846803491704</v>
      </c>
      <c r="N250">
        <v>670.16633081886505</v>
      </c>
      <c r="O250">
        <v>230.163267867244</v>
      </c>
      <c r="P250">
        <v>381.92944280026302</v>
      </c>
      <c r="Q250">
        <v>3883.67353085584</v>
      </c>
      <c r="R250">
        <v>250.65775513252001</v>
      </c>
      <c r="S250">
        <v>236.22016282651501</v>
      </c>
      <c r="T250">
        <v>151.41444161614899</v>
      </c>
      <c r="U250">
        <v>211.171816255458</v>
      </c>
      <c r="V250">
        <v>143.64475197866901</v>
      </c>
      <c r="W250">
        <v>137.50082385912799</v>
      </c>
      <c r="X250">
        <v>139.175642861179</v>
      </c>
      <c r="Y250">
        <v>666.17295334644405</v>
      </c>
      <c r="Z250">
        <v>156.91706754627</v>
      </c>
      <c r="AA250">
        <v>485.91771987076902</v>
      </c>
      <c r="AB250">
        <v>581.66896357543703</v>
      </c>
      <c r="AC250">
        <v>748.53795308828103</v>
      </c>
      <c r="AD250">
        <v>254.83341593873101</v>
      </c>
      <c r="AE250">
        <v>280.57846110830201</v>
      </c>
      <c r="AF250">
        <v>928.13684953778397</v>
      </c>
      <c r="AG250">
        <v>499.03711269334502</v>
      </c>
    </row>
    <row r="251" spans="1:33" x14ac:dyDescent="0.25">
      <c r="A251" s="1">
        <v>44302</v>
      </c>
      <c r="B251">
        <v>4486.6030981573604</v>
      </c>
      <c r="C251">
        <v>3714.0176706156299</v>
      </c>
      <c r="D251">
        <v>3191.7178089243098</v>
      </c>
      <c r="E251">
        <v>4690.6402361536002</v>
      </c>
      <c r="F251">
        <v>7721.4501952543897</v>
      </c>
      <c r="G251">
        <v>6417.7630253264897</v>
      </c>
      <c r="H251">
        <v>19251.2475067409</v>
      </c>
      <c r="I251">
        <v>9690.5701953685093</v>
      </c>
      <c r="J251">
        <v>353.16186070866701</v>
      </c>
      <c r="K251">
        <v>349.01566940527903</v>
      </c>
      <c r="L251">
        <v>259.34748019101602</v>
      </c>
      <c r="M251">
        <v>5393.1099235378997</v>
      </c>
      <c r="N251">
        <v>708.57677567977203</v>
      </c>
      <c r="O251">
        <v>233.396020008205</v>
      </c>
      <c r="P251">
        <v>391.65670953972801</v>
      </c>
      <c r="Q251">
        <v>3985.9465705509501</v>
      </c>
      <c r="R251">
        <v>253.68515311236999</v>
      </c>
      <c r="S251">
        <v>234.298249050783</v>
      </c>
      <c r="T251">
        <v>151.946561029149</v>
      </c>
      <c r="U251">
        <v>208.88937983210801</v>
      </c>
      <c r="V251">
        <v>145.515950526197</v>
      </c>
      <c r="W251">
        <v>127.31323730577201</v>
      </c>
      <c r="X251">
        <v>140.38257598534099</v>
      </c>
      <c r="Y251">
        <v>660.72135690675395</v>
      </c>
      <c r="Z251">
        <v>155.60581165715999</v>
      </c>
      <c r="AA251">
        <v>489.36612329370598</v>
      </c>
      <c r="AB251">
        <v>585.75381163529005</v>
      </c>
      <c r="AC251">
        <v>722.16268049679297</v>
      </c>
      <c r="AD251">
        <v>254.597912088931</v>
      </c>
      <c r="AE251">
        <v>191.22145356687801</v>
      </c>
      <c r="AF251">
        <v>921.34133953899004</v>
      </c>
      <c r="AG251">
        <v>496.88933960436299</v>
      </c>
    </row>
    <row r="252" spans="1:33" x14ac:dyDescent="0.25">
      <c r="A252" s="1">
        <v>44303</v>
      </c>
      <c r="B252">
        <v>4450.8677743910703</v>
      </c>
      <c r="C252">
        <v>4024.1956060040402</v>
      </c>
      <c r="D252">
        <v>3310.1734956642899</v>
      </c>
      <c r="E252">
        <v>4722.4581629906897</v>
      </c>
      <c r="F252">
        <v>7650.0240871762198</v>
      </c>
      <c r="G252">
        <v>5931.8708046807897</v>
      </c>
      <c r="H252">
        <v>18492.0721910104</v>
      </c>
      <c r="I252">
        <v>9807.9798264238507</v>
      </c>
      <c r="J252">
        <v>353.14875350282102</v>
      </c>
      <c r="K252">
        <v>344.38699457093202</v>
      </c>
      <c r="L252">
        <v>259.48087359284102</v>
      </c>
      <c r="M252">
        <v>5106.2570824321601</v>
      </c>
      <c r="N252">
        <v>740.79026825318704</v>
      </c>
      <c r="O252">
        <v>228.29088008919399</v>
      </c>
      <c r="P252">
        <v>383.89219640592501</v>
      </c>
      <c r="Q252">
        <v>3668.57238754031</v>
      </c>
      <c r="R252">
        <v>250.49853916673001</v>
      </c>
      <c r="S252">
        <v>235.434375338406</v>
      </c>
      <c r="T252">
        <v>151.88575130010801</v>
      </c>
      <c r="U252">
        <v>207.29331579009499</v>
      </c>
      <c r="V252">
        <v>139.49369678357101</v>
      </c>
      <c r="W252">
        <v>127.557253968277</v>
      </c>
      <c r="X252">
        <v>133.64058617635399</v>
      </c>
      <c r="Y252">
        <v>664.95203569739704</v>
      </c>
      <c r="Z252">
        <v>154.58073341665099</v>
      </c>
      <c r="AA252">
        <v>490.39381921087102</v>
      </c>
      <c r="AB252">
        <v>603.61782016423103</v>
      </c>
      <c r="AC252">
        <v>695.65595250028605</v>
      </c>
      <c r="AD252">
        <v>254.97957377542801</v>
      </c>
      <c r="AE252">
        <v>108.96790175652001</v>
      </c>
      <c r="AF252">
        <v>907.08999330441202</v>
      </c>
      <c r="AG252">
        <v>496.32940108927897</v>
      </c>
    </row>
    <row r="253" spans="1:33" x14ac:dyDescent="0.25">
      <c r="A253" s="1">
        <v>44304</v>
      </c>
      <c r="B253">
        <v>4431.7562227902799</v>
      </c>
      <c r="C253">
        <v>3730.0783761432999</v>
      </c>
      <c r="D253">
        <v>3413.1780722161998</v>
      </c>
      <c r="E253">
        <v>4543.3193288395896</v>
      </c>
      <c r="F253">
        <v>7102.6067150847402</v>
      </c>
      <c r="G253">
        <v>5175.9426893776699</v>
      </c>
      <c r="H253">
        <v>17733.5762629083</v>
      </c>
      <c r="I253">
        <v>9922.4381064939098</v>
      </c>
      <c r="J253">
        <v>352.09350302331399</v>
      </c>
      <c r="K253">
        <v>330.71713446657401</v>
      </c>
      <c r="L253">
        <v>259.27282025260399</v>
      </c>
      <c r="M253">
        <v>4439.6434724947003</v>
      </c>
      <c r="N253">
        <v>539.98795730861298</v>
      </c>
      <c r="O253">
        <v>219.78785052275401</v>
      </c>
      <c r="P253">
        <v>356.20311526805102</v>
      </c>
      <c r="Q253">
        <v>3049.2024604418498</v>
      </c>
      <c r="R253">
        <v>244.60106047450901</v>
      </c>
      <c r="S253">
        <v>249.823909632045</v>
      </c>
      <c r="T253">
        <v>147.317332081665</v>
      </c>
      <c r="U253">
        <v>207.29628038773799</v>
      </c>
      <c r="V253">
        <v>129.46854787940501</v>
      </c>
      <c r="W253">
        <v>125.509426153132</v>
      </c>
      <c r="X253">
        <v>126.911277379531</v>
      </c>
      <c r="Y253">
        <v>682.53706659471902</v>
      </c>
      <c r="Z253">
        <v>154.43962307357</v>
      </c>
      <c r="AA253">
        <v>485.52506406245601</v>
      </c>
      <c r="AB253">
        <v>631.63205081379499</v>
      </c>
      <c r="AC253">
        <v>698.88108840816403</v>
      </c>
      <c r="AD253">
        <v>256.46631702207401</v>
      </c>
      <c r="AE253">
        <v>252.78706241965099</v>
      </c>
      <c r="AF253">
        <v>877.20575897069102</v>
      </c>
      <c r="AG253">
        <v>499.38528669736502</v>
      </c>
    </row>
    <row r="254" spans="1:33" x14ac:dyDescent="0.25">
      <c r="A254" s="1">
        <v>44305</v>
      </c>
      <c r="B254">
        <v>4399.9196518423396</v>
      </c>
      <c r="C254">
        <v>2977.5060210914698</v>
      </c>
      <c r="D254">
        <v>3505.2959465495701</v>
      </c>
      <c r="E254">
        <v>4559.8475012340004</v>
      </c>
      <c r="F254">
        <v>6762.9497949402803</v>
      </c>
      <c r="G254">
        <v>5583.0462876784704</v>
      </c>
      <c r="H254">
        <v>18972.9168138942</v>
      </c>
      <c r="I254">
        <v>9838.8986845201307</v>
      </c>
      <c r="J254">
        <v>350.52649588260101</v>
      </c>
      <c r="K254">
        <v>332.330888960528</v>
      </c>
      <c r="L254">
        <v>255.50455011876801</v>
      </c>
      <c r="M254">
        <v>4807.2378406486796</v>
      </c>
      <c r="N254">
        <v>668.85039054023696</v>
      </c>
      <c r="O254">
        <v>225.44637036149501</v>
      </c>
      <c r="P254">
        <v>362.06185717534697</v>
      </c>
      <c r="Q254">
        <v>3305.76803384704</v>
      </c>
      <c r="R254">
        <v>247.11613795304299</v>
      </c>
      <c r="S254">
        <v>254.34769794359801</v>
      </c>
      <c r="T254">
        <v>147.20377417428</v>
      </c>
      <c r="U254">
        <v>204.725189135248</v>
      </c>
      <c r="V254">
        <v>131.85122019793999</v>
      </c>
      <c r="W254">
        <v>125.02040623463201</v>
      </c>
      <c r="X254">
        <v>126.542907524802</v>
      </c>
      <c r="Y254">
        <v>662.02207466531797</v>
      </c>
      <c r="Z254">
        <v>155.38067169633899</v>
      </c>
      <c r="AA254">
        <v>493.602559968055</v>
      </c>
      <c r="AB254">
        <v>608.52736135903297</v>
      </c>
      <c r="AC254">
        <v>722.29416915086699</v>
      </c>
      <c r="AD254">
        <v>252.95067203416701</v>
      </c>
      <c r="AE254">
        <v>256.42863077200701</v>
      </c>
      <c r="AF254">
        <v>851.63869937216998</v>
      </c>
      <c r="AG254">
        <v>494.66589083497701</v>
      </c>
    </row>
    <row r="255" spans="1:33" x14ac:dyDescent="0.25">
      <c r="A255" s="1">
        <v>44306</v>
      </c>
      <c r="B255">
        <v>4381.2586785619496</v>
      </c>
      <c r="C255">
        <v>3296.2009176546098</v>
      </c>
      <c r="D255">
        <v>3538.0239589385501</v>
      </c>
      <c r="E255">
        <v>4608.5066658104497</v>
      </c>
      <c r="F255">
        <v>6625.2934945311399</v>
      </c>
      <c r="G255">
        <v>5550.8459211438803</v>
      </c>
      <c r="H255">
        <v>19708.064373879301</v>
      </c>
      <c r="I255">
        <v>9802.8310864318992</v>
      </c>
      <c r="J255">
        <v>349.13590273279198</v>
      </c>
      <c r="K255">
        <v>323.60250026381101</v>
      </c>
      <c r="L255">
        <v>253.85963844127701</v>
      </c>
      <c r="M255">
        <v>4908.6249754033797</v>
      </c>
      <c r="N255">
        <v>709.31322778248102</v>
      </c>
      <c r="O255">
        <v>227.36953347690201</v>
      </c>
      <c r="P255">
        <v>353.75833144554701</v>
      </c>
      <c r="Q255">
        <v>3381.1012279351598</v>
      </c>
      <c r="R255">
        <v>248.536788652372</v>
      </c>
      <c r="S255">
        <v>232.38503492486399</v>
      </c>
      <c r="T255">
        <v>146.734478050457</v>
      </c>
      <c r="U255">
        <v>203.25732776773501</v>
      </c>
      <c r="V255">
        <v>132.348454250625</v>
      </c>
      <c r="W255">
        <v>131.54149142857199</v>
      </c>
      <c r="X255">
        <v>126.061810109758</v>
      </c>
      <c r="Y255">
        <v>664.668388800956</v>
      </c>
      <c r="Z255">
        <v>155.92210677496499</v>
      </c>
      <c r="AA255">
        <v>487.061994561044</v>
      </c>
      <c r="AB255">
        <v>611.57235893844802</v>
      </c>
      <c r="AC255">
        <v>732.32321757650004</v>
      </c>
      <c r="AD255">
        <v>251.63854582869899</v>
      </c>
      <c r="AE255">
        <v>183.08550717899101</v>
      </c>
      <c r="AF255">
        <v>815.01521509890597</v>
      </c>
      <c r="AG255">
        <v>492.29063505873802</v>
      </c>
    </row>
    <row r="256" spans="1:33" x14ac:dyDescent="0.25">
      <c r="A256" s="1">
        <v>44307</v>
      </c>
      <c r="B256">
        <v>4410.0704025447303</v>
      </c>
      <c r="C256">
        <v>3442.6049642196799</v>
      </c>
      <c r="D256">
        <v>3512.1924570889501</v>
      </c>
      <c r="E256">
        <v>4710.6511589190704</v>
      </c>
      <c r="F256">
        <v>6523.3894777918003</v>
      </c>
      <c r="G256">
        <v>5854.0580567546403</v>
      </c>
      <c r="H256">
        <v>19809.386643202299</v>
      </c>
      <c r="I256">
        <v>9722.8045919574397</v>
      </c>
      <c r="J256">
        <v>347.59913183903501</v>
      </c>
      <c r="K256">
        <v>320.41516915430498</v>
      </c>
      <c r="L256">
        <v>251.516801393793</v>
      </c>
      <c r="M256">
        <v>5017.0894666239601</v>
      </c>
      <c r="N256">
        <v>690.51532353118102</v>
      </c>
      <c r="O256">
        <v>228.31571661254901</v>
      </c>
      <c r="P256">
        <v>351.50088959297199</v>
      </c>
      <c r="Q256">
        <v>3461.3169054056798</v>
      </c>
      <c r="R256">
        <v>245.48733405192601</v>
      </c>
      <c r="S256">
        <v>219.75120372805301</v>
      </c>
      <c r="T256">
        <v>144.84811327930299</v>
      </c>
      <c r="U256">
        <v>202.283470545071</v>
      </c>
      <c r="V256">
        <v>131.03654874600701</v>
      </c>
      <c r="W256">
        <v>129.92342811297701</v>
      </c>
      <c r="X256">
        <v>125.700172575563</v>
      </c>
      <c r="Y256">
        <v>671.78974534489896</v>
      </c>
      <c r="Z256">
        <v>156.068466056966</v>
      </c>
      <c r="AA256">
        <v>482.91661155463203</v>
      </c>
      <c r="AB256">
        <v>614.36760001983805</v>
      </c>
      <c r="AC256">
        <v>721.80592642193199</v>
      </c>
      <c r="AD256">
        <v>250.605517033029</v>
      </c>
      <c r="AE256">
        <v>84.269010448859603</v>
      </c>
      <c r="AF256">
        <v>779.63773498272701</v>
      </c>
      <c r="AG256">
        <v>491.27159789551001</v>
      </c>
    </row>
    <row r="257" spans="1:33" x14ac:dyDescent="0.25">
      <c r="A257" s="1">
        <v>44308</v>
      </c>
      <c r="B257">
        <v>4467.8279451826102</v>
      </c>
      <c r="C257">
        <v>3438.8684697905401</v>
      </c>
      <c r="D257">
        <v>3476.7512472346798</v>
      </c>
      <c r="E257">
        <v>4814.68363860724</v>
      </c>
      <c r="F257">
        <v>6969.6566314919901</v>
      </c>
      <c r="G257">
        <v>6544.0775747341904</v>
      </c>
      <c r="H257">
        <v>20538.0725317447</v>
      </c>
      <c r="I257">
        <v>9639.7692166840097</v>
      </c>
      <c r="J257">
        <v>346.16857566661099</v>
      </c>
      <c r="K257">
        <v>324.99740806838798</v>
      </c>
      <c r="L257">
        <v>250.62131354383499</v>
      </c>
      <c r="M257">
        <v>5256.9557994435399</v>
      </c>
      <c r="N257">
        <v>718.949569160024</v>
      </c>
      <c r="O257">
        <v>233.17291264252299</v>
      </c>
      <c r="P257">
        <v>353.71886279156399</v>
      </c>
      <c r="Q257">
        <v>3788.80269121023</v>
      </c>
      <c r="R257">
        <v>246.90277834538699</v>
      </c>
      <c r="S257">
        <v>201.74790643794699</v>
      </c>
      <c r="T257">
        <v>144.776946018834</v>
      </c>
      <c r="U257">
        <v>200.92649977788699</v>
      </c>
      <c r="V257">
        <v>138.231423597218</v>
      </c>
      <c r="W257">
        <v>125.795725098094</v>
      </c>
      <c r="X257">
        <v>130.13255500513901</v>
      </c>
      <c r="Y257">
        <v>673.63496950052695</v>
      </c>
      <c r="Z257">
        <v>155.40599003181899</v>
      </c>
      <c r="AA257">
        <v>476.29091376296401</v>
      </c>
      <c r="AB257">
        <v>611.96026558459903</v>
      </c>
      <c r="AC257">
        <v>698.55207679484897</v>
      </c>
      <c r="AD257">
        <v>251.891958199513</v>
      </c>
      <c r="AE257">
        <v>119.74836290811101</v>
      </c>
      <c r="AF257">
        <v>755.24963697663702</v>
      </c>
      <c r="AG257">
        <v>488.89678063479801</v>
      </c>
    </row>
    <row r="258" spans="1:33" x14ac:dyDescent="0.25">
      <c r="A258" s="1">
        <v>44309</v>
      </c>
      <c r="B258">
        <v>4548.1455646117402</v>
      </c>
      <c r="C258">
        <v>3797.1525174612598</v>
      </c>
      <c r="D258">
        <v>3436.4581241948999</v>
      </c>
      <c r="E258">
        <v>4859.1154772448899</v>
      </c>
      <c r="F258">
        <v>7064.7204365724601</v>
      </c>
      <c r="G258">
        <v>6153.8576684597901</v>
      </c>
      <c r="H258">
        <v>19170.229367218799</v>
      </c>
      <c r="I258">
        <v>9682.1118675403904</v>
      </c>
      <c r="J258">
        <v>345.67379319452903</v>
      </c>
      <c r="K258">
        <v>321.86003028805601</v>
      </c>
      <c r="L258">
        <v>252.71908582845001</v>
      </c>
      <c r="M258">
        <v>5167.2858320177702</v>
      </c>
      <c r="N258">
        <v>721.39939721407995</v>
      </c>
      <c r="O258">
        <v>231.708781731426</v>
      </c>
      <c r="P258">
        <v>346.36392364247399</v>
      </c>
      <c r="Q258">
        <v>3645.9515999680698</v>
      </c>
      <c r="R258">
        <v>245.97445629989801</v>
      </c>
      <c r="S258">
        <v>192.877982570244</v>
      </c>
      <c r="T258">
        <v>144.28074915807301</v>
      </c>
      <c r="U258">
        <v>198.73594528769101</v>
      </c>
      <c r="V258">
        <v>137.938675984014</v>
      </c>
      <c r="W258">
        <v>124.97785554485699</v>
      </c>
      <c r="X258">
        <v>131.31226932436201</v>
      </c>
      <c r="Y258">
        <v>669.74255598339801</v>
      </c>
      <c r="Z258">
        <v>153.055401905927</v>
      </c>
      <c r="AA258">
        <v>469.21736682631098</v>
      </c>
      <c r="AB258">
        <v>607.909948725341</v>
      </c>
      <c r="AC258">
        <v>691.81456884157205</v>
      </c>
      <c r="AD258">
        <v>255.18473732655801</v>
      </c>
      <c r="AE258">
        <v>130.712326298064</v>
      </c>
      <c r="AF258">
        <v>746.69147994844604</v>
      </c>
      <c r="AG258">
        <v>489.63128338980601</v>
      </c>
    </row>
    <row r="259" spans="1:33" x14ac:dyDescent="0.25">
      <c r="A259" s="1">
        <v>44310</v>
      </c>
      <c r="B259">
        <v>4608.9408033965401</v>
      </c>
      <c r="C259">
        <v>3593.83147384621</v>
      </c>
      <c r="D259">
        <v>3482.1665703265699</v>
      </c>
      <c r="E259">
        <v>4946.1073360778901</v>
      </c>
      <c r="F259">
        <v>7213.9683923229804</v>
      </c>
      <c r="G259">
        <v>6510.5384159148098</v>
      </c>
      <c r="H259">
        <v>19823.014295266399</v>
      </c>
      <c r="I259">
        <v>9816.5157386377196</v>
      </c>
      <c r="J259">
        <v>346.14574830180101</v>
      </c>
      <c r="K259">
        <v>329.73728542248602</v>
      </c>
      <c r="L259">
        <v>254.750896565494</v>
      </c>
      <c r="M259">
        <v>5464.9224957523002</v>
      </c>
      <c r="N259">
        <v>819.96317403960995</v>
      </c>
      <c r="O259">
        <v>237.366841367528</v>
      </c>
      <c r="P259">
        <v>367.18575719877799</v>
      </c>
      <c r="Q259">
        <v>3966.2364527283298</v>
      </c>
      <c r="R259">
        <v>248.39881906347799</v>
      </c>
      <c r="S259">
        <v>188.00133537547001</v>
      </c>
      <c r="T259">
        <v>146.18662222915901</v>
      </c>
      <c r="U259">
        <v>197.10401765509201</v>
      </c>
      <c r="V259">
        <v>141.70409929666801</v>
      </c>
      <c r="W259">
        <v>124.36087192560601</v>
      </c>
      <c r="X259">
        <v>129.21555411920201</v>
      </c>
      <c r="Y259">
        <v>645.068529202994</v>
      </c>
      <c r="Z259">
        <v>150.37404489577</v>
      </c>
      <c r="AA259">
        <v>470.18967015178799</v>
      </c>
      <c r="AB259">
        <v>588.40049133397395</v>
      </c>
      <c r="AC259">
        <v>675.12295464986198</v>
      </c>
      <c r="AD259">
        <v>255.12616172299499</v>
      </c>
      <c r="AE259">
        <v>153.30392463215799</v>
      </c>
      <c r="AF259">
        <v>746.59482097358296</v>
      </c>
      <c r="AG259">
        <v>487.41320443722901</v>
      </c>
    </row>
    <row r="260" spans="1:33" x14ac:dyDescent="0.25">
      <c r="A260" s="1">
        <v>44311</v>
      </c>
      <c r="B260">
        <v>4681.7364563679903</v>
      </c>
      <c r="C260">
        <v>3729.6892525359499</v>
      </c>
      <c r="D260">
        <v>3569.6467541501502</v>
      </c>
      <c r="E260">
        <v>5047.2427740165904</v>
      </c>
      <c r="F260">
        <v>7701.3625146940703</v>
      </c>
      <c r="G260">
        <v>6732.1503530735099</v>
      </c>
      <c r="H260">
        <v>19038.5886003216</v>
      </c>
      <c r="I260">
        <v>10075.988527895501</v>
      </c>
      <c r="J260">
        <v>348.39150980294102</v>
      </c>
      <c r="K260">
        <v>338.69532813217103</v>
      </c>
      <c r="L260">
        <v>259.10743874199699</v>
      </c>
      <c r="M260">
        <v>5657.1656981865299</v>
      </c>
      <c r="N260">
        <v>976.352757822532</v>
      </c>
      <c r="O260">
        <v>235.905404970288</v>
      </c>
      <c r="P260">
        <v>372.14275803230299</v>
      </c>
      <c r="Q260">
        <v>4121.4064365594004</v>
      </c>
      <c r="R260">
        <v>248.483235397801</v>
      </c>
      <c r="S260">
        <v>189.29599959170901</v>
      </c>
      <c r="T260">
        <v>147.860389122176</v>
      </c>
      <c r="U260">
        <v>195.61709596427499</v>
      </c>
      <c r="V260">
        <v>145.43714937080301</v>
      </c>
      <c r="W260">
        <v>119.512565176603</v>
      </c>
      <c r="X260">
        <v>128.976401434949</v>
      </c>
      <c r="Y260">
        <v>633.81224757679104</v>
      </c>
      <c r="Z260">
        <v>147.84461791008701</v>
      </c>
      <c r="AA260">
        <v>468.722113238975</v>
      </c>
      <c r="AB260">
        <v>581.23379407118398</v>
      </c>
      <c r="AC260">
        <v>607.85597105636896</v>
      </c>
      <c r="AD260">
        <v>258.49133558900701</v>
      </c>
      <c r="AE260">
        <v>218.59389070196099</v>
      </c>
      <c r="AF260">
        <v>747.25867323377895</v>
      </c>
      <c r="AG260">
        <v>487.24116737022501</v>
      </c>
    </row>
    <row r="261" spans="1:33" x14ac:dyDescent="0.25">
      <c r="A261" s="1">
        <v>44312</v>
      </c>
      <c r="B261">
        <v>4716.91236876522</v>
      </c>
      <c r="C261">
        <v>3751.0265603155099</v>
      </c>
      <c r="D261">
        <v>3658.1249090947799</v>
      </c>
      <c r="E261">
        <v>5062.9874772663698</v>
      </c>
      <c r="F261">
        <v>7975.4514326830404</v>
      </c>
      <c r="G261">
        <v>7225.0421853014104</v>
      </c>
      <c r="H261">
        <v>19219.074447758401</v>
      </c>
      <c r="I261">
        <v>10228.730866321401</v>
      </c>
      <c r="J261">
        <v>353.07678912758098</v>
      </c>
      <c r="K261">
        <v>353.86791944247102</v>
      </c>
      <c r="L261">
        <v>261.67894130425702</v>
      </c>
      <c r="M261">
        <v>5915.4454985367402</v>
      </c>
      <c r="N261">
        <v>1066.5206282275799</v>
      </c>
      <c r="O261">
        <v>238.85955030510999</v>
      </c>
      <c r="P261">
        <v>397.59651456900701</v>
      </c>
      <c r="Q261">
        <v>4458.6811496214896</v>
      </c>
      <c r="R261">
        <v>250.872725170454</v>
      </c>
      <c r="S261">
        <v>193.83976371152701</v>
      </c>
      <c r="T261">
        <v>151.474508132984</v>
      </c>
      <c r="U261">
        <v>194.36314437229501</v>
      </c>
      <c r="V261">
        <v>151.444766640213</v>
      </c>
      <c r="W261">
        <v>123.039255904608</v>
      </c>
      <c r="X261">
        <v>129.82437330729101</v>
      </c>
      <c r="Y261">
        <v>611.39349531177299</v>
      </c>
      <c r="Z261">
        <v>146.94417911087299</v>
      </c>
      <c r="AA261">
        <v>469.39980740938699</v>
      </c>
      <c r="AB261">
        <v>568.63626776427895</v>
      </c>
      <c r="AC261">
        <v>649.97267475203296</v>
      </c>
      <c r="AD261">
        <v>259.90944187493102</v>
      </c>
      <c r="AE261">
        <v>286.69163196326599</v>
      </c>
      <c r="AF261">
        <v>746.586878025533</v>
      </c>
      <c r="AG261">
        <v>484.896100428441</v>
      </c>
    </row>
    <row r="262" spans="1:33" x14ac:dyDescent="0.25">
      <c r="A262" s="1">
        <v>44313</v>
      </c>
      <c r="B262">
        <v>4748.6964812527303</v>
      </c>
      <c r="C262">
        <v>4014.8135754734799</v>
      </c>
      <c r="D262">
        <v>3751.1686838389601</v>
      </c>
      <c r="E262">
        <v>5055.3089473198297</v>
      </c>
      <c r="F262">
        <v>8115.4794834846598</v>
      </c>
      <c r="G262">
        <v>7074.3269605611104</v>
      </c>
      <c r="H262">
        <v>18646.7058138223</v>
      </c>
      <c r="I262">
        <v>10366.544597616699</v>
      </c>
      <c r="J262">
        <v>359.16985965749399</v>
      </c>
      <c r="K262">
        <v>365.35708136269602</v>
      </c>
      <c r="L262">
        <v>264.30231252699502</v>
      </c>
      <c r="M262">
        <v>5875.54138275278</v>
      </c>
      <c r="N262">
        <v>1092.83791666298</v>
      </c>
      <c r="O262">
        <v>239.46176407789699</v>
      </c>
      <c r="P262">
        <v>410.93778715892398</v>
      </c>
      <c r="Q262">
        <v>4445.7117952935496</v>
      </c>
      <c r="R262">
        <v>252.32324335909999</v>
      </c>
      <c r="S262">
        <v>202.208521140122</v>
      </c>
      <c r="T262">
        <v>154.569805551358</v>
      </c>
      <c r="U262">
        <v>194.047962022615</v>
      </c>
      <c r="V262">
        <v>151.84216097962101</v>
      </c>
      <c r="W262">
        <v>125.93405656983001</v>
      </c>
      <c r="X262">
        <v>127.56040688399401</v>
      </c>
      <c r="Y262">
        <v>584.60422372655398</v>
      </c>
      <c r="Z262">
        <v>146.58210170381301</v>
      </c>
      <c r="AA262">
        <v>469.57626288968299</v>
      </c>
      <c r="AB262">
        <v>559.85880375527495</v>
      </c>
      <c r="AC262">
        <v>696.83572922209805</v>
      </c>
      <c r="AD262">
        <v>263.70061439339202</v>
      </c>
      <c r="AE262">
        <v>311.672651533411</v>
      </c>
      <c r="AF262">
        <v>742.93364112706001</v>
      </c>
      <c r="AG262">
        <v>484.14602950534498</v>
      </c>
    </row>
    <row r="263" spans="1:33" x14ac:dyDescent="0.25">
      <c r="A263" s="1">
        <v>44314</v>
      </c>
      <c r="B263">
        <v>4784.58343664324</v>
      </c>
      <c r="C263">
        <v>4015.0572136365099</v>
      </c>
      <c r="D263">
        <v>3891.5766387323501</v>
      </c>
      <c r="E263">
        <v>5189.96645780363</v>
      </c>
      <c r="F263">
        <v>8021.22631762541</v>
      </c>
      <c r="G263">
        <v>7209.0920452458804</v>
      </c>
      <c r="H263">
        <v>18749.575691647198</v>
      </c>
      <c r="I263">
        <v>10486.137979994201</v>
      </c>
      <c r="J263">
        <v>363.70932636824</v>
      </c>
      <c r="K263">
        <v>378.42791042813099</v>
      </c>
      <c r="L263">
        <v>265.63431627846597</v>
      </c>
      <c r="M263">
        <v>5994.8591784624396</v>
      </c>
      <c r="N263">
        <v>1172.70518217631</v>
      </c>
      <c r="O263">
        <v>238.91508003385999</v>
      </c>
      <c r="P263">
        <v>434.01607196748199</v>
      </c>
      <c r="Q263">
        <v>4524.6136445620295</v>
      </c>
      <c r="R263">
        <v>254.883664439222</v>
      </c>
      <c r="S263">
        <v>205.995328403424</v>
      </c>
      <c r="T263">
        <v>158.386021289246</v>
      </c>
      <c r="U263">
        <v>192.62765216046901</v>
      </c>
      <c r="V263">
        <v>156.11678935235099</v>
      </c>
      <c r="W263">
        <v>123.67442022913001</v>
      </c>
      <c r="X263">
        <v>129.02552821619901</v>
      </c>
      <c r="Y263">
        <v>574.638963495133</v>
      </c>
      <c r="Z263">
        <v>147.025939880273</v>
      </c>
      <c r="AA263">
        <v>470.24856353725397</v>
      </c>
      <c r="AB263">
        <v>550.58415513325997</v>
      </c>
      <c r="AC263">
        <v>703.52283484264501</v>
      </c>
      <c r="AD263">
        <v>266.06005313079498</v>
      </c>
      <c r="AE263">
        <v>255.334048973374</v>
      </c>
      <c r="AF263">
        <v>737.46367622621699</v>
      </c>
      <c r="AG263">
        <v>483.47404553639302</v>
      </c>
    </row>
    <row r="264" spans="1:33" x14ac:dyDescent="0.25">
      <c r="A264" s="1">
        <v>44315</v>
      </c>
      <c r="B264">
        <v>4859.7424777157403</v>
      </c>
      <c r="C264">
        <v>4049.7006731649299</v>
      </c>
      <c r="D264">
        <v>4067.3277614994599</v>
      </c>
      <c r="E264">
        <v>5436.0771172340801</v>
      </c>
      <c r="F264">
        <v>8297.8803046441208</v>
      </c>
      <c r="G264">
        <v>7708.2276026575701</v>
      </c>
      <c r="H264">
        <v>19513.240664151501</v>
      </c>
      <c r="I264">
        <v>10596.6374256854</v>
      </c>
      <c r="J264">
        <v>368.68421746054298</v>
      </c>
      <c r="K264">
        <v>409.359657896187</v>
      </c>
      <c r="L264">
        <v>265.97275297453399</v>
      </c>
      <c r="M264">
        <v>6481.3930983461796</v>
      </c>
      <c r="N264">
        <v>1337.8329872039101</v>
      </c>
      <c r="O264">
        <v>243.98257774187499</v>
      </c>
      <c r="P264">
        <v>489.61303783820102</v>
      </c>
      <c r="Q264">
        <v>4995.7319432531604</v>
      </c>
      <c r="R264">
        <v>261.49500240894298</v>
      </c>
      <c r="S264">
        <v>204.19924843032899</v>
      </c>
      <c r="T264">
        <v>169.67459636926</v>
      </c>
      <c r="U264">
        <v>191.57087258414401</v>
      </c>
      <c r="V264">
        <v>171.929044305025</v>
      </c>
      <c r="W264">
        <v>127.05287306432901</v>
      </c>
      <c r="X264">
        <v>137.41876702950299</v>
      </c>
      <c r="Y264">
        <v>571.60450966469705</v>
      </c>
      <c r="Z264">
        <v>147.43608202378499</v>
      </c>
      <c r="AA264">
        <v>476.81114593021601</v>
      </c>
      <c r="AB264">
        <v>534.350549278882</v>
      </c>
      <c r="AC264">
        <v>709.29306657123402</v>
      </c>
      <c r="AD264">
        <v>265.85467801269101</v>
      </c>
      <c r="AE264">
        <v>267.23437141853299</v>
      </c>
      <c r="AF264">
        <v>732.19245678163304</v>
      </c>
      <c r="AG264">
        <v>476.84602060725501</v>
      </c>
    </row>
    <row r="265" spans="1:33" x14ac:dyDescent="0.25">
      <c r="A265" s="1">
        <v>44316</v>
      </c>
      <c r="B265">
        <v>4991.6340601509801</v>
      </c>
      <c r="C265">
        <v>4518.3258545876397</v>
      </c>
      <c r="D265">
        <v>4134.6941902120698</v>
      </c>
      <c r="E265">
        <v>5647.0986205669496</v>
      </c>
      <c r="F265">
        <v>8754.1485900687803</v>
      </c>
      <c r="G265">
        <v>8038.6525912050802</v>
      </c>
      <c r="H265">
        <v>19953.154110104599</v>
      </c>
      <c r="I265">
        <v>10761.0755602669</v>
      </c>
      <c r="J265">
        <v>376.452846857206</v>
      </c>
      <c r="K265">
        <v>447.55403457854601</v>
      </c>
      <c r="L265">
        <v>268.21986639246302</v>
      </c>
      <c r="M265">
        <v>6849.9902545316199</v>
      </c>
      <c r="N265">
        <v>1511.4939676924801</v>
      </c>
      <c r="O265">
        <v>249.17519374892899</v>
      </c>
      <c r="P265">
        <v>544.91121748854505</v>
      </c>
      <c r="Q265">
        <v>5338.8682156415298</v>
      </c>
      <c r="R265">
        <v>269.97344262518402</v>
      </c>
      <c r="S265">
        <v>201.98500719269501</v>
      </c>
      <c r="T265">
        <v>182.308317164595</v>
      </c>
      <c r="U265">
        <v>190.51392038700899</v>
      </c>
      <c r="V265">
        <v>188.334105692826</v>
      </c>
      <c r="W265">
        <v>129.75262256133499</v>
      </c>
      <c r="X265">
        <v>141.15181335307301</v>
      </c>
      <c r="Y265">
        <v>571.62703829108898</v>
      </c>
      <c r="Z265">
        <v>147.37934702689901</v>
      </c>
      <c r="AA265">
        <v>484.04181408117199</v>
      </c>
      <c r="AB265">
        <v>528.33505470970601</v>
      </c>
      <c r="AC265">
        <v>706.17309926779001</v>
      </c>
      <c r="AD265">
        <v>267.00607059899102</v>
      </c>
      <c r="AE265">
        <v>323.75169605891</v>
      </c>
      <c r="AF265">
        <v>727.83828003050303</v>
      </c>
      <c r="AG265">
        <v>470.86669480740602</v>
      </c>
    </row>
    <row r="266" spans="1:33" x14ac:dyDescent="0.25">
      <c r="A266" s="1">
        <v>44317</v>
      </c>
      <c r="B266">
        <v>5134.9885605517602</v>
      </c>
      <c r="C266">
        <v>5060.8209304144902</v>
      </c>
      <c r="D266">
        <v>4211.6770364812701</v>
      </c>
      <c r="E266">
        <v>5970.6347687954103</v>
      </c>
      <c r="F266">
        <v>9305.3740221588996</v>
      </c>
      <c r="G266">
        <v>8527.7618786904095</v>
      </c>
      <c r="H266">
        <v>20981.146529281999</v>
      </c>
      <c r="I266">
        <v>10886.573746739101</v>
      </c>
      <c r="J266">
        <v>389.30917905841</v>
      </c>
      <c r="K266">
        <v>508.37240319977002</v>
      </c>
      <c r="L266">
        <v>270.16643262925601</v>
      </c>
      <c r="M266">
        <v>7489.3030860315203</v>
      </c>
      <c r="N266">
        <v>1830.28874297177</v>
      </c>
      <c r="O266">
        <v>260.20708387155997</v>
      </c>
      <c r="P266">
        <v>613.84479129443196</v>
      </c>
      <c r="Q266">
        <v>5850.12466881827</v>
      </c>
      <c r="R266">
        <v>282.75973892698198</v>
      </c>
      <c r="S266">
        <v>195.84766761673501</v>
      </c>
      <c r="T266">
        <v>211.12704149602399</v>
      </c>
      <c r="U266">
        <v>188.52697163437401</v>
      </c>
      <c r="V266">
        <v>220.26652457002101</v>
      </c>
      <c r="W266">
        <v>129.563234781273</v>
      </c>
      <c r="X266">
        <v>151.65229054920201</v>
      </c>
      <c r="Y266">
        <v>558.73793246233402</v>
      </c>
      <c r="Z266">
        <v>147.2695557527</v>
      </c>
      <c r="AA266">
        <v>482.87665787719601</v>
      </c>
      <c r="AB266">
        <v>519.71734441784997</v>
      </c>
      <c r="AC266">
        <v>702.27845463181995</v>
      </c>
      <c r="AD266">
        <v>267.40998724829399</v>
      </c>
      <c r="AE266">
        <v>343.98692089697602</v>
      </c>
      <c r="AF266">
        <v>724.32780890672495</v>
      </c>
      <c r="AG266">
        <v>464.97468833334699</v>
      </c>
    </row>
    <row r="267" spans="1:33" x14ac:dyDescent="0.25">
      <c r="A267" s="1">
        <v>44318</v>
      </c>
      <c r="B267">
        <v>5274.7795089599804</v>
      </c>
      <c r="C267">
        <v>5602.8822807279903</v>
      </c>
      <c r="D267">
        <v>4248.0192403994197</v>
      </c>
      <c r="E267">
        <v>5885.4437415206503</v>
      </c>
      <c r="F267">
        <v>9311.7848708261008</v>
      </c>
      <c r="G267">
        <v>7904.8314262527101</v>
      </c>
      <c r="H267">
        <v>20172.7139418607</v>
      </c>
      <c r="I267">
        <v>11090.4182576577</v>
      </c>
      <c r="J267">
        <v>399.67070066588701</v>
      </c>
      <c r="K267">
        <v>507.09084589865802</v>
      </c>
      <c r="L267">
        <v>274.08735036940601</v>
      </c>
      <c r="M267">
        <v>6939.2309265856302</v>
      </c>
      <c r="N267">
        <v>1648.9603442093</v>
      </c>
      <c r="O267">
        <v>262.76615572883998</v>
      </c>
      <c r="P267">
        <v>602.80216272927396</v>
      </c>
      <c r="Q267">
        <v>5405.2731096797597</v>
      </c>
      <c r="R267">
        <v>287.502456179418</v>
      </c>
      <c r="S267">
        <v>199.49196298147299</v>
      </c>
      <c r="T267">
        <v>196.069175574594</v>
      </c>
      <c r="U267">
        <v>189.075606453831</v>
      </c>
      <c r="V267">
        <v>188.15564622333801</v>
      </c>
      <c r="W267">
        <v>126.44386569842401</v>
      </c>
      <c r="X267">
        <v>134.84780305610599</v>
      </c>
      <c r="Y267">
        <v>568.55366037274405</v>
      </c>
      <c r="Z267">
        <v>146.05898246403899</v>
      </c>
      <c r="AA267">
        <v>476.61786406390598</v>
      </c>
      <c r="AB267">
        <v>522.87282803938501</v>
      </c>
      <c r="AC267">
        <v>678.66665188070294</v>
      </c>
      <c r="AD267">
        <v>271.01112918268501</v>
      </c>
      <c r="AE267">
        <v>306.21851526232803</v>
      </c>
      <c r="AF267">
        <v>722.39016235111603</v>
      </c>
      <c r="AG267">
        <v>462.79618589510102</v>
      </c>
    </row>
    <row r="268" spans="1:33" x14ac:dyDescent="0.25">
      <c r="A268" s="1">
        <v>44319</v>
      </c>
      <c r="B268">
        <v>5342.3951367238897</v>
      </c>
      <c r="C268">
        <v>5286.0583202409398</v>
      </c>
      <c r="D268">
        <v>4426.5525099556098</v>
      </c>
      <c r="E268">
        <v>5767.4758998052403</v>
      </c>
      <c r="F268">
        <v>8820.4125606004709</v>
      </c>
      <c r="G268">
        <v>7512.5779879995898</v>
      </c>
      <c r="H268">
        <v>19184.6211346407</v>
      </c>
      <c r="I268">
        <v>11279.4548294164</v>
      </c>
      <c r="J268">
        <v>405.62082023863701</v>
      </c>
      <c r="K268">
        <v>501.99637073278598</v>
      </c>
      <c r="L268">
        <v>274.41737727895202</v>
      </c>
      <c r="M268">
        <v>6430.6496521542604</v>
      </c>
      <c r="N268">
        <v>1315.6214364169</v>
      </c>
      <c r="O268">
        <v>261.68089617845197</v>
      </c>
      <c r="P268">
        <v>586.11102423559601</v>
      </c>
      <c r="Q268">
        <v>4884.52344780778</v>
      </c>
      <c r="R268">
        <v>283.36316569129298</v>
      </c>
      <c r="S268">
        <v>209.64665947173</v>
      </c>
      <c r="T268">
        <v>172.91266346378501</v>
      </c>
      <c r="U268">
        <v>186.88994574401099</v>
      </c>
      <c r="V268">
        <v>157.66943058138801</v>
      </c>
      <c r="W268">
        <v>133.38715070343201</v>
      </c>
      <c r="X268">
        <v>130.854680522633</v>
      </c>
      <c r="Y268">
        <v>589.45688032091903</v>
      </c>
      <c r="Z268">
        <v>145.415112209987</v>
      </c>
      <c r="AA268">
        <v>474.443332564983</v>
      </c>
      <c r="AB268">
        <v>537.79594958225505</v>
      </c>
      <c r="AC268">
        <v>622.21499597076797</v>
      </c>
      <c r="AD268">
        <v>273.48872231970898</v>
      </c>
      <c r="AE268">
        <v>332.17174498203701</v>
      </c>
      <c r="AF268">
        <v>717.431564676584</v>
      </c>
      <c r="AG268">
        <v>462.49937109355199</v>
      </c>
    </row>
    <row r="269" spans="1:33" x14ac:dyDescent="0.25">
      <c r="A269" s="1">
        <v>44320</v>
      </c>
      <c r="B269">
        <v>5368.1893269290904</v>
      </c>
      <c r="C269">
        <v>4883.5426293082101</v>
      </c>
      <c r="D269">
        <v>4634.0089908735599</v>
      </c>
      <c r="E269">
        <v>5732.8636205718904</v>
      </c>
      <c r="F269">
        <v>8638.9898772821598</v>
      </c>
      <c r="G269">
        <v>7652.7582454080302</v>
      </c>
      <c r="H269">
        <v>19421.9633486811</v>
      </c>
      <c r="I269">
        <v>11233.017957661101</v>
      </c>
      <c r="J269">
        <v>409.27791863588101</v>
      </c>
      <c r="K269">
        <v>501.685017792503</v>
      </c>
      <c r="L269">
        <v>274.18854768197798</v>
      </c>
      <c r="M269">
        <v>6439.5479820427799</v>
      </c>
      <c r="N269">
        <v>1321.74337730708</v>
      </c>
      <c r="O269">
        <v>258.85724963669901</v>
      </c>
      <c r="P269">
        <v>591.57611468708603</v>
      </c>
      <c r="Q269">
        <v>4845.8329393669101</v>
      </c>
      <c r="R269">
        <v>282.38378943642101</v>
      </c>
      <c r="S269">
        <v>213.688110529276</v>
      </c>
      <c r="T269">
        <v>166.62093348311799</v>
      </c>
      <c r="U269">
        <v>183.20444746343</v>
      </c>
      <c r="V269">
        <v>156.12831742355701</v>
      </c>
      <c r="W269">
        <v>136.95375957710101</v>
      </c>
      <c r="X269">
        <v>129.88590694069899</v>
      </c>
      <c r="Y269">
        <v>591.98929599547398</v>
      </c>
      <c r="Z269">
        <v>145.31332164264899</v>
      </c>
      <c r="AA269">
        <v>476.72555389007903</v>
      </c>
      <c r="AB269">
        <v>533.21590883721501</v>
      </c>
      <c r="AC269">
        <v>551.59993261474403</v>
      </c>
      <c r="AD269">
        <v>274.15263393945901</v>
      </c>
      <c r="AE269">
        <v>387.403840014053</v>
      </c>
      <c r="AF269">
        <v>714.57760557566701</v>
      </c>
      <c r="AG269">
        <v>459.756472287581</v>
      </c>
    </row>
    <row r="270" spans="1:33" x14ac:dyDescent="0.25">
      <c r="A270" s="1">
        <v>44321</v>
      </c>
      <c r="B270">
        <v>5468.5161746333097</v>
      </c>
      <c r="C270">
        <v>4805.1426414325797</v>
      </c>
      <c r="D270">
        <v>4788.5770135510702</v>
      </c>
      <c r="E270">
        <v>5882.6380933113896</v>
      </c>
      <c r="F270">
        <v>8963.4471216214206</v>
      </c>
      <c r="G270">
        <v>8592.9175601403203</v>
      </c>
      <c r="H270">
        <v>21015.835424870202</v>
      </c>
      <c r="I270">
        <v>11235.849036322699</v>
      </c>
      <c r="J270">
        <v>419.438872822127</v>
      </c>
      <c r="K270">
        <v>539.41649864012004</v>
      </c>
      <c r="L270">
        <v>275.39186453640798</v>
      </c>
      <c r="M270">
        <v>7152.5876289874204</v>
      </c>
      <c r="N270">
        <v>1435.4752318282001</v>
      </c>
      <c r="O270">
        <v>269.237778050918</v>
      </c>
      <c r="P270">
        <v>645.19129814582402</v>
      </c>
      <c r="Q270">
        <v>5475.6965983566697</v>
      </c>
      <c r="R270">
        <v>291.52290737261302</v>
      </c>
      <c r="S270">
        <v>198.02334978575701</v>
      </c>
      <c r="T270">
        <v>170.238764408576</v>
      </c>
      <c r="U270">
        <v>182.24159583228999</v>
      </c>
      <c r="V270">
        <v>169.20394007274601</v>
      </c>
      <c r="W270">
        <v>137.034509901776</v>
      </c>
      <c r="X270">
        <v>136.02316101604899</v>
      </c>
      <c r="Y270">
        <v>564.95511552237997</v>
      </c>
      <c r="Z270">
        <v>145.54271262278499</v>
      </c>
      <c r="AA270">
        <v>480.28360245580399</v>
      </c>
      <c r="AB270">
        <v>509.05749511908903</v>
      </c>
      <c r="AC270">
        <v>529.341016494472</v>
      </c>
      <c r="AD270">
        <v>272.56397222891599</v>
      </c>
      <c r="AE270">
        <v>434.09836592520401</v>
      </c>
      <c r="AF270">
        <v>715.585721695801</v>
      </c>
      <c r="AG270">
        <v>455.920553066926</v>
      </c>
    </row>
    <row r="271" spans="1:33" x14ac:dyDescent="0.25">
      <c r="A271" s="1">
        <v>44322</v>
      </c>
      <c r="B271">
        <v>5625.4661297106204</v>
      </c>
      <c r="C271">
        <v>5459.8771938452201</v>
      </c>
      <c r="D271">
        <v>4847.3239977050198</v>
      </c>
      <c r="E271">
        <v>6040.0454602786403</v>
      </c>
      <c r="F271">
        <v>9531.42584370851</v>
      </c>
      <c r="G271">
        <v>9038.1949222059302</v>
      </c>
      <c r="H271">
        <v>22715.251522061499</v>
      </c>
      <c r="I271">
        <v>11347.394410581301</v>
      </c>
      <c r="J271">
        <v>436.82363758294298</v>
      </c>
      <c r="K271">
        <v>584.26579558526203</v>
      </c>
      <c r="L271">
        <v>284.28489376542302</v>
      </c>
      <c r="M271">
        <v>7690.9244068222297</v>
      </c>
      <c r="N271">
        <v>1716.1059072308999</v>
      </c>
      <c r="O271">
        <v>288.61398635362099</v>
      </c>
      <c r="P271">
        <v>698.09267915169301</v>
      </c>
      <c r="Q271">
        <v>6068.3363317534904</v>
      </c>
      <c r="R271">
        <v>309.41927045812503</v>
      </c>
      <c r="S271">
        <v>186.109800579493</v>
      </c>
      <c r="T271">
        <v>185.413585628524</v>
      </c>
      <c r="U271">
        <v>174.957870244015</v>
      </c>
      <c r="V271">
        <v>188.065737294586</v>
      </c>
      <c r="W271">
        <v>137.59059485440099</v>
      </c>
      <c r="X271">
        <v>144.52641546219701</v>
      </c>
      <c r="Y271">
        <v>526.90241448797303</v>
      </c>
      <c r="Z271">
        <v>145.08360609399</v>
      </c>
      <c r="AA271">
        <v>479.64355688865402</v>
      </c>
      <c r="AB271">
        <v>485.819808142336</v>
      </c>
      <c r="AC271">
        <v>518.548754695757</v>
      </c>
      <c r="AD271">
        <v>274.77922102105202</v>
      </c>
      <c r="AE271">
        <v>503.45517310173898</v>
      </c>
      <c r="AF271">
        <v>717.43394320833499</v>
      </c>
      <c r="AG271">
        <v>454.42560572643498</v>
      </c>
    </row>
    <row r="272" spans="1:33" x14ac:dyDescent="0.25">
      <c r="A272" s="1">
        <v>44323</v>
      </c>
      <c r="B272">
        <v>5798.39060360233</v>
      </c>
      <c r="C272">
        <v>6132.71312480708</v>
      </c>
      <c r="D272">
        <v>4818.5898293076998</v>
      </c>
      <c r="E272">
        <v>6050.8721372072796</v>
      </c>
      <c r="F272">
        <v>9550.5898896179206</v>
      </c>
      <c r="G272">
        <v>8428.3259261065396</v>
      </c>
      <c r="H272">
        <v>20765.276881924401</v>
      </c>
      <c r="I272">
        <v>11500.498215448701</v>
      </c>
      <c r="J272">
        <v>450.70613561864701</v>
      </c>
      <c r="K272">
        <v>564.39862406775603</v>
      </c>
      <c r="L272">
        <v>291.95953872003503</v>
      </c>
      <c r="M272">
        <v>7187.1408961827301</v>
      </c>
      <c r="N272">
        <v>1499.4815663361201</v>
      </c>
      <c r="O272">
        <v>285.088163278357</v>
      </c>
      <c r="P272">
        <v>646.44743825699504</v>
      </c>
      <c r="Q272">
        <v>5491.5513399531201</v>
      </c>
      <c r="R272">
        <v>306.725109424371</v>
      </c>
      <c r="S272">
        <v>181.728137565222</v>
      </c>
      <c r="T272">
        <v>180.25710050653299</v>
      </c>
      <c r="U272">
        <v>173.064527766292</v>
      </c>
      <c r="V272">
        <v>174.745132668113</v>
      </c>
      <c r="W272">
        <v>132.14464771518701</v>
      </c>
      <c r="X272">
        <v>143.820223793433</v>
      </c>
      <c r="Y272">
        <v>533.02605704003702</v>
      </c>
      <c r="Z272">
        <v>143.76010899221299</v>
      </c>
      <c r="AA272">
        <v>472.66514932415299</v>
      </c>
      <c r="AB272">
        <v>487.041996386378</v>
      </c>
      <c r="AC272">
        <v>502.44307108208199</v>
      </c>
      <c r="AD272">
        <v>280.09232750334098</v>
      </c>
      <c r="AE272">
        <v>498.69059103119099</v>
      </c>
      <c r="AF272">
        <v>717.47703391818595</v>
      </c>
      <c r="AG272">
        <v>457.35771208379703</v>
      </c>
    </row>
    <row r="273" spans="1:33" x14ac:dyDescent="0.25">
      <c r="A273" s="1">
        <v>44324</v>
      </c>
      <c r="B273">
        <v>5907.6379959193901</v>
      </c>
      <c r="C273">
        <v>5734.5418062335602</v>
      </c>
      <c r="D273">
        <v>4917.3067606990599</v>
      </c>
      <c r="E273">
        <v>6057.9463805516598</v>
      </c>
      <c r="F273">
        <v>9264.1510647788109</v>
      </c>
      <c r="G273">
        <v>8180.1288479283403</v>
      </c>
      <c r="H273">
        <v>20106.880283827599</v>
      </c>
      <c r="I273">
        <v>11739.5127924836</v>
      </c>
      <c r="J273">
        <v>456.843285728323</v>
      </c>
      <c r="K273">
        <v>551.658486998797</v>
      </c>
      <c r="L273">
        <v>286.76573971747302</v>
      </c>
      <c r="M273">
        <v>6767.4279315733202</v>
      </c>
      <c r="N273">
        <v>1221.8983733708901</v>
      </c>
      <c r="O273">
        <v>285.68731553629198</v>
      </c>
      <c r="P273">
        <v>628.38661854806196</v>
      </c>
      <c r="Q273">
        <v>5166.3676592782404</v>
      </c>
      <c r="R273">
        <v>303.92053169827</v>
      </c>
      <c r="S273">
        <v>180.46761074051099</v>
      </c>
      <c r="T273">
        <v>166.53975259394699</v>
      </c>
      <c r="U273">
        <v>173.01592823005501</v>
      </c>
      <c r="V273">
        <v>159.53239715817699</v>
      </c>
      <c r="W273">
        <v>132.52340999706999</v>
      </c>
      <c r="X273">
        <v>140.877960124407</v>
      </c>
      <c r="Y273">
        <v>522.32466478209801</v>
      </c>
      <c r="Z273">
        <v>143.641382549627</v>
      </c>
      <c r="AA273">
        <v>475.69265878420799</v>
      </c>
      <c r="AB273">
        <v>480.880074584959</v>
      </c>
      <c r="AC273">
        <v>509.25775677268098</v>
      </c>
      <c r="AD273">
        <v>279.91099649118399</v>
      </c>
      <c r="AE273">
        <v>402.25270519883998</v>
      </c>
      <c r="AF273">
        <v>718.42581790305303</v>
      </c>
      <c r="AG273">
        <v>460.1677485198</v>
      </c>
    </row>
    <row r="274" spans="1:33" x14ac:dyDescent="0.25">
      <c r="A274" s="1">
        <v>44325</v>
      </c>
      <c r="B274">
        <v>5989.5228358899903</v>
      </c>
      <c r="C274">
        <v>5351.0029648952204</v>
      </c>
      <c r="D274">
        <v>5149.8186743865399</v>
      </c>
      <c r="E274">
        <v>6257.9439967970602</v>
      </c>
      <c r="F274">
        <v>9511.6126487736492</v>
      </c>
      <c r="G274">
        <v>9001.6918445769807</v>
      </c>
      <c r="H274">
        <v>21922.134885797001</v>
      </c>
      <c r="I274">
        <v>11889.058762147</v>
      </c>
      <c r="J274">
        <v>472.40784934063498</v>
      </c>
      <c r="K274">
        <v>579.83191735567596</v>
      </c>
      <c r="L274">
        <v>285.697829263193</v>
      </c>
      <c r="M274">
        <v>7593.0494846279598</v>
      </c>
      <c r="N274">
        <v>1516.8468282318699</v>
      </c>
      <c r="O274">
        <v>293.42203381002298</v>
      </c>
      <c r="P274">
        <v>670.25724004128699</v>
      </c>
      <c r="Q274">
        <v>5909.4113287120399</v>
      </c>
      <c r="R274">
        <v>314.34799189072697</v>
      </c>
      <c r="S274">
        <v>178.64118933184901</v>
      </c>
      <c r="T274">
        <v>170.11802306209</v>
      </c>
      <c r="U274">
        <v>172.601130995592</v>
      </c>
      <c r="V274">
        <v>165.96161071683801</v>
      </c>
      <c r="W274">
        <v>134.28178833130201</v>
      </c>
      <c r="X274">
        <v>140.497984376967</v>
      </c>
      <c r="Y274">
        <v>500.38361147173703</v>
      </c>
      <c r="Z274">
        <v>144.64088710418901</v>
      </c>
      <c r="AA274">
        <v>484.77824239120997</v>
      </c>
      <c r="AB274">
        <v>467.14418129473302</v>
      </c>
      <c r="AC274">
        <v>522.88903017330199</v>
      </c>
      <c r="AD274">
        <v>280.111221520703</v>
      </c>
      <c r="AE274">
        <v>380.364908314302</v>
      </c>
      <c r="AF274">
        <v>719.70392586886499</v>
      </c>
      <c r="AG274">
        <v>461.21809261130198</v>
      </c>
    </row>
    <row r="275" spans="1:33" x14ac:dyDescent="0.25">
      <c r="A275" s="1">
        <v>44326</v>
      </c>
      <c r="B275">
        <v>6146.8619065372905</v>
      </c>
      <c r="C275">
        <v>5829.3466304352596</v>
      </c>
      <c r="D275">
        <v>5353.4410978372698</v>
      </c>
      <c r="E275">
        <v>6507.3301531510497</v>
      </c>
      <c r="F275">
        <v>10368.1783462723</v>
      </c>
      <c r="G275">
        <v>9669.6100760348909</v>
      </c>
      <c r="H275">
        <v>22315.434116886699</v>
      </c>
      <c r="I275">
        <v>12109.451634316099</v>
      </c>
      <c r="J275">
        <v>489.04579718139399</v>
      </c>
      <c r="K275">
        <v>623.07429704361095</v>
      </c>
      <c r="L275">
        <v>294.95304826262799</v>
      </c>
      <c r="M275">
        <v>8182.8386404965304</v>
      </c>
      <c r="N275">
        <v>1769.09753552506</v>
      </c>
      <c r="O275">
        <v>305.51173366942697</v>
      </c>
      <c r="P275">
        <v>742.13958733204402</v>
      </c>
      <c r="Q275">
        <v>6498.5225434629101</v>
      </c>
      <c r="R275">
        <v>331.410945299714</v>
      </c>
      <c r="S275">
        <v>175.055067032914</v>
      </c>
      <c r="T275">
        <v>180.54623472956101</v>
      </c>
      <c r="U275">
        <v>172.16533608015999</v>
      </c>
      <c r="V275">
        <v>172.55557897904899</v>
      </c>
      <c r="W275">
        <v>138.52502399980301</v>
      </c>
      <c r="X275">
        <v>140.13417937999699</v>
      </c>
      <c r="Y275">
        <v>485.04925766771299</v>
      </c>
      <c r="Z275">
        <v>145.29581505054199</v>
      </c>
      <c r="AA275">
        <v>485.78709272001402</v>
      </c>
      <c r="AB275">
        <v>456.64385527109499</v>
      </c>
      <c r="AC275">
        <v>535.13500322502603</v>
      </c>
      <c r="AD275">
        <v>283.40129877568199</v>
      </c>
      <c r="AE275">
        <v>349.62484408060402</v>
      </c>
      <c r="AF275">
        <v>720.46262039528301</v>
      </c>
      <c r="AG275">
        <v>460.436526045059</v>
      </c>
    </row>
    <row r="276" spans="1:33" x14ac:dyDescent="0.25">
      <c r="A276" s="1">
        <v>44327</v>
      </c>
      <c r="B276">
        <v>6308.0634341979803</v>
      </c>
      <c r="C276">
        <v>6343.2564951948198</v>
      </c>
      <c r="D276">
        <v>5473.0299882162599</v>
      </c>
      <c r="E276">
        <v>6790.2132238513796</v>
      </c>
      <c r="F276">
        <v>11086.4324183811</v>
      </c>
      <c r="G276">
        <v>10590.5591186114</v>
      </c>
      <c r="H276">
        <v>23319.2702996607</v>
      </c>
      <c r="I276">
        <v>12541.036949309801</v>
      </c>
      <c r="J276">
        <v>506.82204360113502</v>
      </c>
      <c r="K276">
        <v>690.36440891416999</v>
      </c>
      <c r="L276">
        <v>305.11820629946999</v>
      </c>
      <c r="M276">
        <v>8993.2465882725101</v>
      </c>
      <c r="N276">
        <v>2140.38898024521</v>
      </c>
      <c r="O276">
        <v>311.53488837396799</v>
      </c>
      <c r="P276">
        <v>839.541982253534</v>
      </c>
      <c r="Q276">
        <v>7262.1055161829199</v>
      </c>
      <c r="R276">
        <v>346.48538240537601</v>
      </c>
      <c r="S276">
        <v>172.58875675291901</v>
      </c>
      <c r="T276">
        <v>191.76274140256601</v>
      </c>
      <c r="U276">
        <v>171.052139458049</v>
      </c>
      <c r="V276">
        <v>179.29640323031799</v>
      </c>
      <c r="W276">
        <v>139.35308532441601</v>
      </c>
      <c r="X276">
        <v>140.69917996517799</v>
      </c>
      <c r="Y276">
        <v>474.68882477723201</v>
      </c>
      <c r="Z276">
        <v>146.14546489355101</v>
      </c>
      <c r="AA276">
        <v>482.33649894764102</v>
      </c>
      <c r="AB276">
        <v>452.30063097234301</v>
      </c>
      <c r="AC276">
        <v>543.11944519979602</v>
      </c>
      <c r="AD276">
        <v>287.99756026907801</v>
      </c>
      <c r="AE276">
        <v>350.135315455811</v>
      </c>
      <c r="AF276">
        <v>720.28228301058095</v>
      </c>
      <c r="AG276">
        <v>460.26407825492402</v>
      </c>
    </row>
    <row r="277" spans="1:33" x14ac:dyDescent="0.25">
      <c r="A277" s="1">
        <v>44328</v>
      </c>
      <c r="B277">
        <v>6459.7587968649896</v>
      </c>
      <c r="C277">
        <v>7097.8498549818996</v>
      </c>
      <c r="D277">
        <v>5602.1779514322998</v>
      </c>
      <c r="E277">
        <v>7110.7615789881002</v>
      </c>
      <c r="F277">
        <v>11811.092046265299</v>
      </c>
      <c r="G277">
        <v>11245.2004091616</v>
      </c>
      <c r="H277">
        <v>24274.069109748201</v>
      </c>
      <c r="I277">
        <v>12812.4771671422</v>
      </c>
      <c r="J277">
        <v>533.96548069168296</v>
      </c>
      <c r="K277">
        <v>770.786258692562</v>
      </c>
      <c r="L277">
        <v>317.91943568185701</v>
      </c>
      <c r="M277">
        <v>9596.12319346605</v>
      </c>
      <c r="N277">
        <v>2393.2298387430801</v>
      </c>
      <c r="O277">
        <v>326.43645390878402</v>
      </c>
      <c r="P277">
        <v>950.42784547829797</v>
      </c>
      <c r="Q277">
        <v>7950.0959254172203</v>
      </c>
      <c r="R277">
        <v>370.83347876497601</v>
      </c>
      <c r="S277">
        <v>170.44103059405799</v>
      </c>
      <c r="T277">
        <v>210.557692825483</v>
      </c>
      <c r="U277">
        <v>170.63612631317599</v>
      </c>
      <c r="V277">
        <v>194.26765521814599</v>
      </c>
      <c r="W277">
        <v>137.78896873869701</v>
      </c>
      <c r="X277">
        <v>144.876782901534</v>
      </c>
      <c r="Y277">
        <v>468.04937554501998</v>
      </c>
      <c r="Z277">
        <v>146.649481512188</v>
      </c>
      <c r="AA277">
        <v>483.59505171912502</v>
      </c>
      <c r="AB277">
        <v>447.68466112863899</v>
      </c>
      <c r="AC277">
        <v>545.33051387742796</v>
      </c>
      <c r="AD277">
        <v>295.386780592234</v>
      </c>
      <c r="AE277">
        <v>256.57412215300201</v>
      </c>
      <c r="AF277">
        <v>719.20564788752995</v>
      </c>
      <c r="AG277">
        <v>459.02692710477299</v>
      </c>
    </row>
    <row r="278" spans="1:33" x14ac:dyDescent="0.25">
      <c r="A278" s="1">
        <v>44329</v>
      </c>
      <c r="B278">
        <v>6597.7660585374897</v>
      </c>
      <c r="C278">
        <v>7853.2842539840603</v>
      </c>
      <c r="D278">
        <v>5773.8585339538104</v>
      </c>
      <c r="E278">
        <v>7363.4589005366297</v>
      </c>
      <c r="F278">
        <v>12214.2251951627</v>
      </c>
      <c r="G278">
        <v>11120.3163167356</v>
      </c>
      <c r="H278">
        <v>24326.771689060501</v>
      </c>
      <c r="I278">
        <v>13059.6263100534</v>
      </c>
      <c r="J278">
        <v>559.54362873569096</v>
      </c>
      <c r="K278">
        <v>805.04261645755105</v>
      </c>
      <c r="L278">
        <v>327.15820250413901</v>
      </c>
      <c r="M278">
        <v>9662.0666904399404</v>
      </c>
      <c r="N278">
        <v>2547.5542123939699</v>
      </c>
      <c r="O278">
        <v>336.13617424136402</v>
      </c>
      <c r="P278">
        <v>979.83239832064896</v>
      </c>
      <c r="Q278">
        <v>8064.6434835802702</v>
      </c>
      <c r="R278">
        <v>388.12170795478897</v>
      </c>
      <c r="S278">
        <v>169.532392193639</v>
      </c>
      <c r="T278">
        <v>219.206724168703</v>
      </c>
      <c r="U278">
        <v>169.72555125290199</v>
      </c>
      <c r="V278">
        <v>196.00006189404499</v>
      </c>
      <c r="W278">
        <v>125.644856148944</v>
      </c>
      <c r="X278">
        <v>144.037077403864</v>
      </c>
      <c r="Y278">
        <v>470.88823364443499</v>
      </c>
      <c r="Z278">
        <v>146.62084320007199</v>
      </c>
      <c r="AA278">
        <v>479.46543689776598</v>
      </c>
      <c r="AB278">
        <v>450.496960561599</v>
      </c>
      <c r="AC278">
        <v>542.83393952719496</v>
      </c>
      <c r="AD278">
        <v>300.54265343986998</v>
      </c>
      <c r="AE278">
        <v>173.03743898298899</v>
      </c>
      <c r="AF278">
        <v>716.92972142902602</v>
      </c>
      <c r="AG278">
        <v>459.10940660600397</v>
      </c>
    </row>
    <row r="279" spans="1:33" x14ac:dyDescent="0.25">
      <c r="A279" s="1">
        <v>44330</v>
      </c>
      <c r="B279">
        <v>6773.5785530480598</v>
      </c>
      <c r="C279">
        <v>8170.0594362215597</v>
      </c>
      <c r="D279">
        <v>6083.2749346620203</v>
      </c>
      <c r="E279">
        <v>7787.4571619349499</v>
      </c>
      <c r="F279">
        <v>12267.107055197799</v>
      </c>
      <c r="G279">
        <v>10959.5781370485</v>
      </c>
      <c r="H279">
        <v>24195.414843302598</v>
      </c>
      <c r="I279">
        <v>13488.1269229018</v>
      </c>
      <c r="J279">
        <v>577.83342999943795</v>
      </c>
      <c r="K279">
        <v>832.51022502016201</v>
      </c>
      <c r="L279">
        <v>335.052852419077</v>
      </c>
      <c r="M279">
        <v>9804.9051584409608</v>
      </c>
      <c r="N279">
        <v>2773.0735207463899</v>
      </c>
      <c r="O279">
        <v>336.16103376438599</v>
      </c>
      <c r="P279">
        <v>1038.8029223016799</v>
      </c>
      <c r="Q279">
        <v>8073.9579300062696</v>
      </c>
      <c r="R279">
        <v>397.52457708621699</v>
      </c>
      <c r="S279">
        <v>168.01042047554199</v>
      </c>
      <c r="T279">
        <v>234.44398682852301</v>
      </c>
      <c r="U279">
        <v>168.846721306722</v>
      </c>
      <c r="V279">
        <v>205.844471828943</v>
      </c>
      <c r="W279">
        <v>124.926253997168</v>
      </c>
      <c r="X279">
        <v>142.74527595846101</v>
      </c>
      <c r="Y279">
        <v>483.71262381287403</v>
      </c>
      <c r="Z279">
        <v>146.35955574546199</v>
      </c>
      <c r="AA279">
        <v>480.281356699789</v>
      </c>
      <c r="AB279">
        <v>463.112779176402</v>
      </c>
      <c r="AC279">
        <v>534.32778319801605</v>
      </c>
      <c r="AD279">
        <v>305.78416113788501</v>
      </c>
      <c r="AE279">
        <v>167.495006743793</v>
      </c>
      <c r="AF279">
        <v>712.14269301342301</v>
      </c>
      <c r="AG279">
        <v>459.96253917365601</v>
      </c>
    </row>
    <row r="280" spans="1:33" x14ac:dyDescent="0.25">
      <c r="A280" s="1">
        <v>44331</v>
      </c>
      <c r="B280">
        <v>6950.2054440767297</v>
      </c>
      <c r="C280">
        <v>8168.0706032018597</v>
      </c>
      <c r="D280">
        <v>6436.0325760436499</v>
      </c>
      <c r="E280">
        <v>7940.8013520507602</v>
      </c>
      <c r="F280">
        <v>12085.6202600508</v>
      </c>
      <c r="G280">
        <v>10513.8747953942</v>
      </c>
      <c r="H280">
        <v>23470.8333690037</v>
      </c>
      <c r="I280">
        <v>13791.976333653</v>
      </c>
      <c r="J280">
        <v>589.47593875599898</v>
      </c>
      <c r="K280">
        <v>849.07450335025703</v>
      </c>
      <c r="L280">
        <v>340.585817055284</v>
      </c>
      <c r="M280">
        <v>9520.9295663040502</v>
      </c>
      <c r="N280">
        <v>2802.55142135388</v>
      </c>
      <c r="O280">
        <v>325.09479560370602</v>
      </c>
      <c r="P280">
        <v>1039.64630887826</v>
      </c>
      <c r="Q280">
        <v>7731.5365270331504</v>
      </c>
      <c r="R280">
        <v>392.464286594594</v>
      </c>
      <c r="S280">
        <v>165.94012691093999</v>
      </c>
      <c r="T280">
        <v>235.85483084583399</v>
      </c>
      <c r="U280">
        <v>168.22405438956901</v>
      </c>
      <c r="V280">
        <v>204.28732254693199</v>
      </c>
      <c r="W280">
        <v>123.913263992371</v>
      </c>
      <c r="X280">
        <v>131.81062227719599</v>
      </c>
      <c r="Y280">
        <v>494.90642797104198</v>
      </c>
      <c r="Z280">
        <v>146.24689929965101</v>
      </c>
      <c r="AA280">
        <v>467.81593869855402</v>
      </c>
      <c r="AB280">
        <v>474.12646953138602</v>
      </c>
      <c r="AC280">
        <v>495.50164920534098</v>
      </c>
      <c r="AD280">
        <v>309.56913819997698</v>
      </c>
      <c r="AE280">
        <v>168.249914265326</v>
      </c>
      <c r="AF280">
        <v>704.19368975803604</v>
      </c>
      <c r="AG280">
        <v>461.46096045341199</v>
      </c>
    </row>
    <row r="281" spans="1:33" x14ac:dyDescent="0.25">
      <c r="A281" s="1">
        <v>44332</v>
      </c>
      <c r="B281">
        <v>7123.2735754864098</v>
      </c>
      <c r="C281">
        <v>7653.8002810482303</v>
      </c>
      <c r="D281">
        <v>6798.0700798357602</v>
      </c>
      <c r="E281">
        <v>8049.5888765019799</v>
      </c>
      <c r="F281">
        <v>11749.1961916459</v>
      </c>
      <c r="G281">
        <v>10649.411903128899</v>
      </c>
      <c r="H281">
        <v>23841.5991683012</v>
      </c>
      <c r="I281">
        <v>14068.386746979901</v>
      </c>
      <c r="J281">
        <v>601.16632639955003</v>
      </c>
      <c r="K281">
        <v>842.97875719427498</v>
      </c>
      <c r="L281">
        <v>340.46266044317798</v>
      </c>
      <c r="M281">
        <v>9375.9182179389809</v>
      </c>
      <c r="N281">
        <v>2637.5802336139</v>
      </c>
      <c r="O281">
        <v>339.057874036621</v>
      </c>
      <c r="P281">
        <v>1019.96918500625</v>
      </c>
      <c r="Q281">
        <v>7603.5361425534802</v>
      </c>
      <c r="R281">
        <v>410.33127567312101</v>
      </c>
      <c r="S281">
        <v>165.95606815417401</v>
      </c>
      <c r="T281">
        <v>227.86840980777399</v>
      </c>
      <c r="U281">
        <v>167.41294529059701</v>
      </c>
      <c r="V281">
        <v>184.04555576612901</v>
      </c>
      <c r="W281">
        <v>123.710082677798</v>
      </c>
      <c r="X281">
        <v>125.05169128598401</v>
      </c>
      <c r="Y281">
        <v>497.47482670526801</v>
      </c>
      <c r="Z281">
        <v>146.29180849340099</v>
      </c>
      <c r="AA281">
        <v>469.67237476602099</v>
      </c>
      <c r="AB281">
        <v>478.45164790017498</v>
      </c>
      <c r="AC281">
        <v>449.84557926337197</v>
      </c>
      <c r="AD281">
        <v>311.50946799327897</v>
      </c>
      <c r="AE281">
        <v>183.24562222035101</v>
      </c>
      <c r="AF281">
        <v>693.202589516687</v>
      </c>
      <c r="AG281">
        <v>460.98527768717202</v>
      </c>
    </row>
    <row r="282" spans="1:33" x14ac:dyDescent="0.25">
      <c r="A282" s="1">
        <v>44333</v>
      </c>
      <c r="B282">
        <v>7250.4154349113096</v>
      </c>
      <c r="C282">
        <v>7671.9008437305101</v>
      </c>
      <c r="D282">
        <v>7082.3302059991402</v>
      </c>
      <c r="E282">
        <v>8106.8273348592302</v>
      </c>
      <c r="F282">
        <v>11397.6205170176</v>
      </c>
      <c r="G282">
        <v>9883.3713645006101</v>
      </c>
      <c r="H282">
        <v>23024.461835186601</v>
      </c>
      <c r="I282">
        <v>14207.710995765599</v>
      </c>
      <c r="J282">
        <v>607.10925658125302</v>
      </c>
      <c r="K282">
        <v>806.78743460932105</v>
      </c>
      <c r="L282">
        <v>341.70680609259199</v>
      </c>
      <c r="M282">
        <v>8771.4414382600407</v>
      </c>
      <c r="N282">
        <v>2451.2179477362201</v>
      </c>
      <c r="O282">
        <v>345.37937102798099</v>
      </c>
      <c r="P282">
        <v>943.68431458377404</v>
      </c>
      <c r="Q282">
        <v>7095.4551699929898</v>
      </c>
      <c r="R282">
        <v>410.185546092202</v>
      </c>
      <c r="S282">
        <v>164.080475660459</v>
      </c>
      <c r="T282">
        <v>214.090298723525</v>
      </c>
      <c r="U282">
        <v>166.77799195147199</v>
      </c>
      <c r="V282">
        <v>157.34002570633299</v>
      </c>
      <c r="W282">
        <v>121.167897182423</v>
      </c>
      <c r="X282">
        <v>124.31346707127901</v>
      </c>
      <c r="Y282">
        <v>493.26593630432802</v>
      </c>
      <c r="Z282">
        <v>146.08690576856401</v>
      </c>
      <c r="AA282">
        <v>471.63268567843301</v>
      </c>
      <c r="AB282">
        <v>479.30395919829698</v>
      </c>
      <c r="AC282">
        <v>430.81080566524503</v>
      </c>
      <c r="AD282">
        <v>311.16986825825398</v>
      </c>
      <c r="AE282">
        <v>169.757850639765</v>
      </c>
      <c r="AF282">
        <v>676.65015554463901</v>
      </c>
      <c r="AG282">
        <v>460.59007380905098</v>
      </c>
    </row>
    <row r="283" spans="1:33" x14ac:dyDescent="0.25">
      <c r="A283" s="1">
        <v>44334</v>
      </c>
      <c r="B283">
        <v>7394.9948560850798</v>
      </c>
      <c r="C283">
        <v>7373.37415513219</v>
      </c>
      <c r="D283">
        <v>7277.3688054816403</v>
      </c>
      <c r="E283">
        <v>7967.9537330543599</v>
      </c>
      <c r="F283">
        <v>10478.490351697399</v>
      </c>
      <c r="G283">
        <v>8941.8536917356505</v>
      </c>
      <c r="H283">
        <v>22040.6587090434</v>
      </c>
      <c r="I283">
        <v>14316.365574177</v>
      </c>
      <c r="J283">
        <v>610.93345142371004</v>
      </c>
      <c r="K283">
        <v>754.79549982234005</v>
      </c>
      <c r="L283">
        <v>343.39371729986101</v>
      </c>
      <c r="M283">
        <v>7970.90107519922</v>
      </c>
      <c r="N283">
        <v>1911.9038826578501</v>
      </c>
      <c r="O283">
        <v>322.19366599124498</v>
      </c>
      <c r="P283">
        <v>862.26725131092905</v>
      </c>
      <c r="Q283">
        <v>6285.7804635947596</v>
      </c>
      <c r="R283">
        <v>387.98159437063401</v>
      </c>
      <c r="S283">
        <v>164.664994895219</v>
      </c>
      <c r="T283">
        <v>181.81848057581101</v>
      </c>
      <c r="U283">
        <v>166.82840991179799</v>
      </c>
      <c r="V283">
        <v>132.49086610928299</v>
      </c>
      <c r="W283">
        <v>118.679815087188</v>
      </c>
      <c r="X283">
        <v>123.345890549412</v>
      </c>
      <c r="Y283">
        <v>478.195589134535</v>
      </c>
      <c r="Z283">
        <v>146.10047061254701</v>
      </c>
      <c r="AA283">
        <v>466.44775032165302</v>
      </c>
      <c r="AB283">
        <v>470.079061341976</v>
      </c>
      <c r="AC283">
        <v>422.20700876226601</v>
      </c>
      <c r="AD283">
        <v>309.402447623927</v>
      </c>
      <c r="AE283">
        <v>197.161546720773</v>
      </c>
      <c r="AF283">
        <v>655.69585775344001</v>
      </c>
      <c r="AG283">
        <v>460.78384152728802</v>
      </c>
    </row>
    <row r="284" spans="1:33" x14ac:dyDescent="0.25">
      <c r="A284" s="1">
        <v>44335</v>
      </c>
      <c r="B284">
        <v>7504.2114979342696</v>
      </c>
      <c r="C284">
        <v>6585.4131134332201</v>
      </c>
      <c r="D284">
        <v>7391.7750437597197</v>
      </c>
      <c r="E284">
        <v>8024.4669320522098</v>
      </c>
      <c r="F284">
        <v>9819.2270257451801</v>
      </c>
      <c r="G284">
        <v>8544.8871140865795</v>
      </c>
      <c r="H284">
        <v>22342.017667292799</v>
      </c>
      <c r="I284">
        <v>14297.902197412101</v>
      </c>
      <c r="J284">
        <v>644.20048811731397</v>
      </c>
      <c r="K284">
        <v>730.22420830058002</v>
      </c>
      <c r="L284">
        <v>353.95089720386699</v>
      </c>
      <c r="M284">
        <v>7603.4229956339004</v>
      </c>
      <c r="N284">
        <v>1733.4158356984401</v>
      </c>
      <c r="O284">
        <v>329.920883281317</v>
      </c>
      <c r="P284">
        <v>835.13611095502301</v>
      </c>
      <c r="Q284">
        <v>5994.4766441498896</v>
      </c>
      <c r="R284">
        <v>380.72263401208397</v>
      </c>
      <c r="S284">
        <v>162.67853755194901</v>
      </c>
      <c r="T284">
        <v>174.19355913370001</v>
      </c>
      <c r="U284">
        <v>166.486265108596</v>
      </c>
      <c r="V284">
        <v>132.52756460397899</v>
      </c>
      <c r="W284">
        <v>116.600400428437</v>
      </c>
      <c r="X284">
        <v>121.713969569908</v>
      </c>
      <c r="Y284">
        <v>472.10515156528902</v>
      </c>
      <c r="Z284">
        <v>146.00847280751</v>
      </c>
      <c r="AA284">
        <v>461.69294598137401</v>
      </c>
      <c r="AB284">
        <v>464.46404934181101</v>
      </c>
      <c r="AC284">
        <v>419.62451286537703</v>
      </c>
      <c r="AD284">
        <v>310.63006314210202</v>
      </c>
      <c r="AE284">
        <v>179.866681271159</v>
      </c>
      <c r="AF284">
        <v>635.46178607796003</v>
      </c>
      <c r="AG284">
        <v>459.76080841434299</v>
      </c>
    </row>
    <row r="285" spans="1:33" x14ac:dyDescent="0.25">
      <c r="A285" s="1">
        <v>44336</v>
      </c>
      <c r="B285">
        <v>7601.4425922029104</v>
      </c>
      <c r="C285">
        <v>6107.3093800741699</v>
      </c>
      <c r="D285">
        <v>7374.5536618437</v>
      </c>
      <c r="E285">
        <v>7899.0379622960199</v>
      </c>
      <c r="F285">
        <v>9070.5515620339702</v>
      </c>
      <c r="G285">
        <v>7363.9312528790697</v>
      </c>
      <c r="H285">
        <v>20478.1369605092</v>
      </c>
      <c r="I285">
        <v>13975.8109081035</v>
      </c>
      <c r="J285">
        <v>657.61230032291405</v>
      </c>
      <c r="K285">
        <v>643.06699354647401</v>
      </c>
      <c r="L285">
        <v>373.03239398679199</v>
      </c>
      <c r="M285">
        <v>6279.9166474963804</v>
      </c>
      <c r="N285">
        <v>983.36416053824405</v>
      </c>
      <c r="O285">
        <v>312.93145416068103</v>
      </c>
      <c r="P285">
        <v>713.85617309205099</v>
      </c>
      <c r="Q285">
        <v>4820.2408507332602</v>
      </c>
      <c r="R285">
        <v>347.03209263737102</v>
      </c>
      <c r="S285">
        <v>163.244635690107</v>
      </c>
      <c r="T285">
        <v>155.14838317824601</v>
      </c>
      <c r="U285">
        <v>166.45163978186599</v>
      </c>
      <c r="V285">
        <v>128.974742535872</v>
      </c>
      <c r="W285">
        <v>116.042083742335</v>
      </c>
      <c r="X285">
        <v>120.939299807645</v>
      </c>
      <c r="Y285">
        <v>464.82076069097002</v>
      </c>
      <c r="Z285">
        <v>144.37390877063601</v>
      </c>
      <c r="AA285">
        <v>455.427252320702</v>
      </c>
      <c r="AB285">
        <v>461.148399485217</v>
      </c>
      <c r="AC285">
        <v>421.641849436641</v>
      </c>
      <c r="AD285">
        <v>315.36212030374998</v>
      </c>
      <c r="AE285">
        <v>183.26432591525599</v>
      </c>
      <c r="AF285">
        <v>614.885749548391</v>
      </c>
      <c r="AG285">
        <v>459.48164057155202</v>
      </c>
    </row>
    <row r="286" spans="1:33" x14ac:dyDescent="0.25">
      <c r="A286" s="1">
        <v>44337</v>
      </c>
      <c r="B286">
        <v>7759.6681248303203</v>
      </c>
      <c r="C286">
        <v>5152.9723183524802</v>
      </c>
      <c r="D286">
        <v>7234.6842392896397</v>
      </c>
      <c r="E286">
        <v>8046.0245963771704</v>
      </c>
      <c r="F286">
        <v>8098.2047204197097</v>
      </c>
      <c r="G286">
        <v>7147.3842730513197</v>
      </c>
      <c r="H286">
        <v>19718.344744040802</v>
      </c>
      <c r="I286">
        <v>13027.760065794801</v>
      </c>
      <c r="J286">
        <v>654.41940850390097</v>
      </c>
      <c r="K286">
        <v>595.42382277464799</v>
      </c>
      <c r="L286">
        <v>342.33487122571597</v>
      </c>
      <c r="M286">
        <v>5887.8034857424</v>
      </c>
      <c r="N286">
        <v>684.96206218971099</v>
      </c>
      <c r="O286">
        <v>304.42584968311701</v>
      </c>
      <c r="P286">
        <v>654.91167628154096</v>
      </c>
      <c r="Q286">
        <v>4218.7272480692</v>
      </c>
      <c r="R286">
        <v>330.81876849416102</v>
      </c>
      <c r="S286">
        <v>162.80674873196901</v>
      </c>
      <c r="T286">
        <v>144.83590870576199</v>
      </c>
      <c r="U286">
        <v>166.35150893359199</v>
      </c>
      <c r="V286">
        <v>123.129280749055</v>
      </c>
      <c r="W286">
        <v>108.416973322719</v>
      </c>
      <c r="X286">
        <v>117.366598532502</v>
      </c>
      <c r="Y286">
        <v>458.09883849843402</v>
      </c>
      <c r="Z286">
        <v>143.258039299003</v>
      </c>
      <c r="AA286">
        <v>451.62000355123303</v>
      </c>
      <c r="AB286">
        <v>458.63632687619298</v>
      </c>
      <c r="AC286">
        <v>430.183738492847</v>
      </c>
      <c r="AD286">
        <v>317.47508184903597</v>
      </c>
      <c r="AE286">
        <v>191.301721917891</v>
      </c>
      <c r="AF286">
        <v>600.95981259798396</v>
      </c>
      <c r="AG286">
        <v>457.632192446038</v>
      </c>
    </row>
    <row r="287" spans="1:33" x14ac:dyDescent="0.25">
      <c r="A287" s="1">
        <v>44338</v>
      </c>
      <c r="B287">
        <v>7977.9547783791204</v>
      </c>
      <c r="C287">
        <v>4519.2962468780197</v>
      </c>
      <c r="D287">
        <v>7021.67321905879</v>
      </c>
      <c r="E287">
        <v>8283.1603349220604</v>
      </c>
      <c r="F287">
        <v>8260.5419875937896</v>
      </c>
      <c r="G287">
        <v>7633.0861783564596</v>
      </c>
      <c r="H287">
        <v>20821.175607741799</v>
      </c>
      <c r="I287">
        <v>12223.442537475001</v>
      </c>
      <c r="J287">
        <v>644.23575579050396</v>
      </c>
      <c r="K287">
        <v>590.30222404942697</v>
      </c>
      <c r="L287">
        <v>332.97695920144901</v>
      </c>
      <c r="M287">
        <v>6398.12778993759</v>
      </c>
      <c r="N287">
        <v>883.12089587537002</v>
      </c>
      <c r="O287">
        <v>310.92605491168399</v>
      </c>
      <c r="P287">
        <v>664.90132843190702</v>
      </c>
      <c r="Q287">
        <v>4627.0129395735403</v>
      </c>
      <c r="R287">
        <v>339.41738778662</v>
      </c>
      <c r="S287">
        <v>162.50902794247801</v>
      </c>
      <c r="T287">
        <v>142.36057408973701</v>
      </c>
      <c r="U287">
        <v>166.033255026848</v>
      </c>
      <c r="V287">
        <v>126.81179739130199</v>
      </c>
      <c r="W287">
        <v>123.600131053997</v>
      </c>
      <c r="X287">
        <v>115.29695194982</v>
      </c>
      <c r="Y287">
        <v>455.85452674768402</v>
      </c>
      <c r="Z287">
        <v>142.554588358085</v>
      </c>
      <c r="AA287">
        <v>449.03441711348398</v>
      </c>
      <c r="AB287">
        <v>457.925167104715</v>
      </c>
      <c r="AC287">
        <v>433.98247272410202</v>
      </c>
      <c r="AD287">
        <v>312.07387719365602</v>
      </c>
      <c r="AE287">
        <v>214.26100555279501</v>
      </c>
      <c r="AF287">
        <v>590.35509135704206</v>
      </c>
      <c r="AG287">
        <v>455.44174829427402</v>
      </c>
    </row>
    <row r="288" spans="1:33" x14ac:dyDescent="0.25">
      <c r="A288" s="1">
        <v>44339</v>
      </c>
      <c r="B288">
        <v>8173.8953013330101</v>
      </c>
      <c r="C288">
        <v>4682.1984153046697</v>
      </c>
      <c r="D288">
        <v>6691.9210505978099</v>
      </c>
      <c r="E288">
        <v>8410.8328108203496</v>
      </c>
      <c r="F288">
        <v>8765.4814219612799</v>
      </c>
      <c r="G288">
        <v>8291.9819568562598</v>
      </c>
      <c r="H288">
        <v>21779.752758786599</v>
      </c>
      <c r="I288">
        <v>11981.847713352799</v>
      </c>
      <c r="J288">
        <v>634.19886374359203</v>
      </c>
      <c r="K288">
        <v>605.84335703117802</v>
      </c>
      <c r="L288">
        <v>339.43431355346502</v>
      </c>
      <c r="M288">
        <v>6977.9279101391103</v>
      </c>
      <c r="N288">
        <v>1123.6701039261</v>
      </c>
      <c r="O288">
        <v>317.88053558361702</v>
      </c>
      <c r="P288">
        <v>695.41335829310799</v>
      </c>
      <c r="Q288">
        <v>5138.3640439379296</v>
      </c>
      <c r="R288">
        <v>351.24074261739003</v>
      </c>
      <c r="S288">
        <v>161.87384860881599</v>
      </c>
      <c r="T288">
        <v>142.54114680108901</v>
      </c>
      <c r="U288">
        <v>165.842589565434</v>
      </c>
      <c r="V288">
        <v>127.68064728452499</v>
      </c>
      <c r="W288">
        <v>130.85458101508601</v>
      </c>
      <c r="X288">
        <v>113.836779676397</v>
      </c>
      <c r="Y288">
        <v>455.16831134964201</v>
      </c>
      <c r="Z288">
        <v>141.44577184692201</v>
      </c>
      <c r="AA288">
        <v>443.954156455874</v>
      </c>
      <c r="AB288">
        <v>457.35275651902401</v>
      </c>
      <c r="AC288">
        <v>421.66905643470398</v>
      </c>
      <c r="AD288">
        <v>312.26121314647298</v>
      </c>
      <c r="AE288">
        <v>203.37742806304499</v>
      </c>
      <c r="AF288">
        <v>587.251825174332</v>
      </c>
      <c r="AG288">
        <v>455.50546871187601</v>
      </c>
    </row>
    <row r="289" spans="1:33" x14ac:dyDescent="0.25">
      <c r="A289" s="1">
        <v>44340</v>
      </c>
      <c r="B289">
        <v>8232.1242308874898</v>
      </c>
      <c r="C289">
        <v>5063.5771888669196</v>
      </c>
      <c r="D289">
        <v>6235.9791420537304</v>
      </c>
      <c r="E289">
        <v>8399.8490692037794</v>
      </c>
      <c r="F289">
        <v>9285.9548544955796</v>
      </c>
      <c r="G289">
        <v>8684.8225983296506</v>
      </c>
      <c r="H289">
        <v>21679.329340928802</v>
      </c>
      <c r="I289">
        <v>12038.4692731087</v>
      </c>
      <c r="J289">
        <v>627.27505899682706</v>
      </c>
      <c r="K289">
        <v>615.62484523357296</v>
      </c>
      <c r="L289">
        <v>347.14163942126299</v>
      </c>
      <c r="M289">
        <v>7173.4471200073804</v>
      </c>
      <c r="N289">
        <v>1244.94580917697</v>
      </c>
      <c r="O289">
        <v>319.453578484552</v>
      </c>
      <c r="P289">
        <v>696.98843356969701</v>
      </c>
      <c r="Q289">
        <v>5463.7115252475296</v>
      </c>
      <c r="R289">
        <v>354.99554838229898</v>
      </c>
      <c r="S289">
        <v>160.93334651010699</v>
      </c>
      <c r="T289">
        <v>145.20580392990999</v>
      </c>
      <c r="U289">
        <v>165.96182487573699</v>
      </c>
      <c r="V289">
        <v>142.50845253022001</v>
      </c>
      <c r="W289">
        <v>123.842632586298</v>
      </c>
      <c r="X289">
        <v>127.488324981587</v>
      </c>
      <c r="Y289">
        <v>454.22332303714899</v>
      </c>
      <c r="Z289">
        <v>139.61765403468999</v>
      </c>
      <c r="AA289">
        <v>439.50180092122599</v>
      </c>
      <c r="AB289">
        <v>456.370657598538</v>
      </c>
      <c r="AC289">
        <v>389.749043444672</v>
      </c>
      <c r="AD289">
        <v>314.96983884130901</v>
      </c>
      <c r="AE289">
        <v>210.336862375615</v>
      </c>
      <c r="AF289">
        <v>583.98201302751602</v>
      </c>
      <c r="AG289">
        <v>456.56659996450099</v>
      </c>
    </row>
    <row r="290" spans="1:33" x14ac:dyDescent="0.25">
      <c r="A290" s="1">
        <v>44341</v>
      </c>
      <c r="B290">
        <v>8218.2485688086999</v>
      </c>
      <c r="C290">
        <v>5289.8960243824704</v>
      </c>
      <c r="D290">
        <v>5968.8179782430898</v>
      </c>
      <c r="E290">
        <v>8386.2479467888897</v>
      </c>
      <c r="F290">
        <v>9747.0508817805603</v>
      </c>
      <c r="G290">
        <v>9175.8991093186305</v>
      </c>
      <c r="H290">
        <v>22136.569849880401</v>
      </c>
      <c r="I290">
        <v>12218.771234608999</v>
      </c>
      <c r="J290">
        <v>627.96802865336895</v>
      </c>
      <c r="K290">
        <v>639.34761546272705</v>
      </c>
      <c r="L290">
        <v>354.72622176556098</v>
      </c>
      <c r="M290">
        <v>7836.5918904330501</v>
      </c>
      <c r="N290">
        <v>1491.10438598274</v>
      </c>
      <c r="O290">
        <v>332.38136199774402</v>
      </c>
      <c r="P290">
        <v>728.75134139728004</v>
      </c>
      <c r="Q290">
        <v>6053.5179247633196</v>
      </c>
      <c r="R290">
        <v>366.75981206765402</v>
      </c>
      <c r="S290">
        <v>159.59029047270801</v>
      </c>
      <c r="T290">
        <v>160.93826301652999</v>
      </c>
      <c r="U290">
        <v>165.39174384778099</v>
      </c>
      <c r="V290">
        <v>159.06100416861901</v>
      </c>
      <c r="W290">
        <v>123.93200259684799</v>
      </c>
      <c r="X290">
        <v>132.67235285358001</v>
      </c>
      <c r="Y290">
        <v>454.66118499324898</v>
      </c>
      <c r="Z290">
        <v>137.22451052699199</v>
      </c>
      <c r="AA290">
        <v>440.54802524551502</v>
      </c>
      <c r="AB290">
        <v>455.77634864349301</v>
      </c>
      <c r="AC290">
        <v>372.48075453838999</v>
      </c>
      <c r="AD290">
        <v>319.41562863757503</v>
      </c>
      <c r="AE290">
        <v>228.97948917110301</v>
      </c>
      <c r="AF290">
        <v>581.94867690548097</v>
      </c>
      <c r="AG290">
        <v>455.95374820883899</v>
      </c>
    </row>
    <row r="291" spans="1:33" x14ac:dyDescent="0.25">
      <c r="A291" s="1">
        <v>44342</v>
      </c>
      <c r="B291">
        <v>8142.8367868985597</v>
      </c>
      <c r="C291">
        <v>5601.9324621489995</v>
      </c>
      <c r="D291">
        <v>5944.7165392934703</v>
      </c>
      <c r="E291">
        <v>8395.0521040740696</v>
      </c>
      <c r="F291">
        <v>10128.9250597097</v>
      </c>
      <c r="G291">
        <v>9533.4165874833507</v>
      </c>
      <c r="H291">
        <v>21944.762604283002</v>
      </c>
      <c r="I291">
        <v>12521.807814752399</v>
      </c>
      <c r="J291">
        <v>625.12889891286295</v>
      </c>
      <c r="K291">
        <v>665.53176983655601</v>
      </c>
      <c r="L291">
        <v>357.91377458512</v>
      </c>
      <c r="M291">
        <v>8024.89839995071</v>
      </c>
      <c r="N291">
        <v>1753.09467216096</v>
      </c>
      <c r="O291">
        <v>328.78461940711702</v>
      </c>
      <c r="P291">
        <v>792.45718840682002</v>
      </c>
      <c r="Q291">
        <v>6348.2650179339998</v>
      </c>
      <c r="R291">
        <v>369.39447674133299</v>
      </c>
      <c r="S291">
        <v>158.274008533342</v>
      </c>
      <c r="T291">
        <v>175.05006860911701</v>
      </c>
      <c r="U291">
        <v>165.28832585968399</v>
      </c>
      <c r="V291">
        <v>168.181816413522</v>
      </c>
      <c r="W291">
        <v>124.20438902519101</v>
      </c>
      <c r="X291">
        <v>132.69621756537799</v>
      </c>
      <c r="Y291">
        <v>453.08170147846801</v>
      </c>
      <c r="Z291">
        <v>134.73828135155699</v>
      </c>
      <c r="AA291">
        <v>441.59644970943202</v>
      </c>
      <c r="AB291">
        <v>454.90811952567202</v>
      </c>
      <c r="AC291">
        <v>361.15875090745402</v>
      </c>
      <c r="AD291">
        <v>323.009564170722</v>
      </c>
      <c r="AE291">
        <v>229.03364387910301</v>
      </c>
      <c r="AF291">
        <v>581.38571826166003</v>
      </c>
      <c r="AG291">
        <v>453.79670400260602</v>
      </c>
    </row>
    <row r="292" spans="1:33" x14ac:dyDescent="0.25">
      <c r="A292" s="1">
        <v>44343</v>
      </c>
      <c r="B292">
        <v>8004.6502105966401</v>
      </c>
      <c r="C292">
        <v>5937.3289123821096</v>
      </c>
      <c r="D292">
        <v>5997.7928929090604</v>
      </c>
      <c r="E292">
        <v>8435.6327309822791</v>
      </c>
      <c r="F292">
        <v>10481.090483853701</v>
      </c>
      <c r="G292">
        <v>10144.162211091099</v>
      </c>
      <c r="H292">
        <v>22865.724901540299</v>
      </c>
      <c r="I292">
        <v>12760.518896875499</v>
      </c>
      <c r="J292">
        <v>628.41306348749697</v>
      </c>
      <c r="K292">
        <v>719.04415618758799</v>
      </c>
      <c r="L292">
        <v>362.037866832068</v>
      </c>
      <c r="M292">
        <v>8683.4119948136795</v>
      </c>
      <c r="N292">
        <v>2083.8747580518202</v>
      </c>
      <c r="O292">
        <v>341.72996972400801</v>
      </c>
      <c r="P292">
        <v>874.43820719281905</v>
      </c>
      <c r="Q292">
        <v>6941.5412129284196</v>
      </c>
      <c r="R292">
        <v>386.45358795121598</v>
      </c>
      <c r="S292">
        <v>156.701910988511</v>
      </c>
      <c r="T292">
        <v>206.81297319094401</v>
      </c>
      <c r="U292">
        <v>164.69399385416</v>
      </c>
      <c r="V292">
        <v>195.08864122285999</v>
      </c>
      <c r="W292">
        <v>123.784750344649</v>
      </c>
      <c r="X292">
        <v>141.92491744964201</v>
      </c>
      <c r="Y292">
        <v>454.208348257198</v>
      </c>
      <c r="Z292">
        <v>133.81054645989701</v>
      </c>
      <c r="AA292">
        <v>443.69602640590801</v>
      </c>
      <c r="AB292">
        <v>455.24951579068698</v>
      </c>
      <c r="AC292">
        <v>360.822576339482</v>
      </c>
      <c r="AD292">
        <v>327.87334655907</v>
      </c>
      <c r="AE292">
        <v>220.982615144872</v>
      </c>
      <c r="AF292">
        <v>581.49947990005705</v>
      </c>
      <c r="AG292">
        <v>450.568943822942</v>
      </c>
    </row>
    <row r="293" spans="1:33" x14ac:dyDescent="0.25">
      <c r="A293" s="1">
        <v>44344</v>
      </c>
      <c r="B293">
        <v>7940.6369591110897</v>
      </c>
      <c r="C293">
        <v>6494.0915432419697</v>
      </c>
      <c r="D293">
        <v>6085.5052972111698</v>
      </c>
      <c r="E293">
        <v>8582.8488975331802</v>
      </c>
      <c r="F293">
        <v>10984.789000520401</v>
      </c>
      <c r="G293">
        <v>10698.720345146599</v>
      </c>
      <c r="H293">
        <v>23078.120696654201</v>
      </c>
      <c r="I293">
        <v>13084.7544012709</v>
      </c>
      <c r="J293">
        <v>639.67457386413605</v>
      </c>
      <c r="K293">
        <v>783.90689732320504</v>
      </c>
      <c r="L293">
        <v>370.68877663742398</v>
      </c>
      <c r="M293">
        <v>9226.6525974231008</v>
      </c>
      <c r="N293">
        <v>2408.8473151691501</v>
      </c>
      <c r="O293">
        <v>356.08382602357398</v>
      </c>
      <c r="P293">
        <v>963.15485341819897</v>
      </c>
      <c r="Q293">
        <v>7397.2561004053796</v>
      </c>
      <c r="R293">
        <v>406.600369159146</v>
      </c>
      <c r="S293">
        <v>155.31690106494401</v>
      </c>
      <c r="T293">
        <v>244.26981456065801</v>
      </c>
      <c r="U293">
        <v>163.92127859336799</v>
      </c>
      <c r="V293">
        <v>225.23424337479</v>
      </c>
      <c r="W293">
        <v>110.43911393794799</v>
      </c>
      <c r="X293">
        <v>150.13416278019901</v>
      </c>
      <c r="Y293">
        <v>455.74447131202197</v>
      </c>
      <c r="Z293">
        <v>134.172119929502</v>
      </c>
      <c r="AA293">
        <v>446.42053533690199</v>
      </c>
      <c r="AB293">
        <v>456.04715293347101</v>
      </c>
      <c r="AC293">
        <v>356.555983418518</v>
      </c>
      <c r="AD293">
        <v>333.96749458041597</v>
      </c>
      <c r="AE293">
        <v>227.65908378328601</v>
      </c>
      <c r="AF293">
        <v>579.02284073213798</v>
      </c>
      <c r="AG293">
        <v>446.77453457926799</v>
      </c>
    </row>
    <row r="294" spans="1:33" x14ac:dyDescent="0.25">
      <c r="A294" s="1">
        <v>44345</v>
      </c>
      <c r="B294">
        <v>7957.0552819989498</v>
      </c>
      <c r="C294">
        <v>6863.8869735101098</v>
      </c>
      <c r="D294">
        <v>6110.6011925090597</v>
      </c>
      <c r="E294">
        <v>8610.8067457909001</v>
      </c>
      <c r="F294">
        <v>11248.465451845799</v>
      </c>
      <c r="G294">
        <v>10743.6082530637</v>
      </c>
      <c r="H294">
        <v>23199.125793989399</v>
      </c>
      <c r="I294">
        <v>13323.989495208099</v>
      </c>
      <c r="J294">
        <v>652.14217021627906</v>
      </c>
      <c r="K294">
        <v>830.68569861555295</v>
      </c>
      <c r="L294">
        <v>376.19459297033399</v>
      </c>
      <c r="M294">
        <v>9427.4257534784301</v>
      </c>
      <c r="N294">
        <v>2518.8924308409401</v>
      </c>
      <c r="O294">
        <v>362.247183383682</v>
      </c>
      <c r="P294">
        <v>1026.26236429453</v>
      </c>
      <c r="Q294">
        <v>7582.8766866631304</v>
      </c>
      <c r="R294">
        <v>418.38168492159599</v>
      </c>
      <c r="S294">
        <v>154.20887221048699</v>
      </c>
      <c r="T294">
        <v>255.083402869824</v>
      </c>
      <c r="U294">
        <v>162.87910834522799</v>
      </c>
      <c r="V294">
        <v>237.56912597559099</v>
      </c>
      <c r="W294">
        <v>116.10339286527601</v>
      </c>
      <c r="X294">
        <v>152.428967940668</v>
      </c>
      <c r="Y294">
        <v>456.50793054466698</v>
      </c>
      <c r="Z294">
        <v>134.75179405857</v>
      </c>
      <c r="AA294">
        <v>447.26773063620999</v>
      </c>
      <c r="AB294">
        <v>457.01778216671602</v>
      </c>
      <c r="AC294">
        <v>351.62664786397602</v>
      </c>
      <c r="AD294">
        <v>338.22386009857303</v>
      </c>
      <c r="AE294">
        <v>208.24729327987299</v>
      </c>
      <c r="AF294">
        <v>570.22702648630195</v>
      </c>
      <c r="AG294">
        <v>444.684484907176</v>
      </c>
    </row>
    <row r="295" spans="1:33" x14ac:dyDescent="0.25">
      <c r="A295" s="1">
        <v>44346</v>
      </c>
      <c r="B295">
        <v>7937.3030436212002</v>
      </c>
      <c r="C295">
        <v>7177.1225884774904</v>
      </c>
      <c r="D295">
        <v>6152.2749982326204</v>
      </c>
      <c r="E295">
        <v>8491.4052416799605</v>
      </c>
      <c r="F295">
        <v>11308.494536612499</v>
      </c>
      <c r="G295">
        <v>10211.7659490152</v>
      </c>
      <c r="H295">
        <v>22411.628238253401</v>
      </c>
      <c r="I295">
        <v>13451.5251762638</v>
      </c>
      <c r="J295">
        <v>658.18151745668899</v>
      </c>
      <c r="K295">
        <v>830.87161327561603</v>
      </c>
      <c r="L295">
        <v>379.62189428782398</v>
      </c>
      <c r="M295">
        <v>9005.7644664668405</v>
      </c>
      <c r="N295">
        <v>2415.3559509929901</v>
      </c>
      <c r="O295">
        <v>358.420486517082</v>
      </c>
      <c r="P295">
        <v>1013.08512919214</v>
      </c>
      <c r="Q295">
        <v>7119.7962784115398</v>
      </c>
      <c r="R295">
        <v>419.04867812747301</v>
      </c>
      <c r="S295">
        <v>153.42288211025601</v>
      </c>
      <c r="T295">
        <v>232.22522238837399</v>
      </c>
      <c r="U295">
        <v>162.25910112379501</v>
      </c>
      <c r="V295">
        <v>208.04942959972399</v>
      </c>
      <c r="W295">
        <v>131.55085418826201</v>
      </c>
      <c r="X295">
        <v>127.567745143366</v>
      </c>
      <c r="Y295">
        <v>457.33431325489101</v>
      </c>
      <c r="Z295">
        <v>135.439141129435</v>
      </c>
      <c r="AA295">
        <v>448.27270826789498</v>
      </c>
      <c r="AB295">
        <v>458.73422457302098</v>
      </c>
      <c r="AC295">
        <v>354.41712636895198</v>
      </c>
      <c r="AD295">
        <v>340.31709000081503</v>
      </c>
      <c r="AE295">
        <v>205.80903714393199</v>
      </c>
      <c r="AF295">
        <v>559.99642707530404</v>
      </c>
      <c r="AG295">
        <v>443.66474518648198</v>
      </c>
    </row>
    <row r="296" spans="1:33" x14ac:dyDescent="0.25">
      <c r="A296" s="1">
        <v>44347</v>
      </c>
      <c r="B296">
        <v>7851.3792200828802</v>
      </c>
      <c r="C296">
        <v>6812.4766288943702</v>
      </c>
      <c r="D296">
        <v>6283.3166455610999</v>
      </c>
      <c r="E296">
        <v>8411.10992397669</v>
      </c>
      <c r="F296">
        <v>11149.0394460636</v>
      </c>
      <c r="G296">
        <v>10182.356085429299</v>
      </c>
      <c r="H296">
        <v>22342.717871128501</v>
      </c>
      <c r="I296">
        <v>13540.4938089526</v>
      </c>
      <c r="J296">
        <v>664.11531782177201</v>
      </c>
      <c r="K296">
        <v>841.24615245720099</v>
      </c>
      <c r="L296">
        <v>379.22882901970399</v>
      </c>
      <c r="M296">
        <v>8851.6750988777094</v>
      </c>
      <c r="N296">
        <v>2192.9848317473602</v>
      </c>
      <c r="O296">
        <v>359.86909855665903</v>
      </c>
      <c r="P296">
        <v>1016.17915165059</v>
      </c>
      <c r="Q296">
        <v>6990.3487509143497</v>
      </c>
      <c r="R296">
        <v>421.29340718294401</v>
      </c>
      <c r="S296">
        <v>152.70201181778401</v>
      </c>
      <c r="T296">
        <v>216.22702668520401</v>
      </c>
      <c r="U296">
        <v>162.811859249777</v>
      </c>
      <c r="V296">
        <v>198.24391451522001</v>
      </c>
      <c r="W296">
        <v>132.57662009445301</v>
      </c>
      <c r="X296">
        <v>124.26808607257701</v>
      </c>
      <c r="Y296">
        <v>459.05731889701201</v>
      </c>
      <c r="Z296">
        <v>136.76447111598199</v>
      </c>
      <c r="AA296">
        <v>451.50878627475299</v>
      </c>
      <c r="AB296">
        <v>461.21293111218301</v>
      </c>
      <c r="AC296">
        <v>365.46057020907102</v>
      </c>
      <c r="AD296">
        <v>341.14216750812398</v>
      </c>
      <c r="AE296">
        <v>203.37736625244301</v>
      </c>
      <c r="AF296">
        <v>550.62837882841495</v>
      </c>
      <c r="AG296">
        <v>443.07716223655598</v>
      </c>
    </row>
    <row r="297" spans="1:33" x14ac:dyDescent="0.25">
      <c r="A297" s="1">
        <v>44348</v>
      </c>
      <c r="B297">
        <v>7810.1582907858201</v>
      </c>
      <c r="C297">
        <v>6594.1705823155798</v>
      </c>
      <c r="D297">
        <v>6459.76587979552</v>
      </c>
      <c r="E297">
        <v>8481.1262822203498</v>
      </c>
      <c r="F297">
        <v>11466.0153765017</v>
      </c>
      <c r="G297">
        <v>11085.298301881699</v>
      </c>
      <c r="H297">
        <v>24063.737549186299</v>
      </c>
      <c r="I297">
        <v>13640.2518789071</v>
      </c>
      <c r="J297">
        <v>679.95438325665395</v>
      </c>
      <c r="K297">
        <v>892.06935382508198</v>
      </c>
      <c r="L297">
        <v>385.12211853345502</v>
      </c>
      <c r="M297">
        <v>9448.5294336469706</v>
      </c>
      <c r="N297">
        <v>2512.93263785504</v>
      </c>
      <c r="O297">
        <v>391.52590355912503</v>
      </c>
      <c r="P297">
        <v>1079.01900742729</v>
      </c>
      <c r="Q297">
        <v>7724.2823126468902</v>
      </c>
      <c r="R297">
        <v>450.82496021375499</v>
      </c>
      <c r="S297">
        <v>151.57973654403401</v>
      </c>
      <c r="T297">
        <v>238.235280408199</v>
      </c>
      <c r="U297">
        <v>162.00877512926101</v>
      </c>
      <c r="V297">
        <v>226.716871150798</v>
      </c>
      <c r="W297">
        <v>126.11772130298699</v>
      </c>
      <c r="X297">
        <v>144.14442946629899</v>
      </c>
      <c r="Y297">
        <v>462.53285264936198</v>
      </c>
      <c r="Z297">
        <v>138.16847831772299</v>
      </c>
      <c r="AA297">
        <v>457.94930816141999</v>
      </c>
      <c r="AB297">
        <v>464.82305739803002</v>
      </c>
      <c r="AC297">
        <v>377.98677361102</v>
      </c>
      <c r="AD297">
        <v>346.66040754166602</v>
      </c>
      <c r="AE297">
        <v>202.34641298549499</v>
      </c>
      <c r="AF297">
        <v>546.84715230098004</v>
      </c>
      <c r="AG297">
        <v>442.25317804191502</v>
      </c>
    </row>
    <row r="298" spans="1:33" x14ac:dyDescent="0.25">
      <c r="A298" s="1">
        <v>44349</v>
      </c>
      <c r="B298">
        <v>7895.2298425526396</v>
      </c>
      <c r="C298">
        <v>6183.3038143321401</v>
      </c>
      <c r="D298">
        <v>6671.4563020343303</v>
      </c>
      <c r="E298">
        <v>8500.1396481399206</v>
      </c>
      <c r="F298">
        <v>11656.3388810586</v>
      </c>
      <c r="G298">
        <v>10624.470832879701</v>
      </c>
      <c r="H298">
        <v>23476.903357225601</v>
      </c>
      <c r="I298">
        <v>13793.465006659701</v>
      </c>
      <c r="J298">
        <v>690.93911600777506</v>
      </c>
      <c r="K298">
        <v>882.06181386476305</v>
      </c>
      <c r="L298">
        <v>391.72297974824397</v>
      </c>
      <c r="M298">
        <v>9076.8757722735099</v>
      </c>
      <c r="N298">
        <v>2387.7039131934998</v>
      </c>
      <c r="O298">
        <v>399.944578777174</v>
      </c>
      <c r="P298">
        <v>1027.2808324217201</v>
      </c>
      <c r="Q298">
        <v>7557.83883903675</v>
      </c>
      <c r="R298">
        <v>449.39620748565699</v>
      </c>
      <c r="S298">
        <v>151.26609134899101</v>
      </c>
      <c r="T298">
        <v>220.42125270834501</v>
      </c>
      <c r="U298">
        <v>160.866609698925</v>
      </c>
      <c r="V298">
        <v>195.31875428134501</v>
      </c>
      <c r="W298">
        <v>127.148211846471</v>
      </c>
      <c r="X298">
        <v>146.429053963782</v>
      </c>
      <c r="Y298">
        <v>463.99166059599997</v>
      </c>
      <c r="Z298">
        <v>138.86555926292201</v>
      </c>
      <c r="AA298">
        <v>454.13803001064002</v>
      </c>
      <c r="AB298">
        <v>466.828904332798</v>
      </c>
      <c r="AC298">
        <v>384.30058377831801</v>
      </c>
      <c r="AD298">
        <v>347.46732047433898</v>
      </c>
      <c r="AE298">
        <v>192.84192066775901</v>
      </c>
      <c r="AF298">
        <v>535.81065147449897</v>
      </c>
      <c r="AG298">
        <v>443.44939551561799</v>
      </c>
    </row>
    <row r="299" spans="1:33" x14ac:dyDescent="0.25">
      <c r="A299" s="1">
        <v>44350</v>
      </c>
      <c r="B299">
        <v>8129.6596379276998</v>
      </c>
      <c r="C299">
        <v>6450.0772399280104</v>
      </c>
      <c r="D299">
        <v>6933.3025713175803</v>
      </c>
      <c r="E299">
        <v>8724.6919288058307</v>
      </c>
      <c r="F299">
        <v>11150.831796218101</v>
      </c>
      <c r="G299">
        <v>10291.7204260042</v>
      </c>
      <c r="H299">
        <v>22632.2837024783</v>
      </c>
      <c r="I299">
        <v>13949.682833418199</v>
      </c>
      <c r="J299">
        <v>697.17450392526302</v>
      </c>
      <c r="K299">
        <v>865.669844946799</v>
      </c>
      <c r="L299">
        <v>392.391804562863</v>
      </c>
      <c r="M299">
        <v>8887.2093441308407</v>
      </c>
      <c r="N299">
        <v>2155.7758757209899</v>
      </c>
      <c r="O299">
        <v>397.53300849760001</v>
      </c>
      <c r="P299">
        <v>1014.50848733643</v>
      </c>
      <c r="Q299">
        <v>7182.5464220326103</v>
      </c>
      <c r="R299">
        <v>444.146308398408</v>
      </c>
      <c r="S299">
        <v>151.296550572364</v>
      </c>
      <c r="T299">
        <v>201.881592221533</v>
      </c>
      <c r="U299">
        <v>160.92319403357101</v>
      </c>
      <c r="V299">
        <v>178.28568950995299</v>
      </c>
      <c r="W299">
        <v>131.176602272465</v>
      </c>
      <c r="X299">
        <v>142.66461286861201</v>
      </c>
      <c r="Y299">
        <v>464.72831217795903</v>
      </c>
      <c r="Z299">
        <v>139.16607565991399</v>
      </c>
      <c r="AA299">
        <v>451.77263674217897</v>
      </c>
      <c r="AB299">
        <v>468.02459754528502</v>
      </c>
      <c r="AC299">
        <v>373.292580910239</v>
      </c>
      <c r="AD299">
        <v>348.241933706297</v>
      </c>
      <c r="AE299">
        <v>176.05389962917599</v>
      </c>
      <c r="AF299">
        <v>517.06932820577799</v>
      </c>
      <c r="AG299">
        <v>445.19417224917601</v>
      </c>
    </row>
    <row r="300" spans="1:33" x14ac:dyDescent="0.25">
      <c r="A300" s="1">
        <v>44351</v>
      </c>
      <c r="B300">
        <v>8515.1577285974909</v>
      </c>
      <c r="C300">
        <v>6624.4234642522697</v>
      </c>
      <c r="D300">
        <v>7236.9944807847496</v>
      </c>
      <c r="E300">
        <v>9052.6370872110292</v>
      </c>
      <c r="F300">
        <v>11018.5728733835</v>
      </c>
      <c r="G300">
        <v>10592.0750524415</v>
      </c>
      <c r="H300">
        <v>22981.909612198298</v>
      </c>
      <c r="I300">
        <v>14051.550517055301</v>
      </c>
      <c r="J300">
        <v>711.65844008522799</v>
      </c>
      <c r="K300">
        <v>877.208799503553</v>
      </c>
      <c r="L300">
        <v>397.20517663202099</v>
      </c>
      <c r="M300">
        <v>9165.8414947288002</v>
      </c>
      <c r="N300">
        <v>2158.2712176300101</v>
      </c>
      <c r="O300">
        <v>413.78540416244198</v>
      </c>
      <c r="P300">
        <v>1015.24595587929</v>
      </c>
      <c r="Q300">
        <v>7296.5576835585498</v>
      </c>
      <c r="R300">
        <v>459.16260572395902</v>
      </c>
      <c r="S300">
        <v>151.43595745128599</v>
      </c>
      <c r="T300">
        <v>201.536931168465</v>
      </c>
      <c r="U300">
        <v>143.77190690935899</v>
      </c>
      <c r="V300">
        <v>198.51779353270501</v>
      </c>
      <c r="W300">
        <v>129.57418419516901</v>
      </c>
      <c r="X300">
        <v>143.665443194012</v>
      </c>
      <c r="Y300">
        <v>467.026166741765</v>
      </c>
      <c r="Z300">
        <v>139.16970715499099</v>
      </c>
      <c r="AA300">
        <v>452.61626993757</v>
      </c>
      <c r="AB300">
        <v>470.64885957681298</v>
      </c>
      <c r="AC300">
        <v>359.44911595116298</v>
      </c>
      <c r="AD300">
        <v>353.53287197090202</v>
      </c>
      <c r="AE300">
        <v>155.887664534061</v>
      </c>
      <c r="AF300">
        <v>501.937473983036</v>
      </c>
      <c r="AG300">
        <v>445.942325019414</v>
      </c>
    </row>
    <row r="301" spans="1:33" x14ac:dyDescent="0.25">
      <c r="A301" s="1">
        <v>44352</v>
      </c>
      <c r="B301">
        <v>8972.7342276661893</v>
      </c>
      <c r="C301">
        <v>6807.6519205672103</v>
      </c>
      <c r="D301">
        <v>7547.8802868978901</v>
      </c>
      <c r="E301">
        <v>9402.8943623997293</v>
      </c>
      <c r="F301">
        <v>11185.682505226599</v>
      </c>
      <c r="G301">
        <v>10707.2412329939</v>
      </c>
      <c r="H301">
        <v>22881.135673403402</v>
      </c>
      <c r="I301">
        <v>14145.634251863399</v>
      </c>
      <c r="J301">
        <v>723.25884852241995</v>
      </c>
      <c r="K301">
        <v>869.04948034467895</v>
      </c>
      <c r="L301">
        <v>401.15104758651199</v>
      </c>
      <c r="M301">
        <v>9165.0374268825799</v>
      </c>
      <c r="N301">
        <v>2322.3321880726699</v>
      </c>
      <c r="O301">
        <v>406.59670309804102</v>
      </c>
      <c r="P301">
        <v>1015.99122117976</v>
      </c>
      <c r="Q301">
        <v>7339.7931295789904</v>
      </c>
      <c r="R301">
        <v>463.73842173784902</v>
      </c>
      <c r="S301">
        <v>152.09867602299599</v>
      </c>
      <c r="T301">
        <v>209.660409801919</v>
      </c>
      <c r="U301">
        <v>130.05058638274099</v>
      </c>
      <c r="V301">
        <v>217.74649585727599</v>
      </c>
      <c r="W301">
        <v>135.502587806832</v>
      </c>
      <c r="X301">
        <v>155.41207124891099</v>
      </c>
      <c r="Y301">
        <v>469.25934155638203</v>
      </c>
      <c r="Z301">
        <v>138.47076693566501</v>
      </c>
      <c r="AA301">
        <v>447.75039338520298</v>
      </c>
      <c r="AB301">
        <v>473.48884422712399</v>
      </c>
      <c r="AC301">
        <v>345.76548314916801</v>
      </c>
      <c r="AD301">
        <v>355.05592131456802</v>
      </c>
      <c r="AE301">
        <v>163.63537925013699</v>
      </c>
      <c r="AF301">
        <v>484.25290889415299</v>
      </c>
      <c r="AG301">
        <v>447.23424698033102</v>
      </c>
    </row>
    <row r="302" spans="1:33" x14ac:dyDescent="0.25">
      <c r="A302" s="1">
        <v>44353</v>
      </c>
      <c r="B302">
        <v>9285.3568820464207</v>
      </c>
      <c r="C302">
        <v>7015.6896448767902</v>
      </c>
      <c r="D302">
        <v>7921.3799524440601</v>
      </c>
      <c r="E302">
        <v>9794.1809446396801</v>
      </c>
      <c r="F302">
        <v>11379.927682068101</v>
      </c>
      <c r="G302">
        <v>10866.886632776501</v>
      </c>
      <c r="H302">
        <v>23703.4842801335</v>
      </c>
      <c r="I302">
        <v>14273.7879446812</v>
      </c>
      <c r="J302">
        <v>739.60903002657199</v>
      </c>
      <c r="K302">
        <v>882.30415636679595</v>
      </c>
      <c r="L302">
        <v>397.52030426671502</v>
      </c>
      <c r="M302">
        <v>9434.0990289670499</v>
      </c>
      <c r="N302">
        <v>2575.30886960822</v>
      </c>
      <c r="O302">
        <v>406.783455307515</v>
      </c>
      <c r="P302">
        <v>1022.67575678879</v>
      </c>
      <c r="Q302">
        <v>7713.1217916371097</v>
      </c>
      <c r="R302">
        <v>472.55702603294702</v>
      </c>
      <c r="S302">
        <v>152.71190781064601</v>
      </c>
      <c r="T302">
        <v>223.613644542911</v>
      </c>
      <c r="U302">
        <v>135.83040420528701</v>
      </c>
      <c r="V302">
        <v>247.966644890466</v>
      </c>
      <c r="W302">
        <v>135.14723764107299</v>
      </c>
      <c r="X302">
        <v>166.16449941434601</v>
      </c>
      <c r="Y302">
        <v>471.02139263772602</v>
      </c>
      <c r="Z302">
        <v>139.16144864367399</v>
      </c>
      <c r="AA302">
        <v>445.70776446399498</v>
      </c>
      <c r="AB302">
        <v>473.59370393570703</v>
      </c>
      <c r="AC302">
        <v>324.69127464886498</v>
      </c>
      <c r="AD302">
        <v>353.54631670882401</v>
      </c>
      <c r="AE302">
        <v>176.80136308502799</v>
      </c>
      <c r="AF302">
        <v>469.08000396518997</v>
      </c>
      <c r="AG302">
        <v>449.11290452364301</v>
      </c>
    </row>
    <row r="303" spans="1:33" x14ac:dyDescent="0.25">
      <c r="A303" s="1">
        <v>44354</v>
      </c>
      <c r="B303">
        <v>9458.9264339440197</v>
      </c>
      <c r="C303">
        <v>7390.90647233459</v>
      </c>
      <c r="D303">
        <v>8201.6838813233007</v>
      </c>
      <c r="E303">
        <v>10195.385819372101</v>
      </c>
      <c r="F303">
        <v>11971.216006467601</v>
      </c>
      <c r="G303">
        <v>11062.4037757685</v>
      </c>
      <c r="H303">
        <v>24773.853875074099</v>
      </c>
      <c r="I303">
        <v>14414.8404407372</v>
      </c>
      <c r="J303">
        <v>776.63635087394505</v>
      </c>
      <c r="K303">
        <v>930.37346079208999</v>
      </c>
      <c r="L303">
        <v>412.60807739235202</v>
      </c>
      <c r="M303">
        <v>9952.2141083237202</v>
      </c>
      <c r="N303">
        <v>3108.7992898277498</v>
      </c>
      <c r="O303">
        <v>437.10522016259</v>
      </c>
      <c r="P303">
        <v>1102.0710990269499</v>
      </c>
      <c r="Q303">
        <v>8216.9820667987897</v>
      </c>
      <c r="R303">
        <v>510.15621702470497</v>
      </c>
      <c r="S303">
        <v>153.86161027648399</v>
      </c>
      <c r="T303">
        <v>280.78986375137299</v>
      </c>
      <c r="U303">
        <v>136.97624738489799</v>
      </c>
      <c r="V303">
        <v>281.96679850812302</v>
      </c>
      <c r="W303">
        <v>136.03901379317301</v>
      </c>
      <c r="X303">
        <v>176.72360760946501</v>
      </c>
      <c r="Y303">
        <v>472.810132226326</v>
      </c>
      <c r="Z303">
        <v>140.50529109656301</v>
      </c>
      <c r="AA303">
        <v>440.48085848695303</v>
      </c>
      <c r="AB303">
        <v>475.98505344574198</v>
      </c>
      <c r="AC303">
        <v>295.17103909335498</v>
      </c>
      <c r="AD303">
        <v>359.10062850412697</v>
      </c>
      <c r="AE303">
        <v>164.682401444601</v>
      </c>
      <c r="AF303">
        <v>460.678274960583</v>
      </c>
      <c r="AG303">
        <v>451.51002657388301</v>
      </c>
    </row>
    <row r="304" spans="1:33" x14ac:dyDescent="0.25">
      <c r="A304" s="1">
        <v>44355</v>
      </c>
      <c r="B304">
        <v>9680.83377414184</v>
      </c>
      <c r="C304">
        <v>8014.7247998334296</v>
      </c>
      <c r="D304">
        <v>8249.2029875582193</v>
      </c>
      <c r="E304">
        <v>10545.4131320828</v>
      </c>
      <c r="F304">
        <v>12494.3643936154</v>
      </c>
      <c r="G304">
        <v>11152.0277495604</v>
      </c>
      <c r="H304">
        <v>24508.4906871731</v>
      </c>
      <c r="I304">
        <v>14646.499975737701</v>
      </c>
      <c r="J304">
        <v>827.61148267580404</v>
      </c>
      <c r="K304">
        <v>966.88889241364802</v>
      </c>
      <c r="L304">
        <v>432.819984397513</v>
      </c>
      <c r="M304">
        <v>9985.7213502871</v>
      </c>
      <c r="N304">
        <v>3136.9832425284599</v>
      </c>
      <c r="O304">
        <v>457.90100420669199</v>
      </c>
      <c r="P304">
        <v>1162.05896028649</v>
      </c>
      <c r="Q304">
        <v>8260.5596887105203</v>
      </c>
      <c r="R304">
        <v>519.48205514950996</v>
      </c>
      <c r="S304">
        <v>155.209530756856</v>
      </c>
      <c r="T304">
        <v>315.24333982840398</v>
      </c>
      <c r="U304">
        <v>138.33918853505301</v>
      </c>
      <c r="V304">
        <v>280.98175074991701</v>
      </c>
      <c r="W304">
        <v>131.20908160406799</v>
      </c>
      <c r="X304">
        <v>167.89799720441101</v>
      </c>
      <c r="Y304">
        <v>473.547587701336</v>
      </c>
      <c r="Z304">
        <v>140.76799362921</v>
      </c>
      <c r="AA304">
        <v>436.26854169711601</v>
      </c>
      <c r="AB304">
        <v>477.82058183898403</v>
      </c>
      <c r="AC304">
        <v>268.45472174059</v>
      </c>
      <c r="AD304">
        <v>365.53499799762602</v>
      </c>
      <c r="AE304">
        <v>158.26807755794201</v>
      </c>
      <c r="AF304">
        <v>452.51445725344098</v>
      </c>
      <c r="AG304">
        <v>452.98941226960397</v>
      </c>
    </row>
    <row r="305" spans="1:33" x14ac:dyDescent="0.25">
      <c r="A305" s="1">
        <v>44356</v>
      </c>
      <c r="B305">
        <v>9881.1729062483701</v>
      </c>
      <c r="C305">
        <v>8507.4260174791307</v>
      </c>
      <c r="D305">
        <v>8299.6361419941604</v>
      </c>
      <c r="E305">
        <v>10687.0129156639</v>
      </c>
      <c r="F305">
        <v>12243.8961045715</v>
      </c>
      <c r="G305">
        <v>10300.153246555299</v>
      </c>
      <c r="H305">
        <v>23789.389554393201</v>
      </c>
      <c r="I305">
        <v>14757.264724334</v>
      </c>
      <c r="J305">
        <v>844.287331785932</v>
      </c>
      <c r="K305">
        <v>944.60549363116297</v>
      </c>
      <c r="L305">
        <v>434.64031633978999</v>
      </c>
      <c r="M305">
        <v>9212.4469747990697</v>
      </c>
      <c r="N305">
        <v>2796.7221581816998</v>
      </c>
      <c r="O305">
        <v>440.630493290971</v>
      </c>
      <c r="P305">
        <v>1137.2592180992001</v>
      </c>
      <c r="Q305">
        <v>7692.6211942037498</v>
      </c>
      <c r="R305">
        <v>502.24923143457698</v>
      </c>
      <c r="S305">
        <v>156.499755815931</v>
      </c>
      <c r="T305">
        <v>261.32914793402699</v>
      </c>
      <c r="U305">
        <v>138.99393387464499</v>
      </c>
      <c r="V305">
        <v>233.322399317302</v>
      </c>
      <c r="W305">
        <v>126.82093732859001</v>
      </c>
      <c r="X305">
        <v>147.45801181667801</v>
      </c>
      <c r="Y305">
        <v>472.003695224431</v>
      </c>
      <c r="Z305">
        <v>141.678076405827</v>
      </c>
      <c r="AA305">
        <v>434.42484427850599</v>
      </c>
      <c r="AB305">
        <v>477.44039027094198</v>
      </c>
      <c r="AC305">
        <v>256.76736601069001</v>
      </c>
      <c r="AD305">
        <v>369.01771380999497</v>
      </c>
      <c r="AE305">
        <v>103.695431521336</v>
      </c>
      <c r="AF305">
        <v>439.27941280751998</v>
      </c>
      <c r="AG305">
        <v>455.09504607551798</v>
      </c>
    </row>
    <row r="306" spans="1:33" x14ac:dyDescent="0.25">
      <c r="A306" s="1">
        <v>44357</v>
      </c>
      <c r="B306">
        <v>10044.306656491201</v>
      </c>
      <c r="C306">
        <v>8837.2169817573704</v>
      </c>
      <c r="D306">
        <v>8427.8152902337806</v>
      </c>
      <c r="E306">
        <v>10933.554358514401</v>
      </c>
      <c r="F306">
        <v>11733.0729560117</v>
      </c>
      <c r="G306">
        <v>10041.749223484499</v>
      </c>
      <c r="H306">
        <v>23176.590057506601</v>
      </c>
      <c r="I306">
        <v>14796.6642349291</v>
      </c>
      <c r="J306">
        <v>855.16465577782503</v>
      </c>
      <c r="K306">
        <v>953.57387522285603</v>
      </c>
      <c r="L306">
        <v>440.397250635543</v>
      </c>
      <c r="M306">
        <v>8941.4485703716</v>
      </c>
      <c r="N306">
        <v>2684.7933352130199</v>
      </c>
      <c r="O306">
        <v>438.28655978433397</v>
      </c>
      <c r="P306">
        <v>1149.37114832271</v>
      </c>
      <c r="Q306">
        <v>7339.9048763785804</v>
      </c>
      <c r="R306">
        <v>505.52421890728698</v>
      </c>
      <c r="S306">
        <v>157.72212191809399</v>
      </c>
      <c r="T306">
        <v>262.20878562752199</v>
      </c>
      <c r="U306">
        <v>139.66361056460701</v>
      </c>
      <c r="V306">
        <v>232.02181668662601</v>
      </c>
      <c r="W306">
        <v>125.061516940107</v>
      </c>
      <c r="X306">
        <v>143.95530775619901</v>
      </c>
      <c r="Y306">
        <v>467.53560750254502</v>
      </c>
      <c r="Z306">
        <v>142.582951546375</v>
      </c>
      <c r="AA306">
        <v>433.834376907999</v>
      </c>
      <c r="AB306">
        <v>476.98321235079402</v>
      </c>
      <c r="AC306">
        <v>275.32943649912801</v>
      </c>
      <c r="AD306">
        <v>375.37575159797302</v>
      </c>
      <c r="AE306">
        <v>102.35108830622001</v>
      </c>
      <c r="AF306">
        <v>429.991083841604</v>
      </c>
      <c r="AG306">
        <v>456.25711495019999</v>
      </c>
    </row>
    <row r="307" spans="1:33" x14ac:dyDescent="0.25">
      <c r="A307" s="1">
        <v>44358</v>
      </c>
      <c r="B307">
        <v>10221.400013153299</v>
      </c>
      <c r="C307">
        <v>8918.7574651614395</v>
      </c>
      <c r="D307">
        <v>8693.3353792734397</v>
      </c>
      <c r="E307">
        <v>11074.065341395</v>
      </c>
      <c r="F307">
        <v>11491.774831696801</v>
      </c>
      <c r="G307">
        <v>10256.2181677715</v>
      </c>
      <c r="H307">
        <v>23163.0362740575</v>
      </c>
      <c r="I307">
        <v>14681.162816691</v>
      </c>
      <c r="J307">
        <v>860.46832381772799</v>
      </c>
      <c r="K307">
        <v>973.33391924283603</v>
      </c>
      <c r="L307">
        <v>444.542134021175</v>
      </c>
      <c r="M307">
        <v>9069.6058171305303</v>
      </c>
      <c r="N307">
        <v>2642.2997669415199</v>
      </c>
      <c r="O307">
        <v>446.088748390928</v>
      </c>
      <c r="P307">
        <v>1156.39588403113</v>
      </c>
      <c r="Q307">
        <v>7351.6952400282898</v>
      </c>
      <c r="R307">
        <v>520.84904267654304</v>
      </c>
      <c r="S307">
        <v>158.84638329235699</v>
      </c>
      <c r="T307">
        <v>261.40426590595098</v>
      </c>
      <c r="U307">
        <v>140.14823569292901</v>
      </c>
      <c r="V307">
        <v>240.56607288395199</v>
      </c>
      <c r="W307">
        <v>124.208881567342</v>
      </c>
      <c r="X307">
        <v>143.38062025123301</v>
      </c>
      <c r="Y307">
        <v>466.21910733851701</v>
      </c>
      <c r="Z307">
        <v>143.78632922107499</v>
      </c>
      <c r="AA307">
        <v>434.51075402954399</v>
      </c>
      <c r="AB307">
        <v>477.20096180252102</v>
      </c>
      <c r="AC307">
        <v>285.15980320724299</v>
      </c>
      <c r="AD307">
        <v>384.05635285239299</v>
      </c>
      <c r="AE307">
        <v>102.35078961480301</v>
      </c>
      <c r="AF307">
        <v>417.83686572376098</v>
      </c>
      <c r="AG307">
        <v>456.94426434248999</v>
      </c>
    </row>
    <row r="308" spans="1:33" x14ac:dyDescent="0.25">
      <c r="A308" s="1">
        <v>44359</v>
      </c>
      <c r="B308">
        <v>10387.738707210499</v>
      </c>
      <c r="C308">
        <v>8796.1113119367001</v>
      </c>
      <c r="D308">
        <v>8960.6876461259199</v>
      </c>
      <c r="E308">
        <v>11310.352557804699</v>
      </c>
      <c r="F308">
        <v>11499.6416721684</v>
      </c>
      <c r="G308">
        <v>10378.823863281101</v>
      </c>
      <c r="H308">
        <v>23168.7410918969</v>
      </c>
      <c r="I308">
        <v>14563.8463771428</v>
      </c>
      <c r="J308">
        <v>862.93645862737401</v>
      </c>
      <c r="K308">
        <v>985.14737669276997</v>
      </c>
      <c r="L308">
        <v>451.24527187148499</v>
      </c>
      <c r="M308">
        <v>9147.1626935496206</v>
      </c>
      <c r="N308">
        <v>2731.04043919897</v>
      </c>
      <c r="O308">
        <v>457.82157645494499</v>
      </c>
      <c r="P308">
        <v>1184.5429479863101</v>
      </c>
      <c r="Q308">
        <v>7411.6450345807198</v>
      </c>
      <c r="R308">
        <v>541.02583285870696</v>
      </c>
      <c r="S308">
        <v>160.00612688719099</v>
      </c>
      <c r="T308">
        <v>272.10844763807501</v>
      </c>
      <c r="U308">
        <v>140.54648564103101</v>
      </c>
      <c r="V308">
        <v>249.84593209698701</v>
      </c>
      <c r="W308">
        <v>123.943375135189</v>
      </c>
      <c r="X308">
        <v>143.67187072379201</v>
      </c>
      <c r="Y308">
        <v>466.468856484757</v>
      </c>
      <c r="Z308">
        <v>145.10648422599101</v>
      </c>
      <c r="AA308">
        <v>436.67719637713202</v>
      </c>
      <c r="AB308">
        <v>476.98181417689</v>
      </c>
      <c r="AC308">
        <v>286.48147182846901</v>
      </c>
      <c r="AD308">
        <v>392.607881363167</v>
      </c>
      <c r="AE308">
        <v>102.349713695148</v>
      </c>
      <c r="AF308">
        <v>399.86660079578098</v>
      </c>
      <c r="AG308">
        <v>457.00384859778399</v>
      </c>
    </row>
    <row r="309" spans="1:33" x14ac:dyDescent="0.25">
      <c r="A309" s="1">
        <v>44360</v>
      </c>
      <c r="B309">
        <v>10631.094573485299</v>
      </c>
      <c r="C309">
        <v>8687.2916593564205</v>
      </c>
      <c r="D309">
        <v>9270.4411200080904</v>
      </c>
      <c r="E309">
        <v>11532.948883629901</v>
      </c>
      <c r="F309">
        <v>11683.0326446617</v>
      </c>
      <c r="G309">
        <v>10855.463921123999</v>
      </c>
      <c r="H309">
        <v>23728.9663261678</v>
      </c>
      <c r="I309">
        <v>14497.7703325605</v>
      </c>
      <c r="J309">
        <v>868.31965782989505</v>
      </c>
      <c r="K309">
        <v>1017.38014948791</v>
      </c>
      <c r="L309">
        <v>467.02140134421199</v>
      </c>
      <c r="M309">
        <v>9583.4975504454596</v>
      </c>
      <c r="N309">
        <v>3000.4755489520799</v>
      </c>
      <c r="O309">
        <v>491.76082543464003</v>
      </c>
      <c r="P309">
        <v>1240.45932195316</v>
      </c>
      <c r="Q309">
        <v>7823.3055722824602</v>
      </c>
      <c r="R309">
        <v>581.00959103004504</v>
      </c>
      <c r="S309">
        <v>161.24122287557</v>
      </c>
      <c r="T309">
        <v>304.01247451926798</v>
      </c>
      <c r="U309">
        <v>141.14255207651101</v>
      </c>
      <c r="V309">
        <v>276.69205789773702</v>
      </c>
      <c r="W309">
        <v>123.564050128867</v>
      </c>
      <c r="X309">
        <v>156.12785596378399</v>
      </c>
      <c r="Y309">
        <v>468.73939962522002</v>
      </c>
      <c r="Z309">
        <v>146.77102004387001</v>
      </c>
      <c r="AA309">
        <v>440.14263887727702</v>
      </c>
      <c r="AB309">
        <v>478.85617590982099</v>
      </c>
      <c r="AC309">
        <v>296.49572720399601</v>
      </c>
      <c r="AD309">
        <v>405.84037233059598</v>
      </c>
      <c r="AE309">
        <v>102.350099787316</v>
      </c>
      <c r="AF309">
        <v>383.12684276669302</v>
      </c>
      <c r="AG309">
        <v>456.80964449807601</v>
      </c>
    </row>
    <row r="310" spans="1:33" x14ac:dyDescent="0.25">
      <c r="A310" s="1">
        <v>44361</v>
      </c>
      <c r="B310">
        <v>10780.6821400647</v>
      </c>
      <c r="C310">
        <v>8613.8274618350006</v>
      </c>
      <c r="D310">
        <v>9271.6364706028999</v>
      </c>
      <c r="E310">
        <v>11542.215744778099</v>
      </c>
      <c r="F310">
        <v>11521.059515294301</v>
      </c>
      <c r="G310">
        <v>10345.8156951372</v>
      </c>
      <c r="H310">
        <v>23246.933812760501</v>
      </c>
      <c r="I310">
        <v>14486.440351331699</v>
      </c>
      <c r="J310">
        <v>874.33422806470503</v>
      </c>
      <c r="K310">
        <v>989.61166254447096</v>
      </c>
      <c r="L310">
        <v>471.66872303629401</v>
      </c>
      <c r="M310">
        <v>9101.32361601302</v>
      </c>
      <c r="N310">
        <v>2667.2360183503802</v>
      </c>
      <c r="O310">
        <v>478.444669681942</v>
      </c>
      <c r="P310">
        <v>1190.71681854083</v>
      </c>
      <c r="Q310">
        <v>7368.1913440059097</v>
      </c>
      <c r="R310">
        <v>566.19679819198802</v>
      </c>
      <c r="S310">
        <v>162.299207663906</v>
      </c>
      <c r="T310">
        <v>274.86493198873097</v>
      </c>
      <c r="U310">
        <v>141.54766788735199</v>
      </c>
      <c r="V310">
        <v>230.76135066581901</v>
      </c>
      <c r="W310">
        <v>123.25938880843</v>
      </c>
      <c r="X310">
        <v>129.29667351725101</v>
      </c>
      <c r="Y310">
        <v>461.60428481770901</v>
      </c>
      <c r="Z310">
        <v>147.78062929059601</v>
      </c>
      <c r="AA310">
        <v>440.85528603890498</v>
      </c>
      <c r="AB310">
        <v>476.88477373817</v>
      </c>
      <c r="AC310">
        <v>313.44865345408101</v>
      </c>
      <c r="AD310">
        <v>407.60426957285398</v>
      </c>
      <c r="AE310">
        <v>102.350799860078</v>
      </c>
      <c r="AF310">
        <v>365.66235558105399</v>
      </c>
      <c r="AG310">
        <v>456.744540763668</v>
      </c>
    </row>
    <row r="311" spans="1:33" x14ac:dyDescent="0.25">
      <c r="A311" s="1">
        <v>44362</v>
      </c>
      <c r="B311">
        <v>10908.5414595534</v>
      </c>
      <c r="C311">
        <v>8556.8592778658804</v>
      </c>
      <c r="D311">
        <v>9128.4692107197297</v>
      </c>
      <c r="E311">
        <v>11534.083654932499</v>
      </c>
      <c r="F311">
        <v>10991.3926236559</v>
      </c>
      <c r="G311">
        <v>9688.5812412368505</v>
      </c>
      <c r="H311">
        <v>22546.6949742287</v>
      </c>
      <c r="I311">
        <v>14497.274830447301</v>
      </c>
      <c r="J311">
        <v>882.418097399202</v>
      </c>
      <c r="K311">
        <v>941.04269913536598</v>
      </c>
      <c r="L311">
        <v>474.47401520715499</v>
      </c>
      <c r="M311">
        <v>8529.2090129082007</v>
      </c>
      <c r="N311">
        <v>2400.63620007175</v>
      </c>
      <c r="O311">
        <v>463.00470251069498</v>
      </c>
      <c r="P311">
        <v>1111.12945517414</v>
      </c>
      <c r="Q311">
        <v>6826.7925831227403</v>
      </c>
      <c r="R311">
        <v>552.39312531478595</v>
      </c>
      <c r="S311">
        <v>163.77216311843699</v>
      </c>
      <c r="T311">
        <v>251.09929752332499</v>
      </c>
      <c r="U311">
        <v>141.98048575116101</v>
      </c>
      <c r="V311">
        <v>192.4633911105</v>
      </c>
      <c r="W311">
        <v>121.486699495059</v>
      </c>
      <c r="X311">
        <v>124.837330881496</v>
      </c>
      <c r="Y311">
        <v>444.65796897580702</v>
      </c>
      <c r="Z311">
        <v>149.02670082518</v>
      </c>
      <c r="AA311">
        <v>441.86046092607597</v>
      </c>
      <c r="AB311">
        <v>469.93025901214202</v>
      </c>
      <c r="AC311">
        <v>325.865945105349</v>
      </c>
      <c r="AD311">
        <v>407.40360275357898</v>
      </c>
      <c r="AE311">
        <v>89.923423862119193</v>
      </c>
      <c r="AF311">
        <v>356.67037788154698</v>
      </c>
      <c r="AG311">
        <v>457.60203949859999</v>
      </c>
    </row>
    <row r="312" spans="1:33" x14ac:dyDescent="0.25">
      <c r="A312" s="1">
        <v>44363</v>
      </c>
      <c r="B312">
        <v>10971.0292746777</v>
      </c>
      <c r="C312">
        <v>8417.1281639848894</v>
      </c>
      <c r="D312">
        <v>9154.4833907575703</v>
      </c>
      <c r="E312">
        <v>11381.335728779601</v>
      </c>
      <c r="F312">
        <v>10383.142304761401</v>
      </c>
      <c r="G312">
        <v>9072.1884118235394</v>
      </c>
      <c r="H312">
        <v>21679.4629396454</v>
      </c>
      <c r="I312">
        <v>14210.80575354</v>
      </c>
      <c r="J312">
        <v>869.76287608974906</v>
      </c>
      <c r="K312">
        <v>874.26662862196599</v>
      </c>
      <c r="L312">
        <v>463.09812228927899</v>
      </c>
      <c r="M312">
        <v>7886.0996553232399</v>
      </c>
      <c r="N312">
        <v>1891.1131138592</v>
      </c>
      <c r="O312">
        <v>442.38334671038399</v>
      </c>
      <c r="P312">
        <v>1036.4081793195501</v>
      </c>
      <c r="Q312">
        <v>6139.4000368959296</v>
      </c>
      <c r="R312">
        <v>521.55233460138004</v>
      </c>
      <c r="S312">
        <v>164.71836723425</v>
      </c>
      <c r="T312">
        <v>205.46066169183101</v>
      </c>
      <c r="U312">
        <v>130.466695733634</v>
      </c>
      <c r="V312">
        <v>172.47503525176199</v>
      </c>
      <c r="W312">
        <v>115.720371811183</v>
      </c>
      <c r="X312">
        <v>132.12453899315801</v>
      </c>
      <c r="Y312">
        <v>424.19711265577098</v>
      </c>
      <c r="Z312">
        <v>150.33929544420801</v>
      </c>
      <c r="AA312">
        <v>443.94091410939097</v>
      </c>
      <c r="AB312">
        <v>466.49704496924898</v>
      </c>
      <c r="AC312">
        <v>321.36865064736702</v>
      </c>
      <c r="AD312">
        <v>400.39743637723097</v>
      </c>
      <c r="AE312">
        <v>84.349871433033101</v>
      </c>
      <c r="AF312">
        <v>349.75300130561499</v>
      </c>
      <c r="AG312">
        <v>458.09513248464901</v>
      </c>
    </row>
    <row r="313" spans="1:33" x14ac:dyDescent="0.25">
      <c r="A313" s="1">
        <v>44364</v>
      </c>
      <c r="B313">
        <v>11033.509431478</v>
      </c>
      <c r="C313">
        <v>8193.0050118270592</v>
      </c>
      <c r="D313">
        <v>9489.4455178949102</v>
      </c>
      <c r="E313">
        <v>11447.061814205201</v>
      </c>
      <c r="F313">
        <v>10189.6128646133</v>
      </c>
      <c r="G313">
        <v>9679.0305731226508</v>
      </c>
      <c r="H313">
        <v>22780.6735971911</v>
      </c>
      <c r="I313">
        <v>13899.5560809905</v>
      </c>
      <c r="J313">
        <v>864.72056743635198</v>
      </c>
      <c r="K313">
        <v>854.63260874417995</v>
      </c>
      <c r="L313">
        <v>463.11833830014399</v>
      </c>
      <c r="M313">
        <v>8149.0615211812201</v>
      </c>
      <c r="N313">
        <v>1965.0728637526399</v>
      </c>
      <c r="O313">
        <v>425.13110773470697</v>
      </c>
      <c r="P313">
        <v>1029.288168739</v>
      </c>
      <c r="Q313">
        <v>6427.6479717123902</v>
      </c>
      <c r="R313">
        <v>515.44190610226599</v>
      </c>
      <c r="S313">
        <v>165.90858269642001</v>
      </c>
      <c r="T313">
        <v>210.83593639044199</v>
      </c>
      <c r="U313">
        <v>116.789210477369</v>
      </c>
      <c r="V313">
        <v>220.905693345381</v>
      </c>
      <c r="W313">
        <v>115.789735930847</v>
      </c>
      <c r="X313">
        <v>151.96400545567201</v>
      </c>
      <c r="Y313">
        <v>434.787520560649</v>
      </c>
      <c r="Z313">
        <v>150.76873746933899</v>
      </c>
      <c r="AA313">
        <v>448.84033635876102</v>
      </c>
      <c r="AB313">
        <v>477.907138991306</v>
      </c>
      <c r="AC313">
        <v>310.22916057147302</v>
      </c>
      <c r="AD313">
        <v>400.98544818860398</v>
      </c>
      <c r="AE313">
        <v>82.015363611569597</v>
      </c>
      <c r="AF313">
        <v>345.26371970379</v>
      </c>
      <c r="AG313">
        <v>457.28108867749</v>
      </c>
    </row>
    <row r="314" spans="1:33" x14ac:dyDescent="0.25">
      <c r="A314" s="1">
        <v>44365</v>
      </c>
      <c r="B314">
        <v>11231.4425698587</v>
      </c>
      <c r="C314">
        <v>7996.7446993519497</v>
      </c>
      <c r="D314">
        <v>9874.3720492454595</v>
      </c>
      <c r="E314">
        <v>11598.796930610501</v>
      </c>
      <c r="F314">
        <v>10732.8616283511</v>
      </c>
      <c r="G314">
        <v>10850.8984566124</v>
      </c>
      <c r="H314">
        <v>24589.257665065801</v>
      </c>
      <c r="I314">
        <v>13824.0534223983</v>
      </c>
      <c r="J314">
        <v>867.83229819409996</v>
      </c>
      <c r="K314">
        <v>865.76041101429496</v>
      </c>
      <c r="L314">
        <v>466.64119724846898</v>
      </c>
      <c r="M314">
        <v>9055.8881577140692</v>
      </c>
      <c r="N314">
        <v>2299.8202563977402</v>
      </c>
      <c r="O314">
        <v>447.95779649601701</v>
      </c>
      <c r="P314">
        <v>1069.03054624425</v>
      </c>
      <c r="Q314">
        <v>7287.4067328190804</v>
      </c>
      <c r="R314">
        <v>531.97193533894495</v>
      </c>
      <c r="S314">
        <v>167.22033114744499</v>
      </c>
      <c r="T314">
        <v>232.56767638159499</v>
      </c>
      <c r="U314">
        <v>116.812324209271</v>
      </c>
      <c r="V314">
        <v>264.21691087702402</v>
      </c>
      <c r="W314">
        <v>111.396487287871</v>
      </c>
      <c r="X314">
        <v>172.75366738608</v>
      </c>
      <c r="Y314">
        <v>441.20765155261699</v>
      </c>
      <c r="Z314">
        <v>150.99635212799001</v>
      </c>
      <c r="AA314">
        <v>451.88416888739198</v>
      </c>
      <c r="AB314">
        <v>486.62259182247902</v>
      </c>
      <c r="AC314">
        <v>308.10391159684298</v>
      </c>
      <c r="AD314">
        <v>404.96448970206302</v>
      </c>
      <c r="AE314">
        <v>100.569100942742</v>
      </c>
      <c r="AF314">
        <v>344.26005339173003</v>
      </c>
      <c r="AG314">
        <v>456.87561407391001</v>
      </c>
    </row>
    <row r="315" spans="1:33" x14ac:dyDescent="0.25">
      <c r="A315" s="1">
        <v>44366</v>
      </c>
      <c r="B315">
        <v>11576.3347002313</v>
      </c>
      <c r="C315">
        <v>7771.2451936260904</v>
      </c>
      <c r="D315">
        <v>10155.7641996778</v>
      </c>
      <c r="E315">
        <v>11802.6353041193</v>
      </c>
      <c r="F315">
        <v>11921.444591625999</v>
      </c>
      <c r="G315">
        <v>12130.855807804801</v>
      </c>
      <c r="H315">
        <v>26896.795042718401</v>
      </c>
      <c r="I315">
        <v>13986.1733583146</v>
      </c>
      <c r="J315">
        <v>884.67286444214801</v>
      </c>
      <c r="K315">
        <v>902.90092538115596</v>
      </c>
      <c r="L315">
        <v>484.66260898743701</v>
      </c>
      <c r="M315">
        <v>10222.705659355501</v>
      </c>
      <c r="N315">
        <v>2824.4731680811301</v>
      </c>
      <c r="O315">
        <v>499.51102222978398</v>
      </c>
      <c r="P315">
        <v>1179.14298656131</v>
      </c>
      <c r="Q315">
        <v>8504.0994669502797</v>
      </c>
      <c r="R315">
        <v>577.54426438022597</v>
      </c>
      <c r="S315">
        <v>168.443205301814</v>
      </c>
      <c r="T315">
        <v>287.31254943803799</v>
      </c>
      <c r="U315">
        <v>111.97130025873599</v>
      </c>
      <c r="V315">
        <v>325.75135119867701</v>
      </c>
      <c r="W315">
        <v>109.317066552539</v>
      </c>
      <c r="X315">
        <v>197.562227719867</v>
      </c>
      <c r="Y315">
        <v>452.66816836768299</v>
      </c>
      <c r="Z315">
        <v>150.16483764624701</v>
      </c>
      <c r="AA315">
        <v>454.597046783422</v>
      </c>
      <c r="AB315">
        <v>497.1459281631</v>
      </c>
      <c r="AC315">
        <v>307.19768098337602</v>
      </c>
      <c r="AD315">
        <v>418.43653828562799</v>
      </c>
      <c r="AE315">
        <v>101.520859830695</v>
      </c>
      <c r="AF315">
        <v>346.73057116055202</v>
      </c>
      <c r="AG315">
        <v>454.66453798329599</v>
      </c>
    </row>
    <row r="316" spans="1:33" x14ac:dyDescent="0.25">
      <c r="A316" s="1">
        <v>44367</v>
      </c>
      <c r="B316">
        <v>11812.930149620301</v>
      </c>
      <c r="C316">
        <v>7702.2211023955097</v>
      </c>
      <c r="D316">
        <v>10214.921278453499</v>
      </c>
      <c r="E316">
        <v>11907.2550053753</v>
      </c>
      <c r="F316">
        <v>12910.2769304224</v>
      </c>
      <c r="G316">
        <v>12336.756388936101</v>
      </c>
      <c r="H316">
        <v>26848.933869274399</v>
      </c>
      <c r="I316">
        <v>14312.8409410967</v>
      </c>
      <c r="J316">
        <v>919.43835337441703</v>
      </c>
      <c r="K316">
        <v>917.43492063641202</v>
      </c>
      <c r="L316">
        <v>496.723949072398</v>
      </c>
      <c r="M316">
        <v>10587.460378445599</v>
      </c>
      <c r="N316">
        <v>3202.55676585841</v>
      </c>
      <c r="O316">
        <v>521.45927714559195</v>
      </c>
      <c r="P316">
        <v>1233.6465040661301</v>
      </c>
      <c r="Q316">
        <v>8858.8607792636303</v>
      </c>
      <c r="R316">
        <v>597.00881607135602</v>
      </c>
      <c r="S316">
        <v>169.24784818215099</v>
      </c>
      <c r="T316">
        <v>344.22968227443903</v>
      </c>
      <c r="U316">
        <v>110.464920995748</v>
      </c>
      <c r="V316">
        <v>359.21153477934899</v>
      </c>
      <c r="W316">
        <v>118.653819498757</v>
      </c>
      <c r="X316">
        <v>209.365815312503</v>
      </c>
      <c r="Y316">
        <v>436.98106699511698</v>
      </c>
      <c r="Z316">
        <v>148.30564157088901</v>
      </c>
      <c r="AA316">
        <v>453.95012122318201</v>
      </c>
      <c r="AB316">
        <v>494.05573886180002</v>
      </c>
      <c r="AC316">
        <v>297.53254432467702</v>
      </c>
      <c r="AD316">
        <v>427.98279177005702</v>
      </c>
      <c r="AE316">
        <v>112.027856506758</v>
      </c>
      <c r="AF316">
        <v>350.30720913453098</v>
      </c>
      <c r="AG316">
        <v>454.239797905665</v>
      </c>
    </row>
    <row r="317" spans="1:33" x14ac:dyDescent="0.25">
      <c r="A317" s="1">
        <v>44368</v>
      </c>
      <c r="B317">
        <v>11762.5970845474</v>
      </c>
      <c r="C317">
        <v>7854.1878275172603</v>
      </c>
      <c r="D317">
        <v>10379.9805653272</v>
      </c>
      <c r="E317">
        <v>12107.7861925814</v>
      </c>
      <c r="F317">
        <v>13157.1040666186</v>
      </c>
      <c r="G317">
        <v>11997.151609868801</v>
      </c>
      <c r="H317">
        <v>26069.553245183299</v>
      </c>
      <c r="I317">
        <v>14868.473153885399</v>
      </c>
      <c r="J317">
        <v>953.77838271157498</v>
      </c>
      <c r="K317">
        <v>910.73393683274401</v>
      </c>
      <c r="L317">
        <v>502.93033566555499</v>
      </c>
      <c r="M317">
        <v>10441.2812669415</v>
      </c>
      <c r="N317">
        <v>3528.3470727804602</v>
      </c>
      <c r="O317">
        <v>518.78209269301897</v>
      </c>
      <c r="P317">
        <v>1265.2050465100001</v>
      </c>
      <c r="Q317">
        <v>8809.0561082191998</v>
      </c>
      <c r="R317">
        <v>603.264022610707</v>
      </c>
      <c r="S317">
        <v>169.40018292820699</v>
      </c>
      <c r="T317">
        <v>405.968198887266</v>
      </c>
      <c r="U317">
        <v>118.90532989302</v>
      </c>
      <c r="V317">
        <v>399.60127136242397</v>
      </c>
      <c r="W317">
        <v>123.384688358809</v>
      </c>
      <c r="X317">
        <v>225.164243758748</v>
      </c>
      <c r="Y317">
        <v>415.498590998503</v>
      </c>
      <c r="Z317">
        <v>145.632394818649</v>
      </c>
      <c r="AA317">
        <v>453.75159399811798</v>
      </c>
      <c r="AB317">
        <v>476.41344919420197</v>
      </c>
      <c r="AC317">
        <v>266.90813187983002</v>
      </c>
      <c r="AD317">
        <v>430.75287776174702</v>
      </c>
      <c r="AE317">
        <v>106.82061315672</v>
      </c>
      <c r="AF317">
        <v>352.56032044930203</v>
      </c>
      <c r="AG317">
        <v>455.26567635727002</v>
      </c>
    </row>
    <row r="318" spans="1:33" x14ac:dyDescent="0.25">
      <c r="A318" s="1">
        <v>44369</v>
      </c>
      <c r="B318">
        <v>11717.052406647401</v>
      </c>
      <c r="C318">
        <v>8127.5785650737498</v>
      </c>
      <c r="D318">
        <v>10653.4837705051</v>
      </c>
      <c r="E318">
        <v>12415.349034135101</v>
      </c>
      <c r="F318">
        <v>13191.441214729</v>
      </c>
      <c r="G318">
        <v>11862.8193829148</v>
      </c>
      <c r="H318">
        <v>25646.701722101101</v>
      </c>
      <c r="I318">
        <v>15850.7099261735</v>
      </c>
      <c r="J318">
        <v>989.15354945983995</v>
      </c>
      <c r="K318">
        <v>1047.5886357734</v>
      </c>
      <c r="L318">
        <v>526.06585724374304</v>
      </c>
      <c r="M318">
        <v>10401.105102677</v>
      </c>
      <c r="N318">
        <v>3777.1557058377998</v>
      </c>
      <c r="O318">
        <v>492.986301716718</v>
      </c>
      <c r="P318">
        <v>1291.30067134006</v>
      </c>
      <c r="Q318">
        <v>8826.1300783673905</v>
      </c>
      <c r="R318">
        <v>594.24051133127</v>
      </c>
      <c r="S318">
        <v>169.87772250960899</v>
      </c>
      <c r="T318">
        <v>464.40969199189198</v>
      </c>
      <c r="U318">
        <v>123.941596658758</v>
      </c>
      <c r="V318">
        <v>464.079190718235</v>
      </c>
      <c r="W318">
        <v>124.038067558885</v>
      </c>
      <c r="X318">
        <v>259.743537716444</v>
      </c>
      <c r="Y318">
        <v>415.77420286100102</v>
      </c>
      <c r="Z318">
        <v>140.30200719257201</v>
      </c>
      <c r="AA318">
        <v>453.56442611819199</v>
      </c>
      <c r="AB318">
        <v>468.78968671414498</v>
      </c>
      <c r="AC318">
        <v>272.48601290406202</v>
      </c>
      <c r="AD318">
        <v>436.88866381361402</v>
      </c>
      <c r="AE318">
        <v>88.237715701550599</v>
      </c>
      <c r="AF318">
        <v>351.248688145693</v>
      </c>
      <c r="AG318">
        <v>456.310998539975</v>
      </c>
    </row>
    <row r="319" spans="1:33" x14ac:dyDescent="0.25">
      <c r="A319" s="1">
        <v>44370</v>
      </c>
      <c r="B319">
        <v>11787.6374673149</v>
      </c>
      <c r="C319">
        <v>8492.1402541569296</v>
      </c>
      <c r="D319">
        <v>10971.7904576853</v>
      </c>
      <c r="E319">
        <v>12823.9412754281</v>
      </c>
      <c r="F319">
        <v>13403.722271062799</v>
      </c>
      <c r="G319">
        <v>12330.8081221213</v>
      </c>
      <c r="H319">
        <v>25666.0956996315</v>
      </c>
      <c r="I319">
        <v>16279.4766644964</v>
      </c>
      <c r="J319">
        <v>1028.0848845958801</v>
      </c>
      <c r="K319">
        <v>1018.72574363703</v>
      </c>
      <c r="L319">
        <v>544.80293871802803</v>
      </c>
      <c r="M319">
        <v>10803.809938406001</v>
      </c>
      <c r="N319">
        <v>4070.22429870929</v>
      </c>
      <c r="O319">
        <v>503.88873618741599</v>
      </c>
      <c r="P319">
        <v>1363.8326500211399</v>
      </c>
      <c r="Q319">
        <v>9187.0233791703795</v>
      </c>
      <c r="R319">
        <v>618.99350146232405</v>
      </c>
      <c r="S319">
        <v>171.62491032343499</v>
      </c>
      <c r="T319">
        <v>580.51413491599499</v>
      </c>
      <c r="U319">
        <v>122.978403169206</v>
      </c>
      <c r="V319">
        <v>579.72643236179897</v>
      </c>
      <c r="W319">
        <v>116.278839112046</v>
      </c>
      <c r="X319">
        <v>331.33117134659398</v>
      </c>
      <c r="Y319">
        <v>426.617665316721</v>
      </c>
      <c r="Z319">
        <v>135.14088439277501</v>
      </c>
      <c r="AA319">
        <v>453.58256957945798</v>
      </c>
      <c r="AB319">
        <v>470.66474836913</v>
      </c>
      <c r="AC319">
        <v>292.39366700532599</v>
      </c>
      <c r="AD319">
        <v>452.55846745455699</v>
      </c>
      <c r="AE319">
        <v>82.015585779207001</v>
      </c>
      <c r="AF319">
        <v>347.745682416882</v>
      </c>
      <c r="AG319">
        <v>458.39610116383699</v>
      </c>
    </row>
    <row r="320" spans="1:33" x14ac:dyDescent="0.25">
      <c r="A320" s="1">
        <v>44371</v>
      </c>
      <c r="B320">
        <v>12039.032043789501</v>
      </c>
      <c r="C320">
        <v>8873.0017517421802</v>
      </c>
      <c r="D320">
        <v>11266.8986230056</v>
      </c>
      <c r="E320">
        <v>13158.460756689399</v>
      </c>
      <c r="F320">
        <v>13390.799787210701</v>
      </c>
      <c r="G320">
        <v>12570.217834225001</v>
      </c>
      <c r="H320">
        <v>25705.993295085598</v>
      </c>
      <c r="I320">
        <v>16377.427479121199</v>
      </c>
      <c r="J320">
        <v>1044.5227093767201</v>
      </c>
      <c r="K320">
        <v>969.27928575129602</v>
      </c>
      <c r="L320">
        <v>557.88883753538505</v>
      </c>
      <c r="M320">
        <v>11010.017093647601</v>
      </c>
      <c r="N320">
        <v>4224.2268604894098</v>
      </c>
      <c r="O320">
        <v>521.18530224831704</v>
      </c>
      <c r="P320">
        <v>1388.7488947961001</v>
      </c>
      <c r="Q320">
        <v>9407.3507148946792</v>
      </c>
      <c r="R320">
        <v>644.68980634918296</v>
      </c>
      <c r="S320">
        <v>174.49722622097099</v>
      </c>
      <c r="T320">
        <v>668.11606338945103</v>
      </c>
      <c r="U320">
        <v>116.04334128774001</v>
      </c>
      <c r="V320">
        <v>643.86364780254803</v>
      </c>
      <c r="W320">
        <v>111.88053749723299</v>
      </c>
      <c r="X320">
        <v>372.13599025480897</v>
      </c>
      <c r="Y320">
        <v>428.220090312933</v>
      </c>
      <c r="Z320">
        <v>131.01089955874801</v>
      </c>
      <c r="AA320">
        <v>452.72746330232201</v>
      </c>
      <c r="AB320">
        <v>470.46251806839302</v>
      </c>
      <c r="AC320">
        <v>279.15517086014597</v>
      </c>
      <c r="AD320">
        <v>465.828700820184</v>
      </c>
      <c r="AE320">
        <v>82.015452810458697</v>
      </c>
      <c r="AF320">
        <v>341.929253069683</v>
      </c>
      <c r="AG320">
        <v>462.64243718907301</v>
      </c>
    </row>
    <row r="321" spans="1:33" x14ac:dyDescent="0.25">
      <c r="A321" s="1">
        <v>44372</v>
      </c>
      <c r="B321">
        <v>12377.995753178</v>
      </c>
      <c r="C321">
        <v>9191.9776324182203</v>
      </c>
      <c r="D321">
        <v>11641.79997976</v>
      </c>
      <c r="E321">
        <v>13528.974219838101</v>
      </c>
      <c r="F321">
        <v>13499.96847111</v>
      </c>
      <c r="G321">
        <v>12823.781881882</v>
      </c>
      <c r="H321">
        <v>25958.9502141702</v>
      </c>
      <c r="I321">
        <v>16426.713688633801</v>
      </c>
      <c r="J321">
        <v>1062.6387686631399</v>
      </c>
      <c r="K321">
        <v>928.66258267283797</v>
      </c>
      <c r="L321">
        <v>566.629195890907</v>
      </c>
      <c r="M321">
        <v>11215.3878671161</v>
      </c>
      <c r="N321">
        <v>4448.8739112481198</v>
      </c>
      <c r="O321">
        <v>535.93272369397801</v>
      </c>
      <c r="P321">
        <v>1454.7533717905401</v>
      </c>
      <c r="Q321">
        <v>9631.2246080718196</v>
      </c>
      <c r="R321">
        <v>661.49738869108705</v>
      </c>
      <c r="S321">
        <v>179.26943312970499</v>
      </c>
      <c r="T321">
        <v>747.65853487663696</v>
      </c>
      <c r="U321">
        <v>111.60498761612899</v>
      </c>
      <c r="V321">
        <v>731.25887045969205</v>
      </c>
      <c r="W321">
        <v>113.973464528243</v>
      </c>
      <c r="X321">
        <v>419.56247345552401</v>
      </c>
      <c r="Y321">
        <v>428.807087825797</v>
      </c>
      <c r="Z321">
        <v>127.607219487302</v>
      </c>
      <c r="AA321">
        <v>451.86716329117797</v>
      </c>
      <c r="AB321">
        <v>473.55374243375701</v>
      </c>
      <c r="AC321">
        <v>251.69299144763701</v>
      </c>
      <c r="AD321">
        <v>478.49373792012398</v>
      </c>
      <c r="AE321">
        <v>82.015461738249101</v>
      </c>
      <c r="AF321">
        <v>333.59256889767101</v>
      </c>
      <c r="AG321">
        <v>467.20730958511098</v>
      </c>
    </row>
    <row r="322" spans="1:33" x14ac:dyDescent="0.25">
      <c r="A322" s="1">
        <v>44373</v>
      </c>
      <c r="B322">
        <v>12681.692921984901</v>
      </c>
      <c r="C322">
        <v>9525.4477661539895</v>
      </c>
      <c r="D322">
        <v>11878.7914264477</v>
      </c>
      <c r="E322">
        <v>13750.7562795418</v>
      </c>
      <c r="F322">
        <v>13567.896684473801</v>
      </c>
      <c r="G322">
        <v>12768.9035823637</v>
      </c>
      <c r="H322">
        <v>25852.992631622601</v>
      </c>
      <c r="I322">
        <v>16480.639611619099</v>
      </c>
      <c r="J322">
        <v>1075.0781912694199</v>
      </c>
      <c r="K322">
        <v>900.47873747695201</v>
      </c>
      <c r="L322">
        <v>571.38285446992904</v>
      </c>
      <c r="M322">
        <v>11229.0182435684</v>
      </c>
      <c r="N322">
        <v>4483.3929730873497</v>
      </c>
      <c r="O322">
        <v>532.99974902768304</v>
      </c>
      <c r="P322">
        <v>1490.1224830543299</v>
      </c>
      <c r="Q322">
        <v>9577.0803105366103</v>
      </c>
      <c r="R322">
        <v>666.68095142192999</v>
      </c>
      <c r="S322">
        <v>185.29123398692701</v>
      </c>
      <c r="T322">
        <v>763.66101211595196</v>
      </c>
      <c r="U322">
        <v>113.120381614151</v>
      </c>
      <c r="V322">
        <v>736.99832316057405</v>
      </c>
      <c r="W322">
        <v>110.29145318958</v>
      </c>
      <c r="X322">
        <v>420.76832124077401</v>
      </c>
      <c r="Y322">
        <v>424.462622064355</v>
      </c>
      <c r="Z322">
        <v>126.580362405036</v>
      </c>
      <c r="AA322">
        <v>450.35161039279598</v>
      </c>
      <c r="AB322">
        <v>473.08994910863402</v>
      </c>
      <c r="AC322">
        <v>256.29849708889702</v>
      </c>
      <c r="AD322">
        <v>483.03322708543197</v>
      </c>
      <c r="AE322">
        <v>93.168075438527794</v>
      </c>
      <c r="AF322">
        <v>324.26430055096603</v>
      </c>
      <c r="AG322">
        <v>470.96238830185803</v>
      </c>
    </row>
    <row r="323" spans="1:33" x14ac:dyDescent="0.25">
      <c r="A323" s="1">
        <v>44374</v>
      </c>
      <c r="B323">
        <v>12884.7793901848</v>
      </c>
      <c r="C323">
        <v>9834.3709787294301</v>
      </c>
      <c r="D323">
        <v>12051.6302700379</v>
      </c>
      <c r="E323">
        <v>13924.5113120801</v>
      </c>
      <c r="F323">
        <v>13445.743647540699</v>
      </c>
      <c r="G323">
        <v>12589.0772196054</v>
      </c>
      <c r="H323">
        <v>25872.5907051904</v>
      </c>
      <c r="I323">
        <v>16510.132803029101</v>
      </c>
      <c r="J323">
        <v>1079.4826457352599</v>
      </c>
      <c r="K323">
        <v>889.188652605019</v>
      </c>
      <c r="L323">
        <v>567.322920436809</v>
      </c>
      <c r="M323">
        <v>11086.874381346701</v>
      </c>
      <c r="N323">
        <v>4416.7507028886203</v>
      </c>
      <c r="O323">
        <v>527.28387525656001</v>
      </c>
      <c r="P323">
        <v>1497.70415791548</v>
      </c>
      <c r="Q323">
        <v>9465.2042128611101</v>
      </c>
      <c r="R323">
        <v>667.09948106636602</v>
      </c>
      <c r="S323">
        <v>192.880636153735</v>
      </c>
      <c r="T323">
        <v>737.45755917275096</v>
      </c>
      <c r="U323">
        <v>109.721954340522</v>
      </c>
      <c r="V323">
        <v>710.21263183844405</v>
      </c>
      <c r="W323">
        <v>113.459229718289</v>
      </c>
      <c r="X323">
        <v>409.64566072850999</v>
      </c>
      <c r="Y323">
        <v>416.13815273480901</v>
      </c>
      <c r="Z323">
        <v>128.211790532121</v>
      </c>
      <c r="AA323">
        <v>448.22245584376799</v>
      </c>
      <c r="AB323">
        <v>468.267877776565</v>
      </c>
      <c r="AC323">
        <v>266.19248232151301</v>
      </c>
      <c r="AD323">
        <v>481.99758230573701</v>
      </c>
      <c r="AE323">
        <v>97.693643784237196</v>
      </c>
      <c r="AF323">
        <v>317.91852877344201</v>
      </c>
      <c r="AG323">
        <v>474.04432558996803</v>
      </c>
    </row>
    <row r="324" spans="1:33" x14ac:dyDescent="0.25">
      <c r="A324" s="1">
        <v>44375</v>
      </c>
      <c r="B324">
        <v>13120.116762543699</v>
      </c>
      <c r="C324">
        <v>10000.508676346401</v>
      </c>
      <c r="D324">
        <v>12175.1135096089</v>
      </c>
      <c r="E324">
        <v>14022.2887116283</v>
      </c>
      <c r="F324">
        <v>13323.7414773778</v>
      </c>
      <c r="G324">
        <v>12141.109200651999</v>
      </c>
      <c r="H324">
        <v>25743.245697577098</v>
      </c>
      <c r="I324">
        <v>16487.765836362501</v>
      </c>
      <c r="J324">
        <v>1083.7710299257101</v>
      </c>
      <c r="K324">
        <v>867.04235716116295</v>
      </c>
      <c r="L324">
        <v>565.29211203798695</v>
      </c>
      <c r="M324">
        <v>10766.355478224301</v>
      </c>
      <c r="N324">
        <v>4247.1312307118196</v>
      </c>
      <c r="O324">
        <v>535.54286341482805</v>
      </c>
      <c r="P324">
        <v>1464.22211821</v>
      </c>
      <c r="Q324">
        <v>9157.7384404784098</v>
      </c>
      <c r="R324">
        <v>674.43860234451404</v>
      </c>
      <c r="S324">
        <v>202.49233531961599</v>
      </c>
      <c r="T324">
        <v>678.98624451517605</v>
      </c>
      <c r="U324">
        <v>113.10517987326099</v>
      </c>
      <c r="V324">
        <v>654.205651009745</v>
      </c>
      <c r="W324">
        <v>115.464040624286</v>
      </c>
      <c r="X324">
        <v>371.80999038599799</v>
      </c>
      <c r="Y324">
        <v>410.04961297083702</v>
      </c>
      <c r="Z324">
        <v>129.18824720482399</v>
      </c>
      <c r="AA324">
        <v>446.30608948479698</v>
      </c>
      <c r="AB324">
        <v>465.61442689126301</v>
      </c>
      <c r="AC324">
        <v>270.19710497854902</v>
      </c>
      <c r="AD324">
        <v>477.25695425065402</v>
      </c>
      <c r="AE324">
        <v>99.809439325083403</v>
      </c>
      <c r="AF324">
        <v>314.32273672348498</v>
      </c>
      <c r="AG324">
        <v>476.83846534751501</v>
      </c>
    </row>
    <row r="325" spans="1:33" x14ac:dyDescent="0.25">
      <c r="A325" s="1">
        <v>44376</v>
      </c>
      <c r="B325">
        <v>13339.242127974299</v>
      </c>
      <c r="C325">
        <v>10149.6147920896</v>
      </c>
      <c r="D325">
        <v>12238.132937857101</v>
      </c>
      <c r="E325">
        <v>14070.991964126501</v>
      </c>
      <c r="F325">
        <v>12942.0829278944</v>
      </c>
      <c r="G325">
        <v>11560.235493005899</v>
      </c>
      <c r="H325">
        <v>24827.1645674424</v>
      </c>
      <c r="I325">
        <v>16404.497534024002</v>
      </c>
      <c r="J325">
        <v>1073.53973479346</v>
      </c>
      <c r="K325">
        <v>859.65744227088601</v>
      </c>
      <c r="L325">
        <v>549.11991170942702</v>
      </c>
      <c r="M325">
        <v>10181.9328732678</v>
      </c>
      <c r="N325">
        <v>3851.6284043781002</v>
      </c>
      <c r="O325">
        <v>488.31296157646301</v>
      </c>
      <c r="P325">
        <v>1418.0510574126199</v>
      </c>
      <c r="Q325">
        <v>8556.3433814505497</v>
      </c>
      <c r="R325">
        <v>625.02862245916197</v>
      </c>
      <c r="S325">
        <v>212.01287238031699</v>
      </c>
      <c r="T325">
        <v>564.04297160328599</v>
      </c>
      <c r="U325">
        <v>112.6822904783</v>
      </c>
      <c r="V325">
        <v>500.82958007710101</v>
      </c>
      <c r="W325">
        <v>113.833389208474</v>
      </c>
      <c r="X325">
        <v>266.62390992628701</v>
      </c>
      <c r="Y325">
        <v>396.85021980464097</v>
      </c>
      <c r="Z325">
        <v>129.048117070914</v>
      </c>
      <c r="AA325">
        <v>444.674895370841</v>
      </c>
      <c r="AB325">
        <v>460.58389762020897</v>
      </c>
      <c r="AC325">
        <v>270.609505311313</v>
      </c>
      <c r="AD325">
        <v>465.46288366235802</v>
      </c>
      <c r="AE325">
        <v>83.780464475767602</v>
      </c>
      <c r="AF325">
        <v>308.26539510653402</v>
      </c>
      <c r="AG325">
        <v>479.76967853585501</v>
      </c>
    </row>
    <row r="326" spans="1:33" x14ac:dyDescent="0.25">
      <c r="A326" s="1">
        <v>44377</v>
      </c>
      <c r="B326">
        <v>13430.036263075101</v>
      </c>
      <c r="C326">
        <v>10207.607071771299</v>
      </c>
      <c r="D326">
        <v>12278.567023235501</v>
      </c>
      <c r="E326">
        <v>14047.178065424199</v>
      </c>
      <c r="F326">
        <v>12309.351780081101</v>
      </c>
      <c r="G326">
        <v>11488.2374764907</v>
      </c>
      <c r="H326">
        <v>24804.175196772299</v>
      </c>
      <c r="I326">
        <v>16347.8566163181</v>
      </c>
      <c r="J326">
        <v>1067.43967943963</v>
      </c>
      <c r="K326">
        <v>861.10366452173196</v>
      </c>
      <c r="L326">
        <v>534.62273843369996</v>
      </c>
      <c r="M326">
        <v>9912.42318689893</v>
      </c>
      <c r="N326">
        <v>3345.49879840312</v>
      </c>
      <c r="O326">
        <v>519.61586899607903</v>
      </c>
      <c r="P326">
        <v>1415.90980998898</v>
      </c>
      <c r="Q326">
        <v>8180.5485506447503</v>
      </c>
      <c r="R326">
        <v>621.36145053704695</v>
      </c>
      <c r="S326">
        <v>222.285491638184</v>
      </c>
      <c r="T326">
        <v>452.26325177071999</v>
      </c>
      <c r="U326">
        <v>112.456733632263</v>
      </c>
      <c r="V326">
        <v>302.64046587199101</v>
      </c>
      <c r="W326">
        <v>110.563121194885</v>
      </c>
      <c r="X326">
        <v>152.19669975217701</v>
      </c>
      <c r="Y326">
        <v>394.24048986699</v>
      </c>
      <c r="Z326">
        <v>131.42515545271601</v>
      </c>
      <c r="AA326">
        <v>442.71460837601899</v>
      </c>
      <c r="AB326">
        <v>464.20901105067099</v>
      </c>
      <c r="AC326">
        <v>271.54857574306197</v>
      </c>
      <c r="AD326">
        <v>460.66761847778599</v>
      </c>
      <c r="AE326">
        <v>82.015297482718196</v>
      </c>
      <c r="AF326">
        <v>302.64435606936098</v>
      </c>
      <c r="AG326">
        <v>481.69704472113398</v>
      </c>
    </row>
    <row r="327" spans="1:33" x14ac:dyDescent="0.25">
      <c r="A327" s="1">
        <v>44378</v>
      </c>
      <c r="B327">
        <v>13604.655677049001</v>
      </c>
      <c r="C327">
        <v>10154.7526022157</v>
      </c>
      <c r="D327">
        <v>12357.6617146237</v>
      </c>
      <c r="E327">
        <v>14037.920918448101</v>
      </c>
      <c r="F327">
        <v>11957.215336677</v>
      </c>
      <c r="G327">
        <v>11157.5345171605</v>
      </c>
      <c r="H327">
        <v>24695.699496590001</v>
      </c>
      <c r="I327">
        <v>16357.009447967301</v>
      </c>
      <c r="J327">
        <v>1072.6463519000799</v>
      </c>
      <c r="K327">
        <v>864.79140941275205</v>
      </c>
      <c r="L327">
        <v>531.81267660993296</v>
      </c>
      <c r="M327">
        <v>9708.3499495992492</v>
      </c>
      <c r="N327">
        <v>2914.6239654174701</v>
      </c>
      <c r="O327">
        <v>542.43642950237404</v>
      </c>
      <c r="P327">
        <v>1405.1975606879701</v>
      </c>
      <c r="Q327">
        <v>7913.1891449667601</v>
      </c>
      <c r="R327">
        <v>630.51484136549698</v>
      </c>
      <c r="S327">
        <v>236.36342327338701</v>
      </c>
      <c r="T327">
        <v>385.77979241995399</v>
      </c>
      <c r="U327">
        <v>112.973228228011</v>
      </c>
      <c r="V327">
        <v>227.62776892384699</v>
      </c>
      <c r="W327">
        <v>110.482174681174</v>
      </c>
      <c r="X327">
        <v>147.93030018866401</v>
      </c>
      <c r="Y327">
        <v>397.09435200165598</v>
      </c>
      <c r="Z327">
        <v>131.029135909725</v>
      </c>
      <c r="AA327">
        <v>440.22435920265002</v>
      </c>
      <c r="AB327">
        <v>479.82396904209901</v>
      </c>
      <c r="AC327">
        <v>238.98912964508901</v>
      </c>
      <c r="AD327">
        <v>458.72513553653403</v>
      </c>
      <c r="AE327">
        <v>82.015299615907594</v>
      </c>
      <c r="AF327">
        <v>299.97186719236601</v>
      </c>
      <c r="AG327">
        <v>481.642880416629</v>
      </c>
    </row>
    <row r="328" spans="1:33" x14ac:dyDescent="0.25">
      <c r="A328" s="1">
        <v>44379</v>
      </c>
      <c r="B328">
        <v>13917.039383889</v>
      </c>
      <c r="C328">
        <v>10049.376783530801</v>
      </c>
      <c r="D328">
        <v>12397.1452868005</v>
      </c>
      <c r="E328">
        <v>14062.497555443901</v>
      </c>
      <c r="F328">
        <v>11770.9165825688</v>
      </c>
      <c r="G328">
        <v>10967.559111331801</v>
      </c>
      <c r="H328">
        <v>24461.891278717001</v>
      </c>
      <c r="I328">
        <v>16325.1966381763</v>
      </c>
      <c r="J328">
        <v>1082.8031547317701</v>
      </c>
      <c r="K328">
        <v>863.78308442355296</v>
      </c>
      <c r="L328">
        <v>531.11814169753302</v>
      </c>
      <c r="M328">
        <v>9443.8829847638499</v>
      </c>
      <c r="N328">
        <v>2545.0320604684698</v>
      </c>
      <c r="O328">
        <v>551.67373712244898</v>
      </c>
      <c r="P328">
        <v>1346.82812361435</v>
      </c>
      <c r="Q328">
        <v>7606.6354293815903</v>
      </c>
      <c r="R328">
        <v>639.72636283353199</v>
      </c>
      <c r="S328">
        <v>248.24757868671799</v>
      </c>
      <c r="T328">
        <v>332.18395472943803</v>
      </c>
      <c r="U328">
        <v>111.67651122986101</v>
      </c>
      <c r="V328">
        <v>220.92308063434299</v>
      </c>
      <c r="W328">
        <v>103.40782185494101</v>
      </c>
      <c r="X328">
        <v>148.17557748561501</v>
      </c>
      <c r="Y328">
        <v>397.93540884688503</v>
      </c>
      <c r="Z328">
        <v>130.61687689829</v>
      </c>
      <c r="AA328">
        <v>438.01683821615097</v>
      </c>
      <c r="AB328">
        <v>488.97901392764697</v>
      </c>
      <c r="AC328">
        <v>235.32166862853501</v>
      </c>
      <c r="AD328">
        <v>459.23664455872603</v>
      </c>
      <c r="AE328">
        <v>80.330401553776994</v>
      </c>
      <c r="AF328">
        <v>300.11554934610501</v>
      </c>
      <c r="AG328">
        <v>481.59590076609197</v>
      </c>
    </row>
    <row r="329" spans="1:33" x14ac:dyDescent="0.25">
      <c r="A329" s="1">
        <v>44380</v>
      </c>
      <c r="B329">
        <v>14179.939107603899</v>
      </c>
      <c r="C329">
        <v>9960.1588988015301</v>
      </c>
      <c r="D329">
        <v>12554.7368546753</v>
      </c>
      <c r="E329">
        <v>14219.842584292899</v>
      </c>
      <c r="F329">
        <v>11976.689720168901</v>
      </c>
      <c r="G329">
        <v>11016.909728525001</v>
      </c>
      <c r="H329">
        <v>24908.318776214899</v>
      </c>
      <c r="I329">
        <v>16350.0611063139</v>
      </c>
      <c r="J329">
        <v>1101.6045502681</v>
      </c>
      <c r="K329">
        <v>858.38446144919601</v>
      </c>
      <c r="L329">
        <v>533.760407861864</v>
      </c>
      <c r="M329">
        <v>9476.8901496750095</v>
      </c>
      <c r="N329">
        <v>2573.81573374032</v>
      </c>
      <c r="O329">
        <v>552.86109294201697</v>
      </c>
      <c r="P329">
        <v>1296.0400700683599</v>
      </c>
      <c r="Q329">
        <v>7720.4463210805397</v>
      </c>
      <c r="R329">
        <v>647.96551125905296</v>
      </c>
      <c r="S329">
        <v>258.725573423669</v>
      </c>
      <c r="T329">
        <v>322.66099285120202</v>
      </c>
      <c r="U329">
        <v>99.691634345131504</v>
      </c>
      <c r="V329">
        <v>280.69412475805598</v>
      </c>
      <c r="W329">
        <v>100.188620247044</v>
      </c>
      <c r="X329">
        <v>169.260854933762</v>
      </c>
      <c r="Y329">
        <v>398.79514648387499</v>
      </c>
      <c r="Z329">
        <v>128.01427889763201</v>
      </c>
      <c r="AA329">
        <v>435.26873550009799</v>
      </c>
      <c r="AB329">
        <v>495.92815050318899</v>
      </c>
      <c r="AC329">
        <v>236.64028129695799</v>
      </c>
      <c r="AD329">
        <v>459.34526458161503</v>
      </c>
      <c r="AE329">
        <v>89.810261148035806</v>
      </c>
      <c r="AF329">
        <v>301.58432784598801</v>
      </c>
      <c r="AG329">
        <v>476.78040004385002</v>
      </c>
    </row>
    <row r="330" spans="1:33" x14ac:dyDescent="0.25">
      <c r="A330" s="1">
        <v>44381</v>
      </c>
      <c r="B330">
        <v>14287.9885760865</v>
      </c>
      <c r="C330">
        <v>9863.4214562715497</v>
      </c>
      <c r="D330">
        <v>12777.057070192301</v>
      </c>
      <c r="E330">
        <v>14438.1656453831</v>
      </c>
      <c r="F330">
        <v>12267.285973925</v>
      </c>
      <c r="G330">
        <v>11079.489031143799</v>
      </c>
      <c r="H330">
        <v>25377.849525613699</v>
      </c>
      <c r="I330">
        <v>16366.783230458301</v>
      </c>
      <c r="J330">
        <v>1114.16739113622</v>
      </c>
      <c r="K330">
        <v>852.83506507658001</v>
      </c>
      <c r="L330">
        <v>538.34621628326204</v>
      </c>
      <c r="M330">
        <v>9690.9778617402299</v>
      </c>
      <c r="N330">
        <v>2900.82641175954</v>
      </c>
      <c r="O330">
        <v>560.22552496537003</v>
      </c>
      <c r="P330">
        <v>1286.78861711797</v>
      </c>
      <c r="Q330">
        <v>7935.5434014632401</v>
      </c>
      <c r="R330">
        <v>666.48041876176205</v>
      </c>
      <c r="S330">
        <v>266.03013093025498</v>
      </c>
      <c r="T330">
        <v>344.79472034757401</v>
      </c>
      <c r="U330">
        <v>103.517591835001</v>
      </c>
      <c r="V330">
        <v>319.68868127627502</v>
      </c>
      <c r="W330">
        <v>111.137280435259</v>
      </c>
      <c r="X330">
        <v>182.56778307512801</v>
      </c>
      <c r="Y330">
        <v>407.77304150350398</v>
      </c>
      <c r="Z330">
        <v>126.184665630059</v>
      </c>
      <c r="AA330">
        <v>433.09993811924699</v>
      </c>
      <c r="AB330">
        <v>498.93289972791001</v>
      </c>
      <c r="AC330">
        <v>231.88171687090201</v>
      </c>
      <c r="AD330">
        <v>461.030897508029</v>
      </c>
      <c r="AE330">
        <v>96.179085361117501</v>
      </c>
      <c r="AF330">
        <v>303.15501183306299</v>
      </c>
      <c r="AG330">
        <v>473.291151117033</v>
      </c>
    </row>
    <row r="331" spans="1:33" x14ac:dyDescent="0.25">
      <c r="A331" s="1">
        <v>44382</v>
      </c>
      <c r="B331">
        <v>14354.5020362422</v>
      </c>
      <c r="C331">
        <v>9744.4821851710803</v>
      </c>
      <c r="D331">
        <v>12912.879125431</v>
      </c>
      <c r="E331">
        <v>14614.9583462719</v>
      </c>
      <c r="F331">
        <v>12403.040819665001</v>
      </c>
      <c r="G331">
        <v>11006.8323052536</v>
      </c>
      <c r="H331">
        <v>25439.830435663898</v>
      </c>
      <c r="I331">
        <v>16400.494712303102</v>
      </c>
      <c r="J331">
        <v>1117.91704883275</v>
      </c>
      <c r="K331">
        <v>848.22692653498996</v>
      </c>
      <c r="L331">
        <v>546.06971676173202</v>
      </c>
      <c r="M331">
        <v>9728.9115677835307</v>
      </c>
      <c r="N331">
        <v>3236.7718853465699</v>
      </c>
      <c r="O331">
        <v>552.05144794506396</v>
      </c>
      <c r="P331">
        <v>1276.6774421141099</v>
      </c>
      <c r="Q331">
        <v>8058.0197574630702</v>
      </c>
      <c r="R331">
        <v>674.65921267084195</v>
      </c>
      <c r="S331">
        <v>268.68116230015301</v>
      </c>
      <c r="T331">
        <v>373.77727361342897</v>
      </c>
      <c r="U331">
        <v>111.209778922712</v>
      </c>
      <c r="V331">
        <v>342.02283314946402</v>
      </c>
      <c r="W331">
        <v>112.22152763554701</v>
      </c>
      <c r="X331">
        <v>186.32687957801201</v>
      </c>
      <c r="Y331">
        <v>412.32134382546599</v>
      </c>
      <c r="Z331">
        <v>124.992491911462</v>
      </c>
      <c r="AA331">
        <v>431.03231129289901</v>
      </c>
      <c r="AB331">
        <v>490.37310438525202</v>
      </c>
      <c r="AC331">
        <v>225.99121001846501</v>
      </c>
      <c r="AD331">
        <v>462.07615743705702</v>
      </c>
      <c r="AE331">
        <v>105.30526007371</v>
      </c>
      <c r="AF331">
        <v>299.922618116683</v>
      </c>
      <c r="AG331">
        <v>470.69710664112603</v>
      </c>
    </row>
    <row r="332" spans="1:33" x14ac:dyDescent="0.25">
      <c r="A332" s="1">
        <v>44383</v>
      </c>
      <c r="B332">
        <v>14414.9726379367</v>
      </c>
      <c r="C332">
        <v>9696.1140914838397</v>
      </c>
      <c r="D332">
        <v>12996.369641847799</v>
      </c>
      <c r="E332">
        <v>14737.6281332333</v>
      </c>
      <c r="F332">
        <v>12294.5374084177</v>
      </c>
      <c r="G332">
        <v>10731.210759074</v>
      </c>
      <c r="H332">
        <v>25057.386073153899</v>
      </c>
      <c r="I332">
        <v>16412.6340213154</v>
      </c>
      <c r="J332">
        <v>1105.35926397145</v>
      </c>
      <c r="K332">
        <v>843.49130362276901</v>
      </c>
      <c r="L332">
        <v>546.18582241971603</v>
      </c>
      <c r="M332">
        <v>9534.7238029906002</v>
      </c>
      <c r="N332">
        <v>3339.0043817802398</v>
      </c>
      <c r="O332">
        <v>530.60373532183701</v>
      </c>
      <c r="P332">
        <v>1262.64202659738</v>
      </c>
      <c r="Q332">
        <v>7977.8731967570402</v>
      </c>
      <c r="R332">
        <v>661.73652872261096</v>
      </c>
      <c r="S332">
        <v>270.33758164187702</v>
      </c>
      <c r="T332">
        <v>389.50651705838197</v>
      </c>
      <c r="U332">
        <v>110.932039341882</v>
      </c>
      <c r="V332">
        <v>347.335209539716</v>
      </c>
      <c r="W332">
        <v>108.155628010577</v>
      </c>
      <c r="X332">
        <v>193.05884749784201</v>
      </c>
      <c r="Y332">
        <v>412.36492745677498</v>
      </c>
      <c r="Z332">
        <v>123.040927278799</v>
      </c>
      <c r="AA332">
        <v>429.06244958757202</v>
      </c>
      <c r="AB332">
        <v>479.64972162673803</v>
      </c>
      <c r="AC332">
        <v>220.168153210909</v>
      </c>
      <c r="AD332">
        <v>461.64958690382798</v>
      </c>
      <c r="AE332">
        <v>90.985289311273704</v>
      </c>
      <c r="AF332">
        <v>291.32944428058801</v>
      </c>
      <c r="AG332">
        <v>469.307709290221</v>
      </c>
    </row>
    <row r="333" spans="1:33" x14ac:dyDescent="0.25">
      <c r="A333" s="1">
        <v>44384</v>
      </c>
      <c r="B333">
        <v>14504.935229704701</v>
      </c>
      <c r="C333">
        <v>9680.6991275169803</v>
      </c>
      <c r="D333">
        <v>13094.289600542899</v>
      </c>
      <c r="E333">
        <v>14850.1472609537</v>
      </c>
      <c r="F333">
        <v>11867.3746163494</v>
      </c>
      <c r="G333">
        <v>10465.798692746201</v>
      </c>
      <c r="H333">
        <v>24375.640999018498</v>
      </c>
      <c r="I333">
        <v>16255.0511171943</v>
      </c>
      <c r="J333">
        <v>1081.5727649974699</v>
      </c>
      <c r="K333">
        <v>834.64983582115804</v>
      </c>
      <c r="L333">
        <v>538.76609287236602</v>
      </c>
      <c r="M333">
        <v>9320.3658183552398</v>
      </c>
      <c r="N333">
        <v>3309.39452339431</v>
      </c>
      <c r="O333">
        <v>496.21504057734899</v>
      </c>
      <c r="P333">
        <v>1219.8936399730601</v>
      </c>
      <c r="Q333">
        <v>7783.1923005386598</v>
      </c>
      <c r="R333">
        <v>632.30668437459599</v>
      </c>
      <c r="S333">
        <v>270.50152314385298</v>
      </c>
      <c r="T333">
        <v>388.87584011951401</v>
      </c>
      <c r="U333">
        <v>108.43818318165501</v>
      </c>
      <c r="V333">
        <v>359.83214947206102</v>
      </c>
      <c r="W333">
        <v>108.94498889150501</v>
      </c>
      <c r="X333">
        <v>206.537705173603</v>
      </c>
      <c r="Y333">
        <v>413.19304055719698</v>
      </c>
      <c r="Z333">
        <v>121.47988567889099</v>
      </c>
      <c r="AA333">
        <v>428.153168858291</v>
      </c>
      <c r="AB333">
        <v>475.45485578115398</v>
      </c>
      <c r="AC333">
        <v>215.16165177335901</v>
      </c>
      <c r="AD333">
        <v>457.60349653507302</v>
      </c>
      <c r="AE333">
        <v>78.014869919015894</v>
      </c>
      <c r="AF333">
        <v>283.50217499262601</v>
      </c>
      <c r="AG333">
        <v>469.34396236751701</v>
      </c>
    </row>
    <row r="334" spans="1:33" x14ac:dyDescent="0.25">
      <c r="A334" s="1">
        <v>44385</v>
      </c>
      <c r="B334">
        <v>14604.876186142399</v>
      </c>
      <c r="C334">
        <v>9598.9695159861803</v>
      </c>
      <c r="D334">
        <v>13207.0852427641</v>
      </c>
      <c r="E334">
        <v>14878.792178866899</v>
      </c>
      <c r="F334">
        <v>11859.507096328</v>
      </c>
      <c r="G334">
        <v>10775.908774780501</v>
      </c>
      <c r="H334">
        <v>24132.1422450715</v>
      </c>
      <c r="I334">
        <v>15990.5374984805</v>
      </c>
      <c r="J334">
        <v>1062.50772778034</v>
      </c>
      <c r="K334">
        <v>838.46038036514301</v>
      </c>
      <c r="L334">
        <v>530.99511896807201</v>
      </c>
      <c r="M334">
        <v>9447.2455253528606</v>
      </c>
      <c r="N334">
        <v>3268.5429580611799</v>
      </c>
      <c r="O334">
        <v>478.59145281182703</v>
      </c>
      <c r="P334">
        <v>1249.1828275863099</v>
      </c>
      <c r="Q334">
        <v>7832.7849290355098</v>
      </c>
      <c r="R334">
        <v>617.19625086124199</v>
      </c>
      <c r="S334">
        <v>269.980311658331</v>
      </c>
      <c r="T334">
        <v>404.32091021941699</v>
      </c>
      <c r="U334">
        <v>109.865159917889</v>
      </c>
      <c r="V334">
        <v>376.86237440024598</v>
      </c>
      <c r="W334">
        <v>109.883609306324</v>
      </c>
      <c r="X334">
        <v>221.51209492060701</v>
      </c>
      <c r="Y334">
        <v>422.00285006464497</v>
      </c>
      <c r="Z334">
        <v>119.633437473657</v>
      </c>
      <c r="AA334">
        <v>426.17264089677599</v>
      </c>
      <c r="AB334">
        <v>486.18812703122501</v>
      </c>
      <c r="AC334">
        <v>222.76300035739101</v>
      </c>
      <c r="AD334">
        <v>456.58896511543202</v>
      </c>
      <c r="AE334">
        <v>81.992807048080905</v>
      </c>
      <c r="AF334">
        <v>278.22457528249203</v>
      </c>
      <c r="AG334">
        <v>467.79467117241501</v>
      </c>
    </row>
    <row r="335" spans="1:33" x14ac:dyDescent="0.25">
      <c r="A335" s="1">
        <v>44386</v>
      </c>
      <c r="B335">
        <v>14596.3960951524</v>
      </c>
      <c r="C335">
        <v>9370.4258190746095</v>
      </c>
      <c r="D335">
        <v>13220.5017147937</v>
      </c>
      <c r="E335">
        <v>14800.534031437201</v>
      </c>
      <c r="F335">
        <v>11929.7165910719</v>
      </c>
      <c r="G335">
        <v>10958.8677114818</v>
      </c>
      <c r="H335">
        <v>23961.957649305499</v>
      </c>
      <c r="I335">
        <v>15725.858666607801</v>
      </c>
      <c r="J335">
        <v>1048.27201681723</v>
      </c>
      <c r="K335">
        <v>847.60638339069203</v>
      </c>
      <c r="L335">
        <v>525.50024497552999</v>
      </c>
      <c r="M335">
        <v>9445.62205944374</v>
      </c>
      <c r="N335">
        <v>3179.61923438957</v>
      </c>
      <c r="O335">
        <v>463.08743887810198</v>
      </c>
      <c r="P335">
        <v>1250.8460603016899</v>
      </c>
      <c r="Q335">
        <v>7844.02372746323</v>
      </c>
      <c r="R335">
        <v>601.39712614154598</v>
      </c>
      <c r="S335">
        <v>268.48172456606801</v>
      </c>
      <c r="T335">
        <v>400.364846782342</v>
      </c>
      <c r="U335">
        <v>113.431608750731</v>
      </c>
      <c r="V335">
        <v>404.78049250549202</v>
      </c>
      <c r="W335">
        <v>112.54089565552</v>
      </c>
      <c r="X335">
        <v>233.68347539567401</v>
      </c>
      <c r="Y335">
        <v>425.285195032454</v>
      </c>
      <c r="Z335">
        <v>117.560472566558</v>
      </c>
      <c r="AA335">
        <v>424.98226001561898</v>
      </c>
      <c r="AB335">
        <v>488.05958375598902</v>
      </c>
      <c r="AC335">
        <v>233.684317371612</v>
      </c>
      <c r="AD335">
        <v>453.91758428862403</v>
      </c>
      <c r="AE335">
        <v>78.004843983341402</v>
      </c>
      <c r="AF335">
        <v>275.01964467387</v>
      </c>
      <c r="AG335">
        <v>467.03702120982001</v>
      </c>
    </row>
    <row r="336" spans="1:33" x14ac:dyDescent="0.25">
      <c r="A336" s="1">
        <v>44387</v>
      </c>
      <c r="B336">
        <v>14574.4918542711</v>
      </c>
      <c r="C336">
        <v>9130.2056884803696</v>
      </c>
      <c r="D336">
        <v>13266.8816269053</v>
      </c>
      <c r="E336">
        <v>14760.125393337899</v>
      </c>
      <c r="F336">
        <v>12113.0643842587</v>
      </c>
      <c r="G336">
        <v>11363.640245504999</v>
      </c>
      <c r="H336">
        <v>24107.662819670601</v>
      </c>
      <c r="I336">
        <v>15562.978171447799</v>
      </c>
      <c r="J336">
        <v>1035.63919085883</v>
      </c>
      <c r="K336">
        <v>840.29226183972401</v>
      </c>
      <c r="L336">
        <v>526.10122698028499</v>
      </c>
      <c r="M336">
        <v>9765.6304271149002</v>
      </c>
      <c r="N336">
        <v>3229.95048447919</v>
      </c>
      <c r="O336">
        <v>474.02723044437499</v>
      </c>
      <c r="P336">
        <v>1272.9689606127499</v>
      </c>
      <c r="Q336">
        <v>8119.2493659594702</v>
      </c>
      <c r="R336">
        <v>609.97964118864195</v>
      </c>
      <c r="S336">
        <v>266.63417386690799</v>
      </c>
      <c r="T336">
        <v>429.31959672365599</v>
      </c>
      <c r="U336">
        <v>116.79163174727201</v>
      </c>
      <c r="V336">
        <v>438.32083809869101</v>
      </c>
      <c r="W336">
        <v>112.68530019548101</v>
      </c>
      <c r="X336">
        <v>262.85267061219599</v>
      </c>
      <c r="Y336">
        <v>430.69885265210002</v>
      </c>
      <c r="Z336">
        <v>118.36876162347799</v>
      </c>
      <c r="AA336">
        <v>423.777843801529</v>
      </c>
      <c r="AB336">
        <v>491.12139908879101</v>
      </c>
      <c r="AC336">
        <v>253.25067791581699</v>
      </c>
      <c r="AD336">
        <v>455.959877232633</v>
      </c>
      <c r="AE336">
        <v>84.044353114390205</v>
      </c>
      <c r="AF336">
        <v>275.09769272971101</v>
      </c>
      <c r="AG336">
        <v>466.55115949552999</v>
      </c>
    </row>
    <row r="337" spans="1:33" x14ac:dyDescent="0.25">
      <c r="A337" s="1">
        <v>44388</v>
      </c>
      <c r="B337">
        <v>14562.352541496501</v>
      </c>
      <c r="C337">
        <v>8983.8353691018892</v>
      </c>
      <c r="D337">
        <v>13351.390287259301</v>
      </c>
      <c r="E337">
        <v>14757.5547310117</v>
      </c>
      <c r="F337">
        <v>12347.877074669599</v>
      </c>
      <c r="G337">
        <v>11567.824206699401</v>
      </c>
      <c r="H337">
        <v>24249.940803494199</v>
      </c>
      <c r="I337">
        <v>15555.214571595299</v>
      </c>
      <c r="J337">
        <v>1026.3457264649701</v>
      </c>
      <c r="K337">
        <v>837.67984233840104</v>
      </c>
      <c r="L337">
        <v>525.371233898176</v>
      </c>
      <c r="M337">
        <v>10024.317943153401</v>
      </c>
      <c r="N337">
        <v>3292.4271556072999</v>
      </c>
      <c r="O337">
        <v>482.26546776907401</v>
      </c>
      <c r="P337">
        <v>1288.2437433075499</v>
      </c>
      <c r="Q337">
        <v>8323.5305486159705</v>
      </c>
      <c r="R337">
        <v>619.98699642032796</v>
      </c>
      <c r="S337">
        <v>264.29925769275201</v>
      </c>
      <c r="T337">
        <v>444.42036611012298</v>
      </c>
      <c r="U337">
        <v>113.720757755378</v>
      </c>
      <c r="V337">
        <v>442.81217774027402</v>
      </c>
      <c r="W337">
        <v>108.939532598547</v>
      </c>
      <c r="X337">
        <v>266.19998962870602</v>
      </c>
      <c r="Y337">
        <v>426.23230560927101</v>
      </c>
      <c r="Z337">
        <v>119.973177604565</v>
      </c>
      <c r="AA337">
        <v>422.62696141678202</v>
      </c>
      <c r="AB337">
        <v>486.87834150917399</v>
      </c>
      <c r="AC337">
        <v>263.223907389705</v>
      </c>
      <c r="AD337">
        <v>453.78459455426201</v>
      </c>
      <c r="AE337">
        <v>100.609058880457</v>
      </c>
      <c r="AF337">
        <v>276.99227656979701</v>
      </c>
      <c r="AG337">
        <v>466.60100290249699</v>
      </c>
    </row>
    <row r="338" spans="1:33" x14ac:dyDescent="0.25">
      <c r="A338" s="1">
        <v>44389</v>
      </c>
      <c r="B338">
        <v>14578.8661179961</v>
      </c>
      <c r="C338">
        <v>8938.2298409641899</v>
      </c>
      <c r="D338">
        <v>13395.137872666701</v>
      </c>
      <c r="E338">
        <v>14794.8452925987</v>
      </c>
      <c r="F338">
        <v>12448.8132166244</v>
      </c>
      <c r="G338">
        <v>11437.0097505051</v>
      </c>
      <c r="H338">
        <v>24458.677024579902</v>
      </c>
      <c r="I338">
        <v>15561.756175094601</v>
      </c>
      <c r="J338">
        <v>1019.03732404024</v>
      </c>
      <c r="K338">
        <v>830.08282902039696</v>
      </c>
      <c r="L338">
        <v>525.35319561417805</v>
      </c>
      <c r="M338">
        <v>10100.5167297725</v>
      </c>
      <c r="N338">
        <v>3385.2029400432998</v>
      </c>
      <c r="O338">
        <v>483.72673848525699</v>
      </c>
      <c r="P338">
        <v>1278.5226931390901</v>
      </c>
      <c r="Q338">
        <v>8386.8949081342198</v>
      </c>
      <c r="R338">
        <v>623.25940337272004</v>
      </c>
      <c r="S338">
        <v>261.310300136585</v>
      </c>
      <c r="T338">
        <v>466.94067030078998</v>
      </c>
      <c r="U338">
        <v>112.540723711307</v>
      </c>
      <c r="V338">
        <v>452.49717508597701</v>
      </c>
      <c r="W338">
        <v>116.245042781387</v>
      </c>
      <c r="X338">
        <v>266.887914114235</v>
      </c>
      <c r="Y338">
        <v>420.28244994678602</v>
      </c>
      <c r="Z338">
        <v>119.527194003533</v>
      </c>
      <c r="AA338">
        <v>420.83592777964299</v>
      </c>
      <c r="AB338">
        <v>482.15079982038498</v>
      </c>
      <c r="AC338">
        <v>245.78941395755899</v>
      </c>
      <c r="AD338">
        <v>452.03270753530597</v>
      </c>
      <c r="AE338">
        <v>96.051106972814097</v>
      </c>
      <c r="AF338">
        <v>280.20127166333299</v>
      </c>
      <c r="AG338">
        <v>466.63850827464699</v>
      </c>
    </row>
    <row r="339" spans="1:33" x14ac:dyDescent="0.25">
      <c r="A339" s="1">
        <v>44390</v>
      </c>
      <c r="B339">
        <v>14595.8554996819</v>
      </c>
      <c r="C339">
        <v>8966.9741069094507</v>
      </c>
      <c r="D339">
        <v>13423.407995731701</v>
      </c>
      <c r="E339">
        <v>14788.7684452994</v>
      </c>
      <c r="F339">
        <v>12227.863841398699</v>
      </c>
      <c r="G339">
        <v>11028.0344524298</v>
      </c>
      <c r="H339">
        <v>24421.405165623899</v>
      </c>
      <c r="I339">
        <v>15581.957065552</v>
      </c>
      <c r="J339">
        <v>1006.35764606132</v>
      </c>
      <c r="K339">
        <v>819.11764400154505</v>
      </c>
      <c r="L339">
        <v>513.45844638256494</v>
      </c>
      <c r="M339">
        <v>9741.8677024704193</v>
      </c>
      <c r="N339">
        <v>3252.7428399496598</v>
      </c>
      <c r="O339">
        <v>463.45475927673499</v>
      </c>
      <c r="P339">
        <v>1228.73895135317</v>
      </c>
      <c r="Q339">
        <v>8100.8711042600198</v>
      </c>
      <c r="R339">
        <v>599.90907894983297</v>
      </c>
      <c r="S339">
        <v>258.50469076693901</v>
      </c>
      <c r="T339">
        <v>430.30500111998299</v>
      </c>
      <c r="U339">
        <v>116.96758422664</v>
      </c>
      <c r="V339">
        <v>406.80246155298801</v>
      </c>
      <c r="W339">
        <v>113.355730177495</v>
      </c>
      <c r="X339">
        <v>233.531283484819</v>
      </c>
      <c r="Y339">
        <v>403.11210260460001</v>
      </c>
      <c r="Z339">
        <v>118.501581522877</v>
      </c>
      <c r="AA339">
        <v>419.385553700321</v>
      </c>
      <c r="AB339">
        <v>474.01595336171198</v>
      </c>
      <c r="AC339">
        <v>244.422379438218</v>
      </c>
      <c r="AD339">
        <v>441.30542767588901</v>
      </c>
      <c r="AE339">
        <v>97.251083568652703</v>
      </c>
      <c r="AF339">
        <v>283.66222625649601</v>
      </c>
      <c r="AG339">
        <v>467.03583864164301</v>
      </c>
    </row>
    <row r="340" spans="1:33" x14ac:dyDescent="0.25">
      <c r="A340" s="1">
        <v>44391</v>
      </c>
      <c r="B340">
        <v>14594.293062017699</v>
      </c>
      <c r="C340">
        <v>9030.0786627789603</v>
      </c>
      <c r="D340">
        <v>13446.4358009395</v>
      </c>
      <c r="E340">
        <v>14776.3755743156</v>
      </c>
      <c r="F340">
        <v>12005.660191102999</v>
      </c>
      <c r="G340">
        <v>10561.3931278003</v>
      </c>
      <c r="H340">
        <v>24142.720286620799</v>
      </c>
      <c r="I340">
        <v>15601.1693304153</v>
      </c>
      <c r="J340">
        <v>991.20226195896896</v>
      </c>
      <c r="K340">
        <v>813.51603366782103</v>
      </c>
      <c r="L340">
        <v>496.87287113145999</v>
      </c>
      <c r="M340">
        <v>9165.1491160125606</v>
      </c>
      <c r="N340">
        <v>2983.0293796317601</v>
      </c>
      <c r="O340">
        <v>439.71575258955301</v>
      </c>
      <c r="P340">
        <v>1169.25919054218</v>
      </c>
      <c r="Q340">
        <v>7675.7611249848096</v>
      </c>
      <c r="R340">
        <v>567.56588790387696</v>
      </c>
      <c r="S340">
        <v>255.940985175409</v>
      </c>
      <c r="T340">
        <v>378.43635466647902</v>
      </c>
      <c r="U340">
        <v>116.120169458673</v>
      </c>
      <c r="V340">
        <v>360.14374471154201</v>
      </c>
      <c r="W340">
        <v>113.977630275135</v>
      </c>
      <c r="X340">
        <v>202.95848421058801</v>
      </c>
      <c r="Y340">
        <v>392.61351759831803</v>
      </c>
      <c r="Z340">
        <v>118.520318803059</v>
      </c>
      <c r="AA340">
        <v>418.59598363478301</v>
      </c>
      <c r="AB340">
        <v>467.97302481481302</v>
      </c>
      <c r="AC340">
        <v>229.275311933209</v>
      </c>
      <c r="AD340">
        <v>428.05732104844299</v>
      </c>
      <c r="AE340">
        <v>95.142971691888206</v>
      </c>
      <c r="AF340">
        <v>286.77445296735402</v>
      </c>
      <c r="AG340">
        <v>467.10979848917998</v>
      </c>
    </row>
    <row r="341" spans="1:33" x14ac:dyDescent="0.25">
      <c r="A341" s="1">
        <v>44392</v>
      </c>
      <c r="B341">
        <v>14574.2645391348</v>
      </c>
      <c r="C341">
        <v>9059.8182415903102</v>
      </c>
      <c r="D341">
        <v>13441.460763979499</v>
      </c>
      <c r="E341">
        <v>14730.8107559454</v>
      </c>
      <c r="F341">
        <v>11421.1494175109</v>
      </c>
      <c r="G341">
        <v>10181.8209834195</v>
      </c>
      <c r="H341">
        <v>23506.117204529801</v>
      </c>
      <c r="I341">
        <v>15520.8248396656</v>
      </c>
      <c r="J341">
        <v>973.33911389538002</v>
      </c>
      <c r="K341">
        <v>805.005410046272</v>
      </c>
      <c r="L341">
        <v>478.31938526385801</v>
      </c>
      <c r="M341">
        <v>8743.22900546243</v>
      </c>
      <c r="N341">
        <v>2690.9777765292001</v>
      </c>
      <c r="O341">
        <v>409.91138123679099</v>
      </c>
      <c r="P341">
        <v>1104.7925401274899</v>
      </c>
      <c r="Q341">
        <v>7236.8429578711903</v>
      </c>
      <c r="R341">
        <v>529.446598627968</v>
      </c>
      <c r="S341">
        <v>253.96892616213501</v>
      </c>
      <c r="T341">
        <v>336.01249600503797</v>
      </c>
      <c r="U341">
        <v>115.799556724016</v>
      </c>
      <c r="V341">
        <v>317.56952964410499</v>
      </c>
      <c r="W341">
        <v>114.67296451513199</v>
      </c>
      <c r="X341">
        <v>181.79576429122201</v>
      </c>
      <c r="Y341">
        <v>391.220030279855</v>
      </c>
      <c r="Z341">
        <v>119.92994105639301</v>
      </c>
      <c r="AA341">
        <v>417.99742181383198</v>
      </c>
      <c r="AB341">
        <v>469.43825354948501</v>
      </c>
      <c r="AC341">
        <v>231.821698653037</v>
      </c>
      <c r="AD341">
        <v>415.01965248209098</v>
      </c>
      <c r="AE341">
        <v>83.147044928953306</v>
      </c>
      <c r="AF341">
        <v>289.86522568257402</v>
      </c>
      <c r="AG341">
        <v>467.16223490867901</v>
      </c>
    </row>
    <row r="342" spans="1:33" x14ac:dyDescent="0.25">
      <c r="A342" s="1">
        <v>44393</v>
      </c>
      <c r="B342">
        <v>14557.455374999099</v>
      </c>
      <c r="C342">
        <v>9004.4011527604998</v>
      </c>
      <c r="D342">
        <v>13419.008736113199</v>
      </c>
      <c r="E342">
        <v>14673.925521552201</v>
      </c>
      <c r="F342">
        <v>10701.0378631847</v>
      </c>
      <c r="G342">
        <v>9738.78053662604</v>
      </c>
      <c r="H342">
        <v>22477.674657975302</v>
      </c>
      <c r="I342">
        <v>15406.426366453101</v>
      </c>
      <c r="J342">
        <v>950.62215199618402</v>
      </c>
      <c r="K342">
        <v>799.17276110858597</v>
      </c>
      <c r="L342">
        <v>457.90974433481603</v>
      </c>
      <c r="M342">
        <v>8357.9245659216795</v>
      </c>
      <c r="N342">
        <v>2382.7443721582699</v>
      </c>
      <c r="O342">
        <v>379.51369555270702</v>
      </c>
      <c r="P342">
        <v>1039.96354953679</v>
      </c>
      <c r="Q342">
        <v>6642.4413651590103</v>
      </c>
      <c r="R342">
        <v>491.16348933199401</v>
      </c>
      <c r="S342">
        <v>252.71224287917201</v>
      </c>
      <c r="T342">
        <v>296.34197518476401</v>
      </c>
      <c r="U342">
        <v>115.017212864969</v>
      </c>
      <c r="V342">
        <v>267.48054044105402</v>
      </c>
      <c r="W342">
        <v>109.782606072249</v>
      </c>
      <c r="X342">
        <v>158.010852649681</v>
      </c>
      <c r="Y342">
        <v>384.10895027885101</v>
      </c>
      <c r="Z342">
        <v>121.362353555844</v>
      </c>
      <c r="AA342">
        <v>416.728907594563</v>
      </c>
      <c r="AB342">
        <v>469.60403185545999</v>
      </c>
      <c r="AC342">
        <v>241.94519711309201</v>
      </c>
      <c r="AD342">
        <v>401.27076776124699</v>
      </c>
      <c r="AE342">
        <v>74.748462894760195</v>
      </c>
      <c r="AF342">
        <v>290.525176249987</v>
      </c>
      <c r="AG342">
        <v>466.886422166881</v>
      </c>
    </row>
    <row r="343" spans="1:33" x14ac:dyDescent="0.25">
      <c r="A343" s="1">
        <v>44394</v>
      </c>
      <c r="B343">
        <v>14585.9962229714</v>
      </c>
      <c r="C343">
        <v>8823.8244188615208</v>
      </c>
      <c r="D343">
        <v>13400.076845796901</v>
      </c>
      <c r="E343">
        <v>14614.842248978101</v>
      </c>
      <c r="F343">
        <v>10514.230720899601</v>
      </c>
      <c r="G343">
        <v>10024.120927383199</v>
      </c>
      <c r="H343">
        <v>22641.976906636301</v>
      </c>
      <c r="I343">
        <v>15199.875886640601</v>
      </c>
      <c r="J343">
        <v>939.45490860447705</v>
      </c>
      <c r="K343">
        <v>792.014889040002</v>
      </c>
      <c r="L343">
        <v>443.81018869595601</v>
      </c>
      <c r="M343">
        <v>8439.5435879773395</v>
      </c>
      <c r="N343">
        <v>2219.1226327745098</v>
      </c>
      <c r="O343">
        <v>369.68538721499999</v>
      </c>
      <c r="P343">
        <v>1007.71943220275</v>
      </c>
      <c r="Q343">
        <v>6600.9703840391003</v>
      </c>
      <c r="R343">
        <v>478.00059656595403</v>
      </c>
      <c r="S343">
        <v>251.667195490903</v>
      </c>
      <c r="T343">
        <v>284.55518069902303</v>
      </c>
      <c r="U343">
        <v>109.511528234439</v>
      </c>
      <c r="V343">
        <v>263.31060678781802</v>
      </c>
      <c r="W343">
        <v>114.47917606858699</v>
      </c>
      <c r="X343">
        <v>164.212762318622</v>
      </c>
      <c r="Y343">
        <v>392.60393433815102</v>
      </c>
      <c r="Z343">
        <v>122.68105254538401</v>
      </c>
      <c r="AA343">
        <v>413.87096719115101</v>
      </c>
      <c r="AB343">
        <v>482.07253690510203</v>
      </c>
      <c r="AC343">
        <v>258.59750637158697</v>
      </c>
      <c r="AD343">
        <v>391.798274658254</v>
      </c>
      <c r="AE343">
        <v>79.295811813397606</v>
      </c>
      <c r="AF343">
        <v>288.60101601622603</v>
      </c>
      <c r="AG343">
        <v>464.20698517151902</v>
      </c>
    </row>
    <row r="344" spans="1:33" x14ac:dyDescent="0.25">
      <c r="A344" s="1">
        <v>44395</v>
      </c>
      <c r="B344">
        <v>14621.236713476001</v>
      </c>
      <c r="C344">
        <v>8555.2452068689599</v>
      </c>
      <c r="D344">
        <v>13395.9648221726</v>
      </c>
      <c r="E344">
        <v>14594.024588431999</v>
      </c>
      <c r="F344">
        <v>10791.9083998078</v>
      </c>
      <c r="G344">
        <v>10311.4752606487</v>
      </c>
      <c r="H344">
        <v>23039.9405943604</v>
      </c>
      <c r="I344">
        <v>15157.7000664119</v>
      </c>
      <c r="J344">
        <v>942.024045590068</v>
      </c>
      <c r="K344">
        <v>786.61416287717702</v>
      </c>
      <c r="L344">
        <v>437.41037259308803</v>
      </c>
      <c r="M344">
        <v>8609.14806673987</v>
      </c>
      <c r="N344">
        <v>2232.63425339485</v>
      </c>
      <c r="O344">
        <v>384.79039088482</v>
      </c>
      <c r="P344">
        <v>1003.09693434961</v>
      </c>
      <c r="Q344">
        <v>6839.6529402154902</v>
      </c>
      <c r="R344">
        <v>486.86685056645598</v>
      </c>
      <c r="S344">
        <v>250.97573359459801</v>
      </c>
      <c r="T344">
        <v>286.71183824338499</v>
      </c>
      <c r="U344">
        <v>112.400543544301</v>
      </c>
      <c r="V344">
        <v>276.72558024505702</v>
      </c>
      <c r="W344">
        <v>110.50455010421</v>
      </c>
      <c r="X344">
        <v>172.015545776236</v>
      </c>
      <c r="Y344">
        <v>408.78512839889902</v>
      </c>
      <c r="Z344">
        <v>123.779243733356</v>
      </c>
      <c r="AA344">
        <v>411.21833515941103</v>
      </c>
      <c r="AB344">
        <v>496.89748031540898</v>
      </c>
      <c r="AC344">
        <v>263.64184805895297</v>
      </c>
      <c r="AD344">
        <v>387.18771439269898</v>
      </c>
      <c r="AE344">
        <v>82.015227087491894</v>
      </c>
      <c r="AF344">
        <v>285.60057007860303</v>
      </c>
      <c r="AG344">
        <v>458.34052330474401</v>
      </c>
    </row>
    <row r="345" spans="1:33" x14ac:dyDescent="0.25">
      <c r="A345" s="1">
        <v>44396</v>
      </c>
      <c r="B345">
        <v>14598.7270664482</v>
      </c>
      <c r="C345">
        <v>8337.9780579342496</v>
      </c>
      <c r="D345">
        <v>13435.090370371699</v>
      </c>
      <c r="E345">
        <v>14606.0348186062</v>
      </c>
      <c r="F345">
        <v>11196.187504673901</v>
      </c>
      <c r="G345">
        <v>10407.3010041379</v>
      </c>
      <c r="H345">
        <v>23231.304086333101</v>
      </c>
      <c r="I345">
        <v>15121.3128530922</v>
      </c>
      <c r="J345">
        <v>945.33884142851298</v>
      </c>
      <c r="K345">
        <v>775.570280734378</v>
      </c>
      <c r="L345">
        <v>439.15270398002502</v>
      </c>
      <c r="M345">
        <v>8859.6845840159804</v>
      </c>
      <c r="N345">
        <v>2413.0564562302998</v>
      </c>
      <c r="O345">
        <v>398.00736445232002</v>
      </c>
      <c r="P345">
        <v>1009.14990970703</v>
      </c>
      <c r="Q345">
        <v>7096.9617249946896</v>
      </c>
      <c r="R345">
        <v>499.06946712721202</v>
      </c>
      <c r="S345">
        <v>250.51694771244101</v>
      </c>
      <c r="T345">
        <v>298.69395983071701</v>
      </c>
      <c r="U345">
        <v>110.51654028556899</v>
      </c>
      <c r="V345">
        <v>300.37516463887403</v>
      </c>
      <c r="W345">
        <v>110.18024767816399</v>
      </c>
      <c r="X345">
        <v>183.603987833752</v>
      </c>
      <c r="Y345">
        <v>409.448258972948</v>
      </c>
      <c r="Z345">
        <v>124.285843710544</v>
      </c>
      <c r="AA345">
        <v>409.211501776788</v>
      </c>
      <c r="AB345">
        <v>495.13022054285398</v>
      </c>
      <c r="AC345">
        <v>264.50624061237602</v>
      </c>
      <c r="AD345">
        <v>387.17719604744798</v>
      </c>
      <c r="AE345">
        <v>82.015186556904496</v>
      </c>
      <c r="AF345">
        <v>283.35529424604402</v>
      </c>
      <c r="AG345">
        <v>452.96702628199603</v>
      </c>
    </row>
    <row r="346" spans="1:33" x14ac:dyDescent="0.25">
      <c r="A346" s="1">
        <v>44397</v>
      </c>
      <c r="B346">
        <v>14609.061744905101</v>
      </c>
      <c r="C346">
        <v>8306.8155841668195</v>
      </c>
      <c r="D346">
        <v>13498.5726437051</v>
      </c>
      <c r="E346">
        <v>14633.572032734901</v>
      </c>
      <c r="F346">
        <v>11346.418519788</v>
      </c>
      <c r="G346">
        <v>10417.1991050411</v>
      </c>
      <c r="H346">
        <v>23143.735173795201</v>
      </c>
      <c r="I346">
        <v>15009.4870352875</v>
      </c>
      <c r="J346">
        <v>942.99264680778697</v>
      </c>
      <c r="K346">
        <v>770.90386288190098</v>
      </c>
      <c r="L346">
        <v>444.35580512961297</v>
      </c>
      <c r="M346">
        <v>9057.47869986152</v>
      </c>
      <c r="N346">
        <v>2654.3345625986699</v>
      </c>
      <c r="O346">
        <v>406.45257397395602</v>
      </c>
      <c r="P346">
        <v>1040.57585740532</v>
      </c>
      <c r="Q346">
        <v>7338.7265082725498</v>
      </c>
      <c r="R346">
        <v>507.66884102536801</v>
      </c>
      <c r="S346">
        <v>249.682970196219</v>
      </c>
      <c r="T346">
        <v>335.99567472879198</v>
      </c>
      <c r="U346">
        <v>111.82724000374201</v>
      </c>
      <c r="V346">
        <v>334.673674421128</v>
      </c>
      <c r="W346">
        <v>115.700970400448</v>
      </c>
      <c r="X346">
        <v>203.07661309869599</v>
      </c>
      <c r="Y346">
        <v>412.11222353876701</v>
      </c>
      <c r="Z346">
        <v>123.891935438686</v>
      </c>
      <c r="AA346">
        <v>407.61562870304101</v>
      </c>
      <c r="AB346">
        <v>487.91376322487997</v>
      </c>
      <c r="AC346">
        <v>262.60974802248001</v>
      </c>
      <c r="AD346">
        <v>390.52608694021399</v>
      </c>
      <c r="AE346">
        <v>72.776564074056694</v>
      </c>
      <c r="AF346">
        <v>283.854658163382</v>
      </c>
      <c r="AG346">
        <v>450.07311796324598</v>
      </c>
    </row>
    <row r="347" spans="1:33" x14ac:dyDescent="0.25">
      <c r="A347" s="1">
        <v>44398</v>
      </c>
      <c r="B347">
        <v>14618.228369582501</v>
      </c>
      <c r="C347">
        <v>8377.2646618479594</v>
      </c>
      <c r="D347">
        <v>13600.2826903562</v>
      </c>
      <c r="E347">
        <v>14661.203725665</v>
      </c>
      <c r="F347">
        <v>11507.4765801752</v>
      </c>
      <c r="G347">
        <v>10691.8432092205</v>
      </c>
      <c r="H347">
        <v>23274.4618839459</v>
      </c>
      <c r="I347">
        <v>14905.406439971301</v>
      </c>
      <c r="J347">
        <v>944.17675120801005</v>
      </c>
      <c r="K347">
        <v>761.16018704805504</v>
      </c>
      <c r="L347">
        <v>452.82984180989899</v>
      </c>
      <c r="M347">
        <v>9323.7429422080604</v>
      </c>
      <c r="N347">
        <v>2917.4538999316601</v>
      </c>
      <c r="O347">
        <v>419.89968076237102</v>
      </c>
      <c r="P347">
        <v>1072.8294261421499</v>
      </c>
      <c r="Q347">
        <v>7671.9474568000296</v>
      </c>
      <c r="R347">
        <v>520.37564438744096</v>
      </c>
      <c r="S347">
        <v>247.75441499159899</v>
      </c>
      <c r="T347">
        <v>386.93073966479</v>
      </c>
      <c r="U347">
        <v>116.144612843842</v>
      </c>
      <c r="V347">
        <v>380.82862485196301</v>
      </c>
      <c r="W347">
        <v>112.59212417217</v>
      </c>
      <c r="X347">
        <v>229.736215468952</v>
      </c>
      <c r="Y347">
        <v>419.745046873185</v>
      </c>
      <c r="Z347">
        <v>123.41809700338</v>
      </c>
      <c r="AA347">
        <v>406.06045135953201</v>
      </c>
      <c r="AB347">
        <v>486.44209273055901</v>
      </c>
      <c r="AC347">
        <v>247.91854063559899</v>
      </c>
      <c r="AD347">
        <v>395.94673221673497</v>
      </c>
      <c r="AE347">
        <v>73.944485712895897</v>
      </c>
      <c r="AF347">
        <v>286.75264934661101</v>
      </c>
      <c r="AG347">
        <v>446.95164921564299</v>
      </c>
    </row>
    <row r="348" spans="1:33" x14ac:dyDescent="0.25">
      <c r="A348" s="1">
        <v>44399</v>
      </c>
      <c r="B348">
        <v>14614.420466751801</v>
      </c>
      <c r="C348">
        <v>8483.1279290696893</v>
      </c>
      <c r="D348">
        <v>13675.4661832042</v>
      </c>
      <c r="E348">
        <v>14675.031885030599</v>
      </c>
      <c r="F348">
        <v>11789.9851300631</v>
      </c>
      <c r="G348">
        <v>11004.0631131065</v>
      </c>
      <c r="H348">
        <v>23249.679844456099</v>
      </c>
      <c r="I348">
        <v>14890.4417872583</v>
      </c>
      <c r="J348">
        <v>941.84621254797105</v>
      </c>
      <c r="K348">
        <v>752.38713672048402</v>
      </c>
      <c r="L348">
        <v>460.85568511874499</v>
      </c>
      <c r="M348">
        <v>9525.80253232207</v>
      </c>
      <c r="N348">
        <v>3126.4699843981798</v>
      </c>
      <c r="O348">
        <v>430.07905702512301</v>
      </c>
      <c r="P348">
        <v>1134.71464856117</v>
      </c>
      <c r="Q348">
        <v>7935.2592538846802</v>
      </c>
      <c r="R348">
        <v>532.475152626247</v>
      </c>
      <c r="S348">
        <v>245.102704060007</v>
      </c>
      <c r="T348">
        <v>442.093798576663</v>
      </c>
      <c r="U348">
        <v>115.888723376941</v>
      </c>
      <c r="V348">
        <v>423.43284432605299</v>
      </c>
      <c r="W348">
        <v>116.40482494653899</v>
      </c>
      <c r="X348">
        <v>261.47286333002802</v>
      </c>
      <c r="Y348">
        <v>422.21267939633998</v>
      </c>
      <c r="Z348">
        <v>122.265993945151</v>
      </c>
      <c r="AA348">
        <v>403.95129830366102</v>
      </c>
      <c r="AB348">
        <v>481.792453639884</v>
      </c>
      <c r="AC348">
        <v>215.25669129145899</v>
      </c>
      <c r="AD348">
        <v>403.38358212587099</v>
      </c>
      <c r="AE348">
        <v>72.600705191423103</v>
      </c>
      <c r="AF348">
        <v>289.7100674884</v>
      </c>
      <c r="AG348">
        <v>445.70478213448001</v>
      </c>
    </row>
    <row r="349" spans="1:33" x14ac:dyDescent="0.25">
      <c r="A349" s="1">
        <v>44400</v>
      </c>
      <c r="B349">
        <v>14607.238101171401</v>
      </c>
      <c r="C349">
        <v>8633.5050287212507</v>
      </c>
      <c r="D349">
        <v>13725.5182661484</v>
      </c>
      <c r="E349">
        <v>14682.067892521</v>
      </c>
      <c r="F349">
        <v>11857.793567319601</v>
      </c>
      <c r="G349">
        <v>11001.768944678</v>
      </c>
      <c r="H349">
        <v>23140.939452405899</v>
      </c>
      <c r="I349">
        <v>14901.1838293606</v>
      </c>
      <c r="J349">
        <v>937.057458761872</v>
      </c>
      <c r="K349">
        <v>751.91774240159305</v>
      </c>
      <c r="L349">
        <v>462.58546844773002</v>
      </c>
      <c r="M349">
        <v>9481.7840723656791</v>
      </c>
      <c r="N349">
        <v>3154.1828606600802</v>
      </c>
      <c r="O349">
        <v>422.89165017130102</v>
      </c>
      <c r="P349">
        <v>1149.8027244601799</v>
      </c>
      <c r="Q349">
        <v>7909.2657409736903</v>
      </c>
      <c r="R349">
        <v>532.08833303874201</v>
      </c>
      <c r="S349">
        <v>242.665126510802</v>
      </c>
      <c r="T349">
        <v>459.57619397063098</v>
      </c>
      <c r="U349">
        <v>115.774239339216</v>
      </c>
      <c r="V349">
        <v>442.65108415424601</v>
      </c>
      <c r="W349">
        <v>115.892532789398</v>
      </c>
      <c r="X349">
        <v>271.76560158651</v>
      </c>
      <c r="Y349">
        <v>417.313052780563</v>
      </c>
      <c r="Z349">
        <v>121.906143262624</v>
      </c>
      <c r="AA349">
        <v>402.03387324581303</v>
      </c>
      <c r="AB349">
        <v>476.24460232393898</v>
      </c>
      <c r="AC349">
        <v>207.666108350819</v>
      </c>
      <c r="AD349">
        <v>406.10028401695803</v>
      </c>
      <c r="AE349">
        <v>69.354305780349705</v>
      </c>
      <c r="AF349">
        <v>292.66515771317103</v>
      </c>
      <c r="AG349">
        <v>445.58372136328001</v>
      </c>
    </row>
    <row r="350" spans="1:33" x14ac:dyDescent="0.25">
      <c r="A350" s="1">
        <v>44401</v>
      </c>
      <c r="B350">
        <v>14608.9880509961</v>
      </c>
      <c r="C350">
        <v>8776.9505812039206</v>
      </c>
      <c r="D350">
        <v>13829.2124672685</v>
      </c>
      <c r="E350">
        <v>14729.521819399</v>
      </c>
      <c r="F350">
        <v>12134.334577113401</v>
      </c>
      <c r="G350">
        <v>11411.95249426</v>
      </c>
      <c r="H350">
        <v>23700.296657178798</v>
      </c>
      <c r="I350">
        <v>14962.6779534713</v>
      </c>
      <c r="J350">
        <v>940.22374975387595</v>
      </c>
      <c r="K350">
        <v>746.03728937297399</v>
      </c>
      <c r="L350">
        <v>467.00798462358398</v>
      </c>
      <c r="M350">
        <v>9690.5776770896191</v>
      </c>
      <c r="N350">
        <v>3299.9272181680299</v>
      </c>
      <c r="O350">
        <v>438.69140938868799</v>
      </c>
      <c r="P350">
        <v>1182.1044194016899</v>
      </c>
      <c r="Q350">
        <v>8199.8544997285808</v>
      </c>
      <c r="R350">
        <v>546.181173413544</v>
      </c>
      <c r="S350">
        <v>239.93530369934399</v>
      </c>
      <c r="T350">
        <v>486.15843846903698</v>
      </c>
      <c r="U350">
        <v>116.941802859647</v>
      </c>
      <c r="V350">
        <v>484.97414803451198</v>
      </c>
      <c r="W350">
        <v>113.74707123440101</v>
      </c>
      <c r="X350">
        <v>289.32886104621701</v>
      </c>
      <c r="Y350">
        <v>422.03959306402498</v>
      </c>
      <c r="Z350">
        <v>121.76847398509</v>
      </c>
      <c r="AA350">
        <v>399.10765768660701</v>
      </c>
      <c r="AB350">
        <v>479.93414141088198</v>
      </c>
      <c r="AC350">
        <v>233.41633707201601</v>
      </c>
      <c r="AD350">
        <v>410.39635735053798</v>
      </c>
      <c r="AE350">
        <v>79.106007674666699</v>
      </c>
      <c r="AF350">
        <v>295.21460537032902</v>
      </c>
      <c r="AG350">
        <v>444.251042771627</v>
      </c>
    </row>
    <row r="351" spans="1:33" x14ac:dyDescent="0.25">
      <c r="A351" s="1">
        <v>44402</v>
      </c>
      <c r="B351">
        <v>14643.1312049606</v>
      </c>
      <c r="C351">
        <v>8913.2510904989194</v>
      </c>
      <c r="D351">
        <v>13939.0419456778</v>
      </c>
      <c r="E351">
        <v>14810.386612206201</v>
      </c>
      <c r="F351">
        <v>12396.332786153</v>
      </c>
      <c r="G351">
        <v>11351.291860232301</v>
      </c>
      <c r="H351">
        <v>24089.859736766499</v>
      </c>
      <c r="I351">
        <v>15073.5679934216</v>
      </c>
      <c r="J351">
        <v>953.58266802976902</v>
      </c>
      <c r="K351">
        <v>730.584940344546</v>
      </c>
      <c r="L351">
        <v>476.15555392948698</v>
      </c>
      <c r="M351">
        <v>9799.2911514226907</v>
      </c>
      <c r="N351">
        <v>3463.60200295812</v>
      </c>
      <c r="O351">
        <v>453.01080542860399</v>
      </c>
      <c r="P351">
        <v>1196.59873788958</v>
      </c>
      <c r="Q351">
        <v>8322.5730986198505</v>
      </c>
      <c r="R351">
        <v>562.02942654732203</v>
      </c>
      <c r="S351">
        <v>237.836749058469</v>
      </c>
      <c r="T351">
        <v>511.74085440567598</v>
      </c>
      <c r="U351">
        <v>114.756080864281</v>
      </c>
      <c r="V351">
        <v>503.01373980684502</v>
      </c>
      <c r="W351">
        <v>110.21842316950401</v>
      </c>
      <c r="X351">
        <v>292.70714666024003</v>
      </c>
      <c r="Y351">
        <v>416.78360041712699</v>
      </c>
      <c r="Z351">
        <v>121.662388796534</v>
      </c>
      <c r="AA351">
        <v>396.45115816220198</v>
      </c>
      <c r="AB351">
        <v>475.07361395392297</v>
      </c>
      <c r="AC351">
        <v>252.837232622595</v>
      </c>
      <c r="AD351">
        <v>414.24510967292002</v>
      </c>
      <c r="AE351">
        <v>91.599301342698496</v>
      </c>
      <c r="AF351">
        <v>297.04757526038497</v>
      </c>
      <c r="AG351">
        <v>443.19998520913998</v>
      </c>
    </row>
    <row r="352" spans="1:33" x14ac:dyDescent="0.25">
      <c r="A352" s="1">
        <v>44403</v>
      </c>
      <c r="B352">
        <v>14701.181259818901</v>
      </c>
      <c r="C352">
        <v>9016.2222482373199</v>
      </c>
      <c r="D352">
        <v>14052.8845717892</v>
      </c>
      <c r="E352">
        <v>14910.020575287001</v>
      </c>
      <c r="F352">
        <v>12408.4971584003</v>
      </c>
      <c r="G352">
        <v>11134.987660004699</v>
      </c>
      <c r="H352">
        <v>24226.784965871298</v>
      </c>
      <c r="I352">
        <v>15170.848863744801</v>
      </c>
      <c r="J352">
        <v>960.03837424962103</v>
      </c>
      <c r="K352">
        <v>713.40630072531303</v>
      </c>
      <c r="L352">
        <v>478.20335807069301</v>
      </c>
      <c r="M352">
        <v>9647.6158028950395</v>
      </c>
      <c r="N352">
        <v>3481.3492673290302</v>
      </c>
      <c r="O352">
        <v>450.933460848658</v>
      </c>
      <c r="P352">
        <v>1197.2421987155001</v>
      </c>
      <c r="Q352">
        <v>8231.3061418592806</v>
      </c>
      <c r="R352">
        <v>560.87030883986097</v>
      </c>
      <c r="S352">
        <v>236.574088975411</v>
      </c>
      <c r="T352">
        <v>504.06994098427202</v>
      </c>
      <c r="U352">
        <v>109.75121711462199</v>
      </c>
      <c r="V352">
        <v>485.48757679363899</v>
      </c>
      <c r="W352">
        <v>109.43309325772201</v>
      </c>
      <c r="X352">
        <v>278.21856798997902</v>
      </c>
      <c r="Y352">
        <v>401.97395242202498</v>
      </c>
      <c r="Z352">
        <v>121.544766393496</v>
      </c>
      <c r="AA352">
        <v>394.31372865876398</v>
      </c>
      <c r="AB352">
        <v>465.16244942085598</v>
      </c>
      <c r="AC352">
        <v>256.65181777939898</v>
      </c>
      <c r="AD352">
        <v>411.79986069325003</v>
      </c>
      <c r="AE352">
        <v>95.812733373578794</v>
      </c>
      <c r="AF352">
        <v>297.00557703120597</v>
      </c>
      <c r="AG352">
        <v>442.52598562510298</v>
      </c>
    </row>
    <row r="353" spans="1:33" x14ac:dyDescent="0.25">
      <c r="A353" s="1">
        <v>44404</v>
      </c>
      <c r="B353">
        <v>14754.154828528101</v>
      </c>
      <c r="C353">
        <v>9154.2565064803002</v>
      </c>
      <c r="D353">
        <v>14012.757427062499</v>
      </c>
      <c r="E353">
        <v>14892.5227829874</v>
      </c>
      <c r="F353">
        <v>11824.2576155201</v>
      </c>
      <c r="G353">
        <v>10108.675704953699</v>
      </c>
      <c r="H353">
        <v>22652.242503037</v>
      </c>
      <c r="I353">
        <v>15155.6933834132</v>
      </c>
      <c r="J353">
        <v>943.61741227046502</v>
      </c>
      <c r="K353">
        <v>709.56576889201597</v>
      </c>
      <c r="L353">
        <v>456.84631784780402</v>
      </c>
      <c r="M353">
        <v>8756.8988550212398</v>
      </c>
      <c r="N353">
        <v>2925.2844131757302</v>
      </c>
      <c r="O353">
        <v>394.31153080227699</v>
      </c>
      <c r="P353">
        <v>1129.8389671</v>
      </c>
      <c r="Q353">
        <v>7315.3347488440904</v>
      </c>
      <c r="R353">
        <v>507.21044000466298</v>
      </c>
      <c r="S353">
        <v>236.605682149312</v>
      </c>
      <c r="T353">
        <v>390.53016019573801</v>
      </c>
      <c r="U353">
        <v>110.70037311087</v>
      </c>
      <c r="V353">
        <v>353.35759118719398</v>
      </c>
      <c r="W353">
        <v>111.65835804875699</v>
      </c>
      <c r="X353">
        <v>200.99577602585899</v>
      </c>
      <c r="Y353">
        <v>379.22957737203001</v>
      </c>
      <c r="Z353">
        <v>121.637735448746</v>
      </c>
      <c r="AA353">
        <v>394.44084810212701</v>
      </c>
      <c r="AB353">
        <v>449.56578147946402</v>
      </c>
      <c r="AC353">
        <v>255.223443016559</v>
      </c>
      <c r="AD353">
        <v>394.66139560264202</v>
      </c>
      <c r="AE353">
        <v>73.744016202052705</v>
      </c>
      <c r="AF353">
        <v>291.85770414335002</v>
      </c>
      <c r="AG353">
        <v>442.752497061714</v>
      </c>
    </row>
    <row r="354" spans="1:33" x14ac:dyDescent="0.25">
      <c r="A354" s="1">
        <v>44405</v>
      </c>
      <c r="B354">
        <v>14759.7614095588</v>
      </c>
      <c r="C354">
        <v>9169.1182015478407</v>
      </c>
      <c r="D354">
        <v>14023.9947562907</v>
      </c>
      <c r="E354">
        <v>14857.3705852122</v>
      </c>
      <c r="F354">
        <v>11125.1697010028</v>
      </c>
      <c r="G354">
        <v>10042.649294482901</v>
      </c>
      <c r="H354">
        <v>22681.1603447616</v>
      </c>
      <c r="I354">
        <v>14953.435565624801</v>
      </c>
      <c r="J354">
        <v>935.47801591966197</v>
      </c>
      <c r="K354">
        <v>709.82798308789495</v>
      </c>
      <c r="L354">
        <v>440.34925301723098</v>
      </c>
      <c r="M354">
        <v>8553.1763715304896</v>
      </c>
      <c r="N354">
        <v>2568.7430296303901</v>
      </c>
      <c r="O354">
        <v>386.09727197750198</v>
      </c>
      <c r="P354">
        <v>1058.1561671463501</v>
      </c>
      <c r="Q354">
        <v>7053.4756138010198</v>
      </c>
      <c r="R354">
        <v>493.06411289717403</v>
      </c>
      <c r="S354">
        <v>236.94521361397099</v>
      </c>
      <c r="T354">
        <v>337.41098459849297</v>
      </c>
      <c r="U354">
        <v>113.084891828114</v>
      </c>
      <c r="V354">
        <v>321.09710367044403</v>
      </c>
      <c r="W354">
        <v>114.02123938452699</v>
      </c>
      <c r="X354">
        <v>183.557862954293</v>
      </c>
      <c r="Y354">
        <v>381.64005137718101</v>
      </c>
      <c r="Z354">
        <v>123.726175650504</v>
      </c>
      <c r="AA354">
        <v>391.35820488629503</v>
      </c>
      <c r="AB354">
        <v>456.23260625705097</v>
      </c>
      <c r="AC354">
        <v>228.696008011831</v>
      </c>
      <c r="AD354">
        <v>385.15495780296698</v>
      </c>
      <c r="AE354">
        <v>72.474679847151904</v>
      </c>
      <c r="AF354">
        <v>285.22808058646302</v>
      </c>
      <c r="AG354">
        <v>440.56385440558802</v>
      </c>
    </row>
    <row r="355" spans="1:33" x14ac:dyDescent="0.25">
      <c r="A355" s="1">
        <v>44406</v>
      </c>
      <c r="B355">
        <v>14773.4488183146</v>
      </c>
      <c r="C355">
        <v>9086.8435109537804</v>
      </c>
      <c r="D355">
        <v>14089.048623553501</v>
      </c>
      <c r="E355">
        <v>14849.465816177701</v>
      </c>
      <c r="F355">
        <v>10984.8164795757</v>
      </c>
      <c r="G355">
        <v>10294.764477458</v>
      </c>
      <c r="H355">
        <v>23295.1009179881</v>
      </c>
      <c r="I355">
        <v>14947.714486340399</v>
      </c>
      <c r="J355">
        <v>940.5378334385</v>
      </c>
      <c r="K355">
        <v>693.09024734450895</v>
      </c>
      <c r="L355">
        <v>437.41514171392902</v>
      </c>
      <c r="M355">
        <v>8776.3464915915993</v>
      </c>
      <c r="N355">
        <v>2604.4637859161198</v>
      </c>
      <c r="O355">
        <v>397.67460953487603</v>
      </c>
      <c r="P355">
        <v>1061.03666094953</v>
      </c>
      <c r="Q355">
        <v>7157.8843735564496</v>
      </c>
      <c r="R355">
        <v>498.017334144561</v>
      </c>
      <c r="S355">
        <v>238.180906752129</v>
      </c>
      <c r="T355">
        <v>331.02547175049</v>
      </c>
      <c r="U355">
        <v>114.277037866668</v>
      </c>
      <c r="V355">
        <v>311.65270557147397</v>
      </c>
      <c r="W355">
        <v>116.027988398773</v>
      </c>
      <c r="X355">
        <v>177.034182989838</v>
      </c>
      <c r="Y355">
        <v>388.82346294883098</v>
      </c>
      <c r="Z355">
        <v>123.940678095162</v>
      </c>
      <c r="AA355">
        <v>388.10396284855</v>
      </c>
      <c r="AB355">
        <v>465.41709379056601</v>
      </c>
      <c r="AC355">
        <v>217.062367559911</v>
      </c>
      <c r="AD355">
        <v>380.65022598152899</v>
      </c>
      <c r="AE355">
        <v>80.105673883131004</v>
      </c>
      <c r="AF355">
        <v>282.13196647383103</v>
      </c>
      <c r="AG355">
        <v>438.09503193689397</v>
      </c>
    </row>
    <row r="356" spans="1:33" x14ac:dyDescent="0.25">
      <c r="A356" s="1">
        <v>44407</v>
      </c>
      <c r="B356">
        <v>14823.150331017599</v>
      </c>
      <c r="C356">
        <v>8952.6214641034203</v>
      </c>
      <c r="D356">
        <v>14111.836726162701</v>
      </c>
      <c r="E356">
        <v>14837.2232452807</v>
      </c>
      <c r="F356">
        <v>11074.432386078999</v>
      </c>
      <c r="G356">
        <v>10359.023307854601</v>
      </c>
      <c r="H356">
        <v>23631.261962647201</v>
      </c>
      <c r="I356">
        <v>14983.7908787953</v>
      </c>
      <c r="J356">
        <v>944.43015111125499</v>
      </c>
      <c r="K356">
        <v>680.70104489757296</v>
      </c>
      <c r="L356">
        <v>434.13077835673499</v>
      </c>
      <c r="M356">
        <v>8869.7547439518694</v>
      </c>
      <c r="N356">
        <v>2546.8103266457902</v>
      </c>
      <c r="O356">
        <v>396.37224564473701</v>
      </c>
      <c r="P356">
        <v>1060.70147232202</v>
      </c>
      <c r="Q356">
        <v>7151.2199719504197</v>
      </c>
      <c r="R356">
        <v>496.89689654077802</v>
      </c>
      <c r="S356">
        <v>240.02657176587601</v>
      </c>
      <c r="T356">
        <v>320.00948947278101</v>
      </c>
      <c r="U356">
        <v>113.249223034777</v>
      </c>
      <c r="V356">
        <v>286.110720799315</v>
      </c>
      <c r="W356">
        <v>112.910962445441</v>
      </c>
      <c r="X356">
        <v>164.450832897103</v>
      </c>
      <c r="Y356">
        <v>384.59079205892601</v>
      </c>
      <c r="Z356">
        <v>123.43616081438201</v>
      </c>
      <c r="AA356">
        <v>386.02974130447097</v>
      </c>
      <c r="AB356">
        <v>465.43486795612199</v>
      </c>
      <c r="AC356">
        <v>219.47065322596299</v>
      </c>
      <c r="AD356">
        <v>375.86271347183498</v>
      </c>
      <c r="AE356">
        <v>74.255086340404603</v>
      </c>
      <c r="AF356">
        <v>282.28209227594101</v>
      </c>
      <c r="AG356">
        <v>435.96055264201101</v>
      </c>
    </row>
    <row r="357" spans="1:33" x14ac:dyDescent="0.25">
      <c r="A357" s="1">
        <v>44408</v>
      </c>
      <c r="B357">
        <v>14879.331480966301</v>
      </c>
      <c r="C357">
        <v>8890.5637739548001</v>
      </c>
      <c r="D357">
        <v>14149.362049325</v>
      </c>
      <c r="E357">
        <v>14861.044293017399</v>
      </c>
      <c r="F357">
        <v>11386.3558586772</v>
      </c>
      <c r="G357">
        <v>10184.435981978901</v>
      </c>
      <c r="H357">
        <v>24153.830046736901</v>
      </c>
      <c r="I357">
        <v>15004.5957716456</v>
      </c>
      <c r="J357">
        <v>955.75463000760101</v>
      </c>
      <c r="K357">
        <v>676.05677240940804</v>
      </c>
      <c r="L357">
        <v>430.17736646977602</v>
      </c>
      <c r="M357">
        <v>8750.28477757568</v>
      </c>
      <c r="N357">
        <v>2541.54438376898</v>
      </c>
      <c r="O357">
        <v>415.20150639793502</v>
      </c>
      <c r="P357">
        <v>1053.2955909464499</v>
      </c>
      <c r="Q357">
        <v>7120.9817310198896</v>
      </c>
      <c r="R357">
        <v>500.09791051570699</v>
      </c>
      <c r="S357">
        <v>242.90176914978699</v>
      </c>
      <c r="T357">
        <v>311.04388375148</v>
      </c>
      <c r="U357">
        <v>115.94374847929799</v>
      </c>
      <c r="V357">
        <v>261.03526128873199</v>
      </c>
      <c r="W357">
        <v>121.94478450504501</v>
      </c>
      <c r="X357">
        <v>160.06055328370201</v>
      </c>
      <c r="Y357">
        <v>381.11710223084401</v>
      </c>
      <c r="Z357">
        <v>121.642694606864</v>
      </c>
      <c r="AA357">
        <v>383.63453117999802</v>
      </c>
      <c r="AB357">
        <v>471.81697303662003</v>
      </c>
      <c r="AC357">
        <v>221.33420783063599</v>
      </c>
      <c r="AD357">
        <v>368.65063509344401</v>
      </c>
      <c r="AE357">
        <v>65.246911229723494</v>
      </c>
      <c r="AF357">
        <v>284.22094439782302</v>
      </c>
      <c r="AG357">
        <v>431.303326253237</v>
      </c>
    </row>
    <row r="358" spans="1:33" x14ac:dyDescent="0.25">
      <c r="A358" s="1">
        <v>44409</v>
      </c>
      <c r="B358">
        <v>14906.9648997694</v>
      </c>
      <c r="C358">
        <v>8676.8036232738505</v>
      </c>
      <c r="D358">
        <v>14096.2653226648</v>
      </c>
      <c r="E358">
        <v>14905.242355025801</v>
      </c>
      <c r="F358">
        <v>11161.226290172701</v>
      </c>
      <c r="G358">
        <v>9579.4809621965305</v>
      </c>
      <c r="H358">
        <v>23248.083220284501</v>
      </c>
      <c r="I358">
        <v>15072.775131616199</v>
      </c>
      <c r="J358">
        <v>954.64823319547099</v>
      </c>
      <c r="K358">
        <v>669.95147506709998</v>
      </c>
      <c r="L358">
        <v>421.46940743452899</v>
      </c>
      <c r="M358">
        <v>8274.8068109165306</v>
      </c>
      <c r="N358">
        <v>2355.8461269540699</v>
      </c>
      <c r="O358">
        <v>398.75991754971199</v>
      </c>
      <c r="P358">
        <v>1001.3531019962001</v>
      </c>
      <c r="Q358">
        <v>6632.7733340355298</v>
      </c>
      <c r="R358">
        <v>487.67749164378898</v>
      </c>
      <c r="S358">
        <v>244.42841334568499</v>
      </c>
      <c r="T358">
        <v>292.13443043993902</v>
      </c>
      <c r="U358">
        <v>118.17953204516</v>
      </c>
      <c r="V358">
        <v>242.49061788995499</v>
      </c>
      <c r="W358">
        <v>115.980553048564</v>
      </c>
      <c r="X358">
        <v>152.69921386580401</v>
      </c>
      <c r="Y358">
        <v>369.23952978160497</v>
      </c>
      <c r="Z358">
        <v>119.820173633191</v>
      </c>
      <c r="AA358">
        <v>382.74398158131402</v>
      </c>
      <c r="AB358">
        <v>463.11718672828403</v>
      </c>
      <c r="AC358">
        <v>212.09145090653601</v>
      </c>
      <c r="AD358">
        <v>361.39928503428899</v>
      </c>
      <c r="AE358">
        <v>90.999527227827599</v>
      </c>
      <c r="AF358">
        <v>283.80982386374899</v>
      </c>
      <c r="AG358">
        <v>426.74564699976401</v>
      </c>
    </row>
    <row r="359" spans="1:33" x14ac:dyDescent="0.25">
      <c r="A359" s="1">
        <v>44410</v>
      </c>
      <c r="B359">
        <v>14930.876656959401</v>
      </c>
      <c r="C359">
        <v>8521.4797213739093</v>
      </c>
      <c r="D359">
        <v>14076.450503948099</v>
      </c>
      <c r="E359">
        <v>14949.4308686111</v>
      </c>
      <c r="F359">
        <v>10741.9763787474</v>
      </c>
      <c r="G359">
        <v>9189.5893166648402</v>
      </c>
      <c r="H359">
        <v>22873.6440617796</v>
      </c>
      <c r="I359">
        <v>15120.8272083637</v>
      </c>
      <c r="J359">
        <v>951.18312103013102</v>
      </c>
      <c r="K359">
        <v>663.13527946471299</v>
      </c>
      <c r="L359">
        <v>417.49094689524497</v>
      </c>
      <c r="M359">
        <v>7927.0378566372301</v>
      </c>
      <c r="N359">
        <v>2306.8082323101899</v>
      </c>
      <c r="O359">
        <v>388.08383309010401</v>
      </c>
      <c r="P359">
        <v>947.60564823773905</v>
      </c>
      <c r="Q359">
        <v>6420.2722534231098</v>
      </c>
      <c r="R359">
        <v>475.63348146968599</v>
      </c>
      <c r="S359">
        <v>244.96201767216999</v>
      </c>
      <c r="T359">
        <v>276.52539126742101</v>
      </c>
      <c r="U359">
        <v>114.44470418815899</v>
      </c>
      <c r="V359">
        <v>243.94299887431399</v>
      </c>
      <c r="W359">
        <v>117.931841208097</v>
      </c>
      <c r="X359">
        <v>155.88066405722401</v>
      </c>
      <c r="Y359">
        <v>369.31005029775298</v>
      </c>
      <c r="Z359">
        <v>120.793793928561</v>
      </c>
      <c r="AA359">
        <v>381.27460306611999</v>
      </c>
      <c r="AB359">
        <v>455.48170909032598</v>
      </c>
      <c r="AC359">
        <v>199.08254370046299</v>
      </c>
      <c r="AD359">
        <v>358.71252297116501</v>
      </c>
      <c r="AE359">
        <v>95.565276390210002</v>
      </c>
      <c r="AF359">
        <v>275.17617697502601</v>
      </c>
      <c r="AG359">
        <v>421.85790592655201</v>
      </c>
    </row>
    <row r="360" spans="1:33" x14ac:dyDescent="0.25">
      <c r="A360" s="1">
        <v>44411</v>
      </c>
      <c r="B360">
        <v>14942.15185106</v>
      </c>
      <c r="C360">
        <v>8458.0364342282301</v>
      </c>
      <c r="D360">
        <v>14086.0496985586</v>
      </c>
      <c r="E360">
        <v>14965.3693884925</v>
      </c>
      <c r="F360">
        <v>10618.434474686999</v>
      </c>
      <c r="G360">
        <v>9101.1141366851098</v>
      </c>
      <c r="H360">
        <v>23181.876552951901</v>
      </c>
      <c r="I360">
        <v>14922.6430257805</v>
      </c>
      <c r="J360">
        <v>939.88614010404694</v>
      </c>
      <c r="K360">
        <v>658.39287198406805</v>
      </c>
      <c r="L360">
        <v>413.67128144358998</v>
      </c>
      <c r="M360">
        <v>7929.8441681627501</v>
      </c>
      <c r="N360">
        <v>2366.5511052424799</v>
      </c>
      <c r="O360">
        <v>376.88956710474002</v>
      </c>
      <c r="P360">
        <v>926.52466030535197</v>
      </c>
      <c r="Q360">
        <v>6481.4539314140802</v>
      </c>
      <c r="R360">
        <v>472.55833419570803</v>
      </c>
      <c r="S360">
        <v>245.19214867887999</v>
      </c>
      <c r="T360">
        <v>276.05569623974299</v>
      </c>
      <c r="U360">
        <v>115.93639210703699</v>
      </c>
      <c r="V360">
        <v>266.73303802632199</v>
      </c>
      <c r="W360">
        <v>112.99927760206</v>
      </c>
      <c r="X360">
        <v>163.17897510438101</v>
      </c>
      <c r="Y360">
        <v>387.786887613418</v>
      </c>
      <c r="Z360">
        <v>122.618338343998</v>
      </c>
      <c r="AA360">
        <v>379.45125623552599</v>
      </c>
      <c r="AB360">
        <v>452.91293960451299</v>
      </c>
      <c r="AC360">
        <v>197.46468806180201</v>
      </c>
      <c r="AD360">
        <v>358.20067797952203</v>
      </c>
      <c r="AE360">
        <v>82.934779699484196</v>
      </c>
      <c r="AF360">
        <v>265.87617685794697</v>
      </c>
      <c r="AG360">
        <v>417.34160752807998</v>
      </c>
    </row>
    <row r="361" spans="1:33" x14ac:dyDescent="0.25">
      <c r="A361" s="1">
        <v>44412</v>
      </c>
      <c r="B361">
        <v>14955.265891105</v>
      </c>
      <c r="C361">
        <v>8320.5330093475004</v>
      </c>
      <c r="D361">
        <v>14119.392622670201</v>
      </c>
      <c r="E361">
        <v>14954.3839077431</v>
      </c>
      <c r="F361">
        <v>10741.795249045501</v>
      </c>
      <c r="G361">
        <v>9322.9594516149209</v>
      </c>
      <c r="H361">
        <v>23990.8850070966</v>
      </c>
      <c r="I361">
        <v>14748.9843486231</v>
      </c>
      <c r="J361">
        <v>924.19144906529698</v>
      </c>
      <c r="K361">
        <v>655.17845515260103</v>
      </c>
      <c r="L361">
        <v>416.31139698189901</v>
      </c>
      <c r="M361">
        <v>8245.08496361369</v>
      </c>
      <c r="N361">
        <v>2602.9517716075702</v>
      </c>
      <c r="O361">
        <v>393.689934767377</v>
      </c>
      <c r="P361">
        <v>954.94958906138197</v>
      </c>
      <c r="Q361">
        <v>6742.08381301599</v>
      </c>
      <c r="R361">
        <v>490.77257835185799</v>
      </c>
      <c r="S361">
        <v>245.15819215236399</v>
      </c>
      <c r="T361">
        <v>301.72643850013202</v>
      </c>
      <c r="U361">
        <v>113.053784651276</v>
      </c>
      <c r="V361">
        <v>294.34180938412101</v>
      </c>
      <c r="W361">
        <v>111.625067025883</v>
      </c>
      <c r="X361">
        <v>180.698990457267</v>
      </c>
      <c r="Y361">
        <v>398.881879032999</v>
      </c>
      <c r="Z361">
        <v>123.884789730111</v>
      </c>
      <c r="AA361">
        <v>377.32186903382598</v>
      </c>
      <c r="AB361">
        <v>451.29596112261697</v>
      </c>
      <c r="AC361">
        <v>213.73612370523699</v>
      </c>
      <c r="AD361">
        <v>361.72049193251001</v>
      </c>
      <c r="AE361">
        <v>76.168411181596099</v>
      </c>
      <c r="AF361">
        <v>259.80402154799202</v>
      </c>
      <c r="AG361">
        <v>415.07114763776701</v>
      </c>
    </row>
    <row r="362" spans="1:33" x14ac:dyDescent="0.25">
      <c r="A362" s="1">
        <v>44413</v>
      </c>
      <c r="B362">
        <v>14968.9683379655</v>
      </c>
      <c r="C362">
        <v>8206.20125350335</v>
      </c>
      <c r="D362">
        <v>14107.6420760806</v>
      </c>
      <c r="E362">
        <v>14919.199429460699</v>
      </c>
      <c r="F362">
        <v>10667.019064494099</v>
      </c>
      <c r="G362">
        <v>9199.5823254984607</v>
      </c>
      <c r="H362">
        <v>23496.324380018399</v>
      </c>
      <c r="I362">
        <v>14650.6453285608</v>
      </c>
      <c r="J362">
        <v>904.27999900503005</v>
      </c>
      <c r="K362">
        <v>640.06946807400004</v>
      </c>
      <c r="L362">
        <v>424.68760081872301</v>
      </c>
      <c r="M362">
        <v>8158.6427821143898</v>
      </c>
      <c r="N362">
        <v>2703.9682807633799</v>
      </c>
      <c r="O362">
        <v>399.88764797829498</v>
      </c>
      <c r="P362">
        <v>933.90068739782498</v>
      </c>
      <c r="Q362">
        <v>6726.0711175401002</v>
      </c>
      <c r="R362">
        <v>492.97124213204199</v>
      </c>
      <c r="S362">
        <v>243.94514706578801</v>
      </c>
      <c r="T362">
        <v>328.93623762399</v>
      </c>
      <c r="U362">
        <v>113.71739951115499</v>
      </c>
      <c r="V362">
        <v>299.76328658122299</v>
      </c>
      <c r="W362">
        <v>111.91247549379599</v>
      </c>
      <c r="X362">
        <v>185.445018875643</v>
      </c>
      <c r="Y362">
        <v>377.18574548915501</v>
      </c>
      <c r="Z362">
        <v>123.12888330963099</v>
      </c>
      <c r="AA362">
        <v>376.269928822552</v>
      </c>
      <c r="AB362">
        <v>443.81583365404998</v>
      </c>
      <c r="AC362">
        <v>223.35905197651999</v>
      </c>
      <c r="AD362">
        <v>363.82603236627102</v>
      </c>
      <c r="AE362">
        <v>80.234167763793806</v>
      </c>
      <c r="AF362">
        <v>255.31260682227099</v>
      </c>
      <c r="AG362">
        <v>414.81972486015798</v>
      </c>
    </row>
    <row r="363" spans="1:33" x14ac:dyDescent="0.25">
      <c r="A363" s="1">
        <v>44414</v>
      </c>
      <c r="B363">
        <v>14943.249491193101</v>
      </c>
      <c r="C363">
        <v>8096.5914316703902</v>
      </c>
      <c r="D363">
        <v>14032.198006416</v>
      </c>
      <c r="E363">
        <v>14843.011410188299</v>
      </c>
      <c r="F363">
        <v>10390.049163838599</v>
      </c>
      <c r="G363">
        <v>8899.9596645948095</v>
      </c>
      <c r="H363">
        <v>22238.3996849084</v>
      </c>
      <c r="I363">
        <v>14355.844137735299</v>
      </c>
      <c r="J363">
        <v>880.439062443902</v>
      </c>
      <c r="K363">
        <v>635.25506099361905</v>
      </c>
      <c r="L363">
        <v>414.28932092864898</v>
      </c>
      <c r="M363">
        <v>7733.7589002785999</v>
      </c>
      <c r="N363">
        <v>2375.1357864341999</v>
      </c>
      <c r="O363">
        <v>356.532158076874</v>
      </c>
      <c r="P363">
        <v>916.38110953888201</v>
      </c>
      <c r="Q363">
        <v>6266.9582373371204</v>
      </c>
      <c r="R363">
        <v>457.64604972900401</v>
      </c>
      <c r="S363">
        <v>242.47178570304499</v>
      </c>
      <c r="T363">
        <v>303.23765694514299</v>
      </c>
      <c r="U363">
        <v>116.213493158536</v>
      </c>
      <c r="V363">
        <v>290.48613096909799</v>
      </c>
      <c r="W363">
        <v>115.41221582299799</v>
      </c>
      <c r="X363">
        <v>179.86192530085</v>
      </c>
      <c r="Y363">
        <v>360.21173882371801</v>
      </c>
      <c r="Z363">
        <v>124.218738266858</v>
      </c>
      <c r="AA363">
        <v>376.37262946401501</v>
      </c>
      <c r="AB363">
        <v>431.97422121703698</v>
      </c>
      <c r="AC363">
        <v>228.367463627707</v>
      </c>
      <c r="AD363">
        <v>359.05678669960002</v>
      </c>
      <c r="AE363">
        <v>82.015239886623206</v>
      </c>
      <c r="AF363">
        <v>251.003983537843</v>
      </c>
      <c r="AG363">
        <v>415.36226149801502</v>
      </c>
    </row>
    <row r="364" spans="1:33" x14ac:dyDescent="0.25">
      <c r="A364" s="1">
        <v>44415</v>
      </c>
      <c r="B364">
        <v>14877.510914635301</v>
      </c>
      <c r="C364">
        <v>8005.5087093024604</v>
      </c>
      <c r="D364">
        <v>14029.095153807601</v>
      </c>
      <c r="E364">
        <v>14707.8296570931</v>
      </c>
      <c r="F364">
        <v>10546.1736653851</v>
      </c>
      <c r="G364">
        <v>9707.6286708366697</v>
      </c>
      <c r="H364">
        <v>22953.158996557599</v>
      </c>
      <c r="I364">
        <v>14026.014087620501</v>
      </c>
      <c r="J364">
        <v>861.84345962972202</v>
      </c>
      <c r="K364">
        <v>644.58821167112205</v>
      </c>
      <c r="L364">
        <v>409.04520438765297</v>
      </c>
      <c r="M364">
        <v>8260.6552317046699</v>
      </c>
      <c r="N364">
        <v>2504.7174750634199</v>
      </c>
      <c r="O364">
        <v>367.268459738709</v>
      </c>
      <c r="P364">
        <v>952.94863527586494</v>
      </c>
      <c r="Q364">
        <v>6700.4018665321501</v>
      </c>
      <c r="R364">
        <v>460.69322310506101</v>
      </c>
      <c r="S364">
        <v>240.04293247237601</v>
      </c>
      <c r="T364">
        <v>318.65314201131798</v>
      </c>
      <c r="U364">
        <v>118.19271311195401</v>
      </c>
      <c r="V364">
        <v>336.52649877880998</v>
      </c>
      <c r="W364">
        <v>120.118757806015</v>
      </c>
      <c r="X364">
        <v>207.88121443725399</v>
      </c>
      <c r="Y364">
        <v>380.41448838942301</v>
      </c>
      <c r="Z364">
        <v>126.034424372963</v>
      </c>
      <c r="AA364">
        <v>374.50623782841097</v>
      </c>
      <c r="AB364">
        <v>444.80365977757299</v>
      </c>
      <c r="AC364">
        <v>233.11967923289799</v>
      </c>
      <c r="AD364">
        <v>359.85873215744903</v>
      </c>
      <c r="AE364">
        <v>82.015148159507802</v>
      </c>
      <c r="AF364">
        <v>249.021225412603</v>
      </c>
      <c r="AG364">
        <v>413.25847614698301</v>
      </c>
    </row>
    <row r="365" spans="1:33" x14ac:dyDescent="0.25">
      <c r="A365" s="1">
        <v>44416</v>
      </c>
      <c r="B365">
        <v>14794.3392968996</v>
      </c>
      <c r="C365">
        <v>7929.9163846337296</v>
      </c>
      <c r="D365">
        <v>13992.519204983601</v>
      </c>
      <c r="E365">
        <v>14584.1575648626</v>
      </c>
      <c r="F365">
        <v>11197.3266858278</v>
      </c>
      <c r="G365">
        <v>10410.6547886555</v>
      </c>
      <c r="H365">
        <v>23625.024731288901</v>
      </c>
      <c r="I365">
        <v>14024.212104037701</v>
      </c>
      <c r="J365">
        <v>857.139951333206</v>
      </c>
      <c r="K365">
        <v>640.18412424830501</v>
      </c>
      <c r="L365">
        <v>418.89725801707198</v>
      </c>
      <c r="M365">
        <v>8816.1499437380808</v>
      </c>
      <c r="N365">
        <v>2738.0458677749298</v>
      </c>
      <c r="O365">
        <v>394.91523958310802</v>
      </c>
      <c r="P365">
        <v>1011.55331121721</v>
      </c>
      <c r="Q365">
        <v>7372.9331037543998</v>
      </c>
      <c r="R365">
        <v>489.66352831104501</v>
      </c>
      <c r="S365">
        <v>237.03694307459699</v>
      </c>
      <c r="T365">
        <v>377.147621222635</v>
      </c>
      <c r="U365">
        <v>121.57367323299999</v>
      </c>
      <c r="V365">
        <v>388.38052489678398</v>
      </c>
      <c r="W365">
        <v>121.69609095227899</v>
      </c>
      <c r="X365">
        <v>236.75738622046899</v>
      </c>
      <c r="Y365">
        <v>381.07271299426998</v>
      </c>
      <c r="Z365">
        <v>126.21946415716</v>
      </c>
      <c r="AA365">
        <v>371.835543354381</v>
      </c>
      <c r="AB365">
        <v>443.79610553044802</v>
      </c>
      <c r="AC365">
        <v>235.78744352077001</v>
      </c>
      <c r="AD365">
        <v>368.01026820778401</v>
      </c>
      <c r="AE365">
        <v>92.989461949916304</v>
      </c>
      <c r="AF365">
        <v>249.56857453593301</v>
      </c>
      <c r="AG365">
        <v>411.03568067860198</v>
      </c>
    </row>
    <row r="366" spans="1:33" x14ac:dyDescent="0.25">
      <c r="A366" s="1">
        <v>44417</v>
      </c>
      <c r="B366">
        <v>14696.763077424701</v>
      </c>
      <c r="C366">
        <v>7891.5260374986701</v>
      </c>
      <c r="D366">
        <v>13935.9670018127</v>
      </c>
      <c r="E366">
        <v>14562.155965613199</v>
      </c>
      <c r="F366">
        <v>11480.6460751257</v>
      </c>
      <c r="G366">
        <v>10381.668980000501</v>
      </c>
      <c r="H366">
        <v>23399.378861132798</v>
      </c>
      <c r="I366">
        <v>14142.5214688466</v>
      </c>
      <c r="J366">
        <v>857.31685618769802</v>
      </c>
      <c r="K366">
        <v>638.13438219223599</v>
      </c>
      <c r="L366">
        <v>419.21980463902202</v>
      </c>
      <c r="M366">
        <v>8846.5622225069201</v>
      </c>
      <c r="N366">
        <v>2805.1516155336599</v>
      </c>
      <c r="O366">
        <v>386.80829611745003</v>
      </c>
      <c r="P366">
        <v>1025.1031974249099</v>
      </c>
      <c r="Q366">
        <v>7397.1166278501296</v>
      </c>
      <c r="R366">
        <v>482.407247992218</v>
      </c>
      <c r="S366">
        <v>234.20490853499999</v>
      </c>
      <c r="T366">
        <v>374.854568512485</v>
      </c>
      <c r="U366">
        <v>121.38809417037901</v>
      </c>
      <c r="V366">
        <v>382.11856495921899</v>
      </c>
      <c r="W366">
        <v>117.655695635494</v>
      </c>
      <c r="X366">
        <v>230.096053130109</v>
      </c>
      <c r="Y366">
        <v>360.99513848081199</v>
      </c>
      <c r="Z366">
        <v>125.255606282434</v>
      </c>
      <c r="AA366">
        <v>371.568275510099</v>
      </c>
      <c r="AB366">
        <v>431.88657342993798</v>
      </c>
      <c r="AC366">
        <v>234.41347249026401</v>
      </c>
      <c r="AD366">
        <v>366.018262039869</v>
      </c>
      <c r="AE366">
        <v>93.706926811946502</v>
      </c>
      <c r="AF366">
        <v>252.702823416906</v>
      </c>
      <c r="AG366">
        <v>411.37363121403803</v>
      </c>
    </row>
    <row r="367" spans="1:33" x14ac:dyDescent="0.25">
      <c r="A367" s="1">
        <v>44418</v>
      </c>
      <c r="B367">
        <v>14622.2433765677</v>
      </c>
      <c r="C367">
        <v>7943.7318597890899</v>
      </c>
      <c r="D367">
        <v>13908.255880168401</v>
      </c>
      <c r="E367">
        <v>14570.4572378618</v>
      </c>
      <c r="F367">
        <v>11412.8809591965</v>
      </c>
      <c r="G367">
        <v>10231.4988713279</v>
      </c>
      <c r="H367">
        <v>23063.646013665999</v>
      </c>
      <c r="I367">
        <v>14209.9662764571</v>
      </c>
      <c r="J367">
        <v>860.03241907389895</v>
      </c>
      <c r="K367">
        <v>639.48262145413696</v>
      </c>
      <c r="L367">
        <v>414.32729358223003</v>
      </c>
      <c r="M367">
        <v>8669.2030920819598</v>
      </c>
      <c r="N367">
        <v>2736.8837050853299</v>
      </c>
      <c r="O367">
        <v>380.391570953273</v>
      </c>
      <c r="P367">
        <v>1006.9861129058</v>
      </c>
      <c r="Q367">
        <v>7245.5998184461896</v>
      </c>
      <c r="R367">
        <v>474.36381316420602</v>
      </c>
      <c r="S367">
        <v>231.64660625139999</v>
      </c>
      <c r="T367">
        <v>360.95962899699902</v>
      </c>
      <c r="U367">
        <v>117.707533303133</v>
      </c>
      <c r="V367">
        <v>367.38285224738303</v>
      </c>
      <c r="W367">
        <v>116.005722634655</v>
      </c>
      <c r="X367">
        <v>222.916490654321</v>
      </c>
      <c r="Y367">
        <v>355.18649437747899</v>
      </c>
      <c r="Z367">
        <v>124.713983127413</v>
      </c>
      <c r="AA367">
        <v>371.02998985322898</v>
      </c>
      <c r="AB367">
        <v>425.18329221179698</v>
      </c>
      <c r="AC367">
        <v>229.27254981423999</v>
      </c>
      <c r="AD367">
        <v>362.35608371528701</v>
      </c>
      <c r="AE367">
        <v>82.015205755604697</v>
      </c>
      <c r="AF367">
        <v>257.64439240696203</v>
      </c>
      <c r="AG367">
        <v>411.88440176026302</v>
      </c>
    </row>
    <row r="368" spans="1:33" x14ac:dyDescent="0.25">
      <c r="A368" s="1">
        <v>44419</v>
      </c>
      <c r="B368">
        <v>14582.1637046837</v>
      </c>
      <c r="C368">
        <v>8020.7728777251396</v>
      </c>
      <c r="D368">
        <v>13898.8186023034</v>
      </c>
      <c r="E368">
        <v>14560.084886462701</v>
      </c>
      <c r="F368">
        <v>11192.803635013601</v>
      </c>
      <c r="G368">
        <v>10153.283393436001</v>
      </c>
      <c r="H368">
        <v>22811.809835411801</v>
      </c>
      <c r="I368">
        <v>14323.748579506901</v>
      </c>
      <c r="J368">
        <v>860.468135311678</v>
      </c>
      <c r="K368">
        <v>634.16391460265299</v>
      </c>
      <c r="L368">
        <v>408.15585800129901</v>
      </c>
      <c r="M368">
        <v>8602.8922503726699</v>
      </c>
      <c r="N368">
        <v>2601.5582601876399</v>
      </c>
      <c r="O368">
        <v>376.90971943190902</v>
      </c>
      <c r="P368">
        <v>974.05637217163405</v>
      </c>
      <c r="Q368">
        <v>7167.6899934258199</v>
      </c>
      <c r="R368">
        <v>465.07984974232301</v>
      </c>
      <c r="S368">
        <v>229.24096077234199</v>
      </c>
      <c r="T368">
        <v>338.46312214072401</v>
      </c>
      <c r="U368">
        <v>117.702114289317</v>
      </c>
      <c r="V368">
        <v>344.755104239812</v>
      </c>
      <c r="W368">
        <v>117.64799563532701</v>
      </c>
      <c r="X368">
        <v>209.502901245901</v>
      </c>
      <c r="Y368">
        <v>354.63661209880303</v>
      </c>
      <c r="Z368">
        <v>124.75651599922401</v>
      </c>
      <c r="AA368">
        <v>369.70855000584902</v>
      </c>
      <c r="AB368">
        <v>423.227457918227</v>
      </c>
      <c r="AC368">
        <v>218.76667685787601</v>
      </c>
      <c r="AD368">
        <v>357.54481087489199</v>
      </c>
      <c r="AE368">
        <v>77.572808470982096</v>
      </c>
      <c r="AF368">
        <v>262.59593250347399</v>
      </c>
      <c r="AG368">
        <v>410.83455077554402</v>
      </c>
    </row>
    <row r="369" spans="1:33" x14ac:dyDescent="0.25">
      <c r="A369" s="1">
        <v>44420</v>
      </c>
      <c r="B369">
        <v>14558.116665977501</v>
      </c>
      <c r="C369">
        <v>8072.5135104481697</v>
      </c>
      <c r="D369">
        <v>13920.5051171709</v>
      </c>
      <c r="E369">
        <v>14554.7772207202</v>
      </c>
      <c r="F369">
        <v>10861.9722059756</v>
      </c>
      <c r="G369">
        <v>9807.6614350977597</v>
      </c>
      <c r="H369">
        <v>22670.616785418399</v>
      </c>
      <c r="I369">
        <v>14343.9811715908</v>
      </c>
      <c r="J369">
        <v>856.22363864960698</v>
      </c>
      <c r="K369">
        <v>621.98510262692298</v>
      </c>
      <c r="L369">
        <v>403.61017171607102</v>
      </c>
      <c r="M369">
        <v>8422.3242266031102</v>
      </c>
      <c r="N369">
        <v>2505.6773623355998</v>
      </c>
      <c r="O369">
        <v>372.85608385376599</v>
      </c>
      <c r="P369">
        <v>948.21288130057303</v>
      </c>
      <c r="Q369">
        <v>6914.16087000277</v>
      </c>
      <c r="R369">
        <v>458.33730675967797</v>
      </c>
      <c r="S369">
        <v>227.32226974951999</v>
      </c>
      <c r="T369">
        <v>315.67616218854101</v>
      </c>
      <c r="U369">
        <v>119.13979983484199</v>
      </c>
      <c r="V369">
        <v>321.46539350194303</v>
      </c>
      <c r="W369">
        <v>117.14261275819101</v>
      </c>
      <c r="X369">
        <v>193.813308550583</v>
      </c>
      <c r="Y369">
        <v>354.41885909952202</v>
      </c>
      <c r="Z369">
        <v>125.65985647066999</v>
      </c>
      <c r="AA369">
        <v>368.32947571575801</v>
      </c>
      <c r="AB369">
        <v>421.07791316658103</v>
      </c>
      <c r="AC369">
        <v>197.17729788845801</v>
      </c>
      <c r="AD369">
        <v>350.93797598462601</v>
      </c>
      <c r="AE369">
        <v>76.720110091703802</v>
      </c>
      <c r="AF369">
        <v>266.88670911508302</v>
      </c>
      <c r="AG369">
        <v>411.44570860651498</v>
      </c>
    </row>
    <row r="370" spans="1:33" x14ac:dyDescent="0.25">
      <c r="A370" s="1">
        <v>44421</v>
      </c>
      <c r="B370">
        <v>14543.402847330901</v>
      </c>
      <c r="C370">
        <v>8102.2681215537395</v>
      </c>
      <c r="D370">
        <v>13926.4889866796</v>
      </c>
      <c r="E370">
        <v>14564.441132677999</v>
      </c>
      <c r="F370">
        <v>10360.3808297204</v>
      </c>
      <c r="G370">
        <v>9379.3043056008592</v>
      </c>
      <c r="H370">
        <v>22229.241098656999</v>
      </c>
      <c r="I370">
        <v>14334.619708169301</v>
      </c>
      <c r="J370">
        <v>843.70666121979798</v>
      </c>
      <c r="K370">
        <v>615.32447658197896</v>
      </c>
      <c r="L370">
        <v>394.49499993324298</v>
      </c>
      <c r="M370">
        <v>8054.4851606199099</v>
      </c>
      <c r="N370">
        <v>2308.6760723615498</v>
      </c>
      <c r="O370">
        <v>346.56153581665399</v>
      </c>
      <c r="P370">
        <v>906.68702914975995</v>
      </c>
      <c r="Q370">
        <v>6452.1258816192003</v>
      </c>
      <c r="R370">
        <v>433.71423034200302</v>
      </c>
      <c r="S370">
        <v>226.264880821753</v>
      </c>
      <c r="T370">
        <v>291.75542214798998</v>
      </c>
      <c r="U370">
        <v>116.804243634637</v>
      </c>
      <c r="V370">
        <v>286.28971749501801</v>
      </c>
      <c r="W370">
        <v>114.585027559765</v>
      </c>
      <c r="X370">
        <v>172.73080015503899</v>
      </c>
      <c r="Y370">
        <v>345.99586013872698</v>
      </c>
      <c r="Z370">
        <v>126.76661312765999</v>
      </c>
      <c r="AA370">
        <v>367.31819892889303</v>
      </c>
      <c r="AB370">
        <v>416.22963295882499</v>
      </c>
      <c r="AC370">
        <v>192.45631087622201</v>
      </c>
      <c r="AD370">
        <v>343.39153248863198</v>
      </c>
      <c r="AE370">
        <v>77.778181472364196</v>
      </c>
      <c r="AF370">
        <v>269.76629974425498</v>
      </c>
      <c r="AG370">
        <v>413.01814798414</v>
      </c>
    </row>
    <row r="371" spans="1:33" x14ac:dyDescent="0.25">
      <c r="A371" s="1">
        <v>44422</v>
      </c>
      <c r="B371">
        <v>14541.8118888806</v>
      </c>
      <c r="C371">
        <v>8114.2403896421101</v>
      </c>
      <c r="D371">
        <v>13932.013432292501</v>
      </c>
      <c r="E371">
        <v>14569.784423932701</v>
      </c>
      <c r="F371">
        <v>9966.3562398342001</v>
      </c>
      <c r="G371">
        <v>9305.8387248366907</v>
      </c>
      <c r="H371">
        <v>22200.246524238599</v>
      </c>
      <c r="I371">
        <v>14263.1549470069</v>
      </c>
      <c r="J371">
        <v>833.37484564530405</v>
      </c>
      <c r="K371">
        <v>612.03795037083898</v>
      </c>
      <c r="L371">
        <v>384.394949991489</v>
      </c>
      <c r="M371">
        <v>7916.0706698208896</v>
      </c>
      <c r="N371">
        <v>2102.78747786038</v>
      </c>
      <c r="O371">
        <v>327.09770893154098</v>
      </c>
      <c r="P371">
        <v>877.00919409848495</v>
      </c>
      <c r="Q371">
        <v>6163.5561315417099</v>
      </c>
      <c r="R371">
        <v>417.56333694013</v>
      </c>
      <c r="S371">
        <v>225.302946461087</v>
      </c>
      <c r="T371">
        <v>281.31452802810901</v>
      </c>
      <c r="U371">
        <v>112.045578853569</v>
      </c>
      <c r="V371">
        <v>270.97360619026898</v>
      </c>
      <c r="W371">
        <v>111.075000892955</v>
      </c>
      <c r="X371">
        <v>168.11673550064299</v>
      </c>
      <c r="Y371">
        <v>345.94601157756398</v>
      </c>
      <c r="Z371">
        <v>128.10728754380099</v>
      </c>
      <c r="AA371">
        <v>365.16588411971298</v>
      </c>
      <c r="AB371">
        <v>423.39601366364798</v>
      </c>
      <c r="AC371">
        <v>187.42109756950299</v>
      </c>
      <c r="AD371">
        <v>337.956705135687</v>
      </c>
      <c r="AE371">
        <v>84.486264176089904</v>
      </c>
      <c r="AF371">
        <v>267.90757411521798</v>
      </c>
      <c r="AG371">
        <v>413.29186968672099</v>
      </c>
    </row>
    <row r="372" spans="1:33" x14ac:dyDescent="0.25">
      <c r="A372" s="1">
        <v>44423</v>
      </c>
      <c r="B372">
        <v>14557.9030873384</v>
      </c>
      <c r="C372">
        <v>8084.8397305775597</v>
      </c>
      <c r="D372">
        <v>13982.5304015126</v>
      </c>
      <c r="E372">
        <v>14565.706081067499</v>
      </c>
      <c r="F372">
        <v>10142.4318687221</v>
      </c>
      <c r="G372">
        <v>9728.3708369411106</v>
      </c>
      <c r="H372">
        <v>22829.233984230999</v>
      </c>
      <c r="I372">
        <v>14211.7186490982</v>
      </c>
      <c r="J372">
        <v>835.92948960541196</v>
      </c>
      <c r="K372">
        <v>611.636667164541</v>
      </c>
      <c r="L372">
        <v>380.99026556288499</v>
      </c>
      <c r="M372">
        <v>8256.7619367814696</v>
      </c>
      <c r="N372">
        <v>2285.6343313007801</v>
      </c>
      <c r="O372">
        <v>342.46205827025602</v>
      </c>
      <c r="P372">
        <v>893.53041126470703</v>
      </c>
      <c r="Q372">
        <v>6496.13077028507</v>
      </c>
      <c r="R372">
        <v>423.73587750208901</v>
      </c>
      <c r="S372">
        <v>224.506596867501</v>
      </c>
      <c r="T372">
        <v>296.384727198012</v>
      </c>
      <c r="U372">
        <v>115.90645324485401</v>
      </c>
      <c r="V372">
        <v>294.233252545016</v>
      </c>
      <c r="W372">
        <v>130.086323007917</v>
      </c>
      <c r="X372">
        <v>180.40253444549799</v>
      </c>
      <c r="Y372">
        <v>363.65510663972299</v>
      </c>
      <c r="Z372">
        <v>128.48927423907301</v>
      </c>
      <c r="AA372">
        <v>361.78609612980199</v>
      </c>
      <c r="AB372">
        <v>442.882836712391</v>
      </c>
      <c r="AC372">
        <v>182.882440986555</v>
      </c>
      <c r="AD372">
        <v>336.99687002207401</v>
      </c>
      <c r="AE372">
        <v>120.638321021499</v>
      </c>
      <c r="AF372">
        <v>260.90799152111401</v>
      </c>
      <c r="AG372">
        <v>408.661620563952</v>
      </c>
    </row>
    <row r="373" spans="1:33" x14ac:dyDescent="0.25">
      <c r="A373" s="1">
        <v>44424</v>
      </c>
      <c r="B373">
        <v>14581.383321473901</v>
      </c>
      <c r="C373">
        <v>7999.0436474610697</v>
      </c>
      <c r="D373">
        <v>13993.9692796377</v>
      </c>
      <c r="E373">
        <v>14570.722508844299</v>
      </c>
      <c r="F373">
        <v>10491.98410268</v>
      </c>
      <c r="G373">
        <v>9975.8468875015406</v>
      </c>
      <c r="H373">
        <v>23057.2527834926</v>
      </c>
      <c r="I373">
        <v>14198.844461615399</v>
      </c>
      <c r="J373">
        <v>832.49857050731896</v>
      </c>
      <c r="K373">
        <v>611.95391751776799</v>
      </c>
      <c r="L373">
        <v>381.971175737419</v>
      </c>
      <c r="M373">
        <v>8582.9156473913008</v>
      </c>
      <c r="N373">
        <v>2422.1268418719701</v>
      </c>
      <c r="O373">
        <v>351.36313160856702</v>
      </c>
      <c r="P373">
        <v>900.86048742465096</v>
      </c>
      <c r="Q373">
        <v>6759.2186462284799</v>
      </c>
      <c r="R373">
        <v>435.803199993438</v>
      </c>
      <c r="S373">
        <v>224.06582349321499</v>
      </c>
      <c r="T373">
        <v>317.02905173324899</v>
      </c>
      <c r="U373">
        <v>127.72481209227399</v>
      </c>
      <c r="V373">
        <v>302.07535289734801</v>
      </c>
      <c r="W373">
        <v>124.99490117683</v>
      </c>
      <c r="X373">
        <v>182.31425462728899</v>
      </c>
      <c r="Y373">
        <v>380.58252878466999</v>
      </c>
      <c r="Z373">
        <v>127.95962760718901</v>
      </c>
      <c r="AA373">
        <v>359.581325845847</v>
      </c>
      <c r="AB373">
        <v>449.89457874799001</v>
      </c>
      <c r="AC373">
        <v>182.251815761323</v>
      </c>
      <c r="AD373">
        <v>336.91143127422401</v>
      </c>
      <c r="AE373">
        <v>129.81818570545599</v>
      </c>
      <c r="AF373">
        <v>252.964433029248</v>
      </c>
      <c r="AG373">
        <v>404.07935615493102</v>
      </c>
    </row>
    <row r="374" spans="1:33" x14ac:dyDescent="0.25">
      <c r="A374" s="1">
        <v>44425</v>
      </c>
      <c r="B374">
        <v>14603.667688273399</v>
      </c>
      <c r="C374">
        <v>7957.0526436524196</v>
      </c>
      <c r="D374">
        <v>14016.6211213223</v>
      </c>
      <c r="E374">
        <v>14557.5179978301</v>
      </c>
      <c r="F374">
        <v>10868.4696036572</v>
      </c>
      <c r="G374">
        <v>10292.878446771099</v>
      </c>
      <c r="H374">
        <v>23410.573034382101</v>
      </c>
      <c r="I374">
        <v>14221.531132616699</v>
      </c>
      <c r="J374">
        <v>834.41469281968602</v>
      </c>
      <c r="K374">
        <v>619.46281065303003</v>
      </c>
      <c r="L374">
        <v>388.48890782076302</v>
      </c>
      <c r="M374">
        <v>8949.3823353693206</v>
      </c>
      <c r="N374">
        <v>2677.9005994443</v>
      </c>
      <c r="O374">
        <v>360.48428819073501</v>
      </c>
      <c r="P374">
        <v>943.31442666544103</v>
      </c>
      <c r="Q374">
        <v>7207.4714244404504</v>
      </c>
      <c r="R374">
        <v>451.37441701781501</v>
      </c>
      <c r="S374">
        <v>223.97800455137801</v>
      </c>
      <c r="T374">
        <v>334.60491248825701</v>
      </c>
      <c r="U374">
        <v>124.768765416485</v>
      </c>
      <c r="V374">
        <v>321.64519022757298</v>
      </c>
      <c r="W374">
        <v>121.921036178318</v>
      </c>
      <c r="X374">
        <v>194.34018021774199</v>
      </c>
      <c r="Y374">
        <v>394.682130066664</v>
      </c>
      <c r="Z374">
        <v>127.517645863735</v>
      </c>
      <c r="AA374">
        <v>357.86260273791299</v>
      </c>
      <c r="AB374">
        <v>445.99079421189299</v>
      </c>
      <c r="AC374">
        <v>185.57357894226999</v>
      </c>
      <c r="AD374">
        <v>339.88413524298801</v>
      </c>
      <c r="AE374">
        <v>144.31183675134099</v>
      </c>
      <c r="AF374">
        <v>247.07365348881501</v>
      </c>
      <c r="AG374">
        <v>399.37766648612399</v>
      </c>
    </row>
    <row r="375" spans="1:33" x14ac:dyDescent="0.25">
      <c r="A375" s="1">
        <v>44426</v>
      </c>
      <c r="B375">
        <v>14603.350647875999</v>
      </c>
      <c r="C375">
        <v>7977.9291271291004</v>
      </c>
      <c r="D375">
        <v>14009.252971235701</v>
      </c>
      <c r="E375">
        <v>14545.9635247802</v>
      </c>
      <c r="F375">
        <v>11290.001669748801</v>
      </c>
      <c r="G375">
        <v>10430.298326710599</v>
      </c>
      <c r="H375">
        <v>23429.215552603699</v>
      </c>
      <c r="I375">
        <v>14244.213677916199</v>
      </c>
      <c r="J375">
        <v>834.28173539802197</v>
      </c>
      <c r="K375">
        <v>623.52671622453204</v>
      </c>
      <c r="L375">
        <v>395.22813978085702</v>
      </c>
      <c r="M375">
        <v>9013.8642843335201</v>
      </c>
      <c r="N375">
        <v>2763.4118437470102</v>
      </c>
      <c r="O375">
        <v>363.297813256052</v>
      </c>
      <c r="P375">
        <v>976.61071883080297</v>
      </c>
      <c r="Q375">
        <v>7412.01267880059</v>
      </c>
      <c r="R375">
        <v>460.822737138854</v>
      </c>
      <c r="S375">
        <v>223.69763310847301</v>
      </c>
      <c r="T375">
        <v>353.704695569394</v>
      </c>
      <c r="U375">
        <v>121.71780480649799</v>
      </c>
      <c r="V375">
        <v>338.85942016853801</v>
      </c>
      <c r="W375">
        <v>122.300802047259</v>
      </c>
      <c r="X375">
        <v>209.77726690627199</v>
      </c>
      <c r="Y375">
        <v>399.24184377463598</v>
      </c>
      <c r="Z375">
        <v>126.29307545447899</v>
      </c>
      <c r="AA375">
        <v>357.177290185375</v>
      </c>
      <c r="AB375">
        <v>442.68071892335098</v>
      </c>
      <c r="AC375">
        <v>185.77541738689899</v>
      </c>
      <c r="AD375">
        <v>344.28847771810001</v>
      </c>
      <c r="AE375">
        <v>205.516581855467</v>
      </c>
      <c r="AF375">
        <v>243.07019549161001</v>
      </c>
      <c r="AG375">
        <v>395.45243773899699</v>
      </c>
    </row>
    <row r="376" spans="1:33" x14ac:dyDescent="0.25">
      <c r="A376" s="1">
        <v>44427</v>
      </c>
      <c r="B376">
        <v>14593.6192367489</v>
      </c>
      <c r="C376">
        <v>8120.9803597568798</v>
      </c>
      <c r="D376">
        <v>13989.631337295499</v>
      </c>
      <c r="E376">
        <v>14551.9658785299</v>
      </c>
      <c r="F376">
        <v>11664.5528822135</v>
      </c>
      <c r="G376">
        <v>10608.644089122699</v>
      </c>
      <c r="H376">
        <v>23643.712632213399</v>
      </c>
      <c r="I376">
        <v>14335.9492538918</v>
      </c>
      <c r="J376">
        <v>841.605911154973</v>
      </c>
      <c r="K376">
        <v>625.59650087059094</v>
      </c>
      <c r="L376">
        <v>403.444801008767</v>
      </c>
      <c r="M376">
        <v>9180.1508961803793</v>
      </c>
      <c r="N376">
        <v>2917.6027654020299</v>
      </c>
      <c r="O376">
        <v>379.587167468752</v>
      </c>
      <c r="P376">
        <v>994.82556378005597</v>
      </c>
      <c r="Q376">
        <v>7639.0832483777203</v>
      </c>
      <c r="R376">
        <v>478.705886470488</v>
      </c>
      <c r="S376">
        <v>222.97069185763701</v>
      </c>
      <c r="T376">
        <v>398.45793972010301</v>
      </c>
      <c r="U376">
        <v>122.34917197502701</v>
      </c>
      <c r="V376">
        <v>366.58715596832599</v>
      </c>
      <c r="W376">
        <v>119.734811327423</v>
      </c>
      <c r="X376">
        <v>221.234379681072</v>
      </c>
      <c r="Y376">
        <v>405.57336117352202</v>
      </c>
      <c r="Z376">
        <v>124.479258025701</v>
      </c>
      <c r="AA376">
        <v>355.90251200740101</v>
      </c>
      <c r="AB376">
        <v>443.43406631842902</v>
      </c>
      <c r="AC376">
        <v>189.11768533932499</v>
      </c>
      <c r="AD376">
        <v>352.41522409242401</v>
      </c>
      <c r="AE376">
        <v>211.75889558694101</v>
      </c>
      <c r="AF376">
        <v>240.811645817059</v>
      </c>
      <c r="AG376">
        <v>392.94485174482901</v>
      </c>
    </row>
    <row r="377" spans="1:33" x14ac:dyDescent="0.25">
      <c r="A377" s="1">
        <v>44428</v>
      </c>
      <c r="B377">
        <v>14579.455592365501</v>
      </c>
      <c r="C377">
        <v>8342.1742984864504</v>
      </c>
      <c r="D377">
        <v>13980.1802626934</v>
      </c>
      <c r="E377">
        <v>14587.0063699276</v>
      </c>
      <c r="F377">
        <v>11879.462086641999</v>
      </c>
      <c r="G377">
        <v>10646.0761377788</v>
      </c>
      <c r="H377">
        <v>23644.167334604801</v>
      </c>
      <c r="I377">
        <v>14478.192084501999</v>
      </c>
      <c r="J377">
        <v>842.440789843159</v>
      </c>
      <c r="K377">
        <v>618.96686836650304</v>
      </c>
      <c r="L377">
        <v>404.88244647902002</v>
      </c>
      <c r="M377">
        <v>9162.6990831953899</v>
      </c>
      <c r="N377">
        <v>2986.5964926094698</v>
      </c>
      <c r="O377">
        <v>379.32296108958798</v>
      </c>
      <c r="P377">
        <v>1031.8157007206701</v>
      </c>
      <c r="Q377">
        <v>7693.8078008620396</v>
      </c>
      <c r="R377">
        <v>475.289868224938</v>
      </c>
      <c r="S377">
        <v>221.77163468874301</v>
      </c>
      <c r="T377">
        <v>412.58418906708499</v>
      </c>
      <c r="U377">
        <v>120.88271178598301</v>
      </c>
      <c r="V377">
        <v>375.22932557091798</v>
      </c>
      <c r="W377">
        <v>121.681363872921</v>
      </c>
      <c r="X377">
        <v>226.84919033943501</v>
      </c>
      <c r="Y377">
        <v>410.05435231249402</v>
      </c>
      <c r="Z377">
        <v>123.61052714491601</v>
      </c>
      <c r="AA377">
        <v>353.87727995442401</v>
      </c>
      <c r="AB377">
        <v>442.83134462379701</v>
      </c>
      <c r="AC377">
        <v>189.03771041283699</v>
      </c>
      <c r="AD377">
        <v>354.44168030782799</v>
      </c>
      <c r="AE377">
        <v>238.62432678501099</v>
      </c>
      <c r="AF377">
        <v>239.18491866132999</v>
      </c>
      <c r="AG377">
        <v>391.196470074594</v>
      </c>
    </row>
    <row r="378" spans="1:33" x14ac:dyDescent="0.25">
      <c r="A378" s="1">
        <v>44429</v>
      </c>
      <c r="B378">
        <v>14586.396162811199</v>
      </c>
      <c r="C378">
        <v>8463.9429598137795</v>
      </c>
      <c r="D378">
        <v>14018.084043985</v>
      </c>
      <c r="E378">
        <v>14664.8845771945</v>
      </c>
      <c r="F378">
        <v>12030.3852527454</v>
      </c>
      <c r="G378">
        <v>10827.4569921124</v>
      </c>
      <c r="H378">
        <v>23742.2086734283</v>
      </c>
      <c r="I378">
        <v>14611.283091523799</v>
      </c>
      <c r="J378">
        <v>853.29379627409605</v>
      </c>
      <c r="K378">
        <v>621.38724883927205</v>
      </c>
      <c r="L378">
        <v>412.03982581598899</v>
      </c>
      <c r="M378">
        <v>9292.1360415442705</v>
      </c>
      <c r="N378">
        <v>3093.8864494580398</v>
      </c>
      <c r="O378">
        <v>387.36636031325202</v>
      </c>
      <c r="P378">
        <v>1060.85809547092</v>
      </c>
      <c r="Q378">
        <v>7858.5269664551797</v>
      </c>
      <c r="R378">
        <v>486.74101651516298</v>
      </c>
      <c r="S378">
        <v>220.67764928681001</v>
      </c>
      <c r="T378">
        <v>433.55066157516899</v>
      </c>
      <c r="U378">
        <v>127.18219929535</v>
      </c>
      <c r="V378">
        <v>410.02744900067898</v>
      </c>
      <c r="W378">
        <v>133.61083872922799</v>
      </c>
      <c r="X378">
        <v>244.239464908011</v>
      </c>
      <c r="Y378">
        <v>415.16752280230003</v>
      </c>
      <c r="Z378">
        <v>126.48722357568199</v>
      </c>
      <c r="AA378">
        <v>350.89117212448002</v>
      </c>
      <c r="AB378">
        <v>442.774351846299</v>
      </c>
      <c r="AC378">
        <v>189.75533619772199</v>
      </c>
      <c r="AD378">
        <v>359.709632320026</v>
      </c>
      <c r="AE378">
        <v>236.39485402629501</v>
      </c>
      <c r="AF378">
        <v>238.934559191782</v>
      </c>
      <c r="AG378">
        <v>389.06935205544403</v>
      </c>
    </row>
    <row r="379" spans="1:33" x14ac:dyDescent="0.25">
      <c r="A379" s="1">
        <v>44430</v>
      </c>
      <c r="B379">
        <v>14611.0227673627</v>
      </c>
      <c r="C379">
        <v>8586.4859350165407</v>
      </c>
      <c r="D379">
        <v>14054.997551635101</v>
      </c>
      <c r="E379">
        <v>14742.7818370404</v>
      </c>
      <c r="F379">
        <v>11936.4609971885</v>
      </c>
      <c r="G379">
        <v>10687.3136958056</v>
      </c>
      <c r="H379">
        <v>23400.863362349799</v>
      </c>
      <c r="I379">
        <v>14748.0812578146</v>
      </c>
      <c r="J379">
        <v>857.10065918806401</v>
      </c>
      <c r="K379">
        <v>602.89284329627299</v>
      </c>
      <c r="L379">
        <v>410.02350409770798</v>
      </c>
      <c r="M379">
        <v>9175.3606833874801</v>
      </c>
      <c r="N379">
        <v>3027.9764952540099</v>
      </c>
      <c r="O379">
        <v>375.08527810602698</v>
      </c>
      <c r="P379">
        <v>1072.2100849449901</v>
      </c>
      <c r="Q379">
        <v>7669.46672186255</v>
      </c>
      <c r="R379">
        <v>475.62313601436301</v>
      </c>
      <c r="S379">
        <v>219.99281893601099</v>
      </c>
      <c r="T379">
        <v>405.27882521907298</v>
      </c>
      <c r="U379">
        <v>136.65936738071099</v>
      </c>
      <c r="V379">
        <v>390.48630105160498</v>
      </c>
      <c r="W379">
        <v>140.85674507809799</v>
      </c>
      <c r="X379">
        <v>229.175388082815</v>
      </c>
      <c r="Y379">
        <v>404.38922191447699</v>
      </c>
      <c r="Z379">
        <v>128.09786742442901</v>
      </c>
      <c r="AA379">
        <v>348.20465615722401</v>
      </c>
      <c r="AB379">
        <v>437.046261530685</v>
      </c>
      <c r="AC379">
        <v>192.47111298837299</v>
      </c>
      <c r="AD379">
        <v>359.00370552301501</v>
      </c>
      <c r="AE379">
        <v>245.46981849250099</v>
      </c>
      <c r="AF379">
        <v>237.77410428120501</v>
      </c>
      <c r="AG379">
        <v>386.55515500484398</v>
      </c>
    </row>
    <row r="380" spans="1:33" x14ac:dyDescent="0.25">
      <c r="A380" s="1">
        <v>44431</v>
      </c>
      <c r="B380">
        <v>14652.4167544626</v>
      </c>
      <c r="C380">
        <v>8680.1846600934605</v>
      </c>
      <c r="D380">
        <v>14107.922675108701</v>
      </c>
      <c r="E380">
        <v>14789.992456257</v>
      </c>
      <c r="F380">
        <v>11730.009543349001</v>
      </c>
      <c r="G380">
        <v>10607.465243775299</v>
      </c>
      <c r="H380">
        <v>23382.327937276699</v>
      </c>
      <c r="I380">
        <v>14789.2668504374</v>
      </c>
      <c r="J380">
        <v>866.12050569496205</v>
      </c>
      <c r="K380">
        <v>611.722741510432</v>
      </c>
      <c r="L380">
        <v>405.74767262112198</v>
      </c>
      <c r="M380">
        <v>9043.4074867548807</v>
      </c>
      <c r="N380">
        <v>2891.2298216211998</v>
      </c>
      <c r="O380">
        <v>374.73444875546602</v>
      </c>
      <c r="P380">
        <v>1054.3420677609899</v>
      </c>
      <c r="Q380">
        <v>7544.7924011319101</v>
      </c>
      <c r="R380">
        <v>471.112725796333</v>
      </c>
      <c r="S380">
        <v>219.811077207436</v>
      </c>
      <c r="T380">
        <v>372.81663780711199</v>
      </c>
      <c r="U380">
        <v>141.36241429256</v>
      </c>
      <c r="V380">
        <v>369.59150366064199</v>
      </c>
      <c r="W380">
        <v>142.94640531974201</v>
      </c>
      <c r="X380">
        <v>219.75363450149499</v>
      </c>
      <c r="Y380">
        <v>403.41636345859098</v>
      </c>
      <c r="Z380">
        <v>128.64965031809299</v>
      </c>
      <c r="AA380">
        <v>346.026553574513</v>
      </c>
      <c r="AB380">
        <v>435.41735715773098</v>
      </c>
      <c r="AC380">
        <v>198.14261279507301</v>
      </c>
      <c r="AD380">
        <v>355.275716742756</v>
      </c>
      <c r="AE380">
        <v>222.733478946048</v>
      </c>
      <c r="AF380">
        <v>237.457455702755</v>
      </c>
      <c r="AG380">
        <v>384.77036613812601</v>
      </c>
    </row>
    <row r="381" spans="1:33" x14ac:dyDescent="0.25">
      <c r="A381" s="1">
        <v>44432</v>
      </c>
      <c r="B381">
        <v>14696.050989966399</v>
      </c>
      <c r="C381">
        <v>8705.0524082368102</v>
      </c>
      <c r="D381">
        <v>14147.4876564852</v>
      </c>
      <c r="E381">
        <v>14814.2683365966</v>
      </c>
      <c r="F381">
        <v>11463.117077757601</v>
      </c>
      <c r="G381">
        <v>10208.3863932609</v>
      </c>
      <c r="H381">
        <v>23011.861446462601</v>
      </c>
      <c r="I381">
        <v>14815.0053346853</v>
      </c>
      <c r="J381">
        <v>867.86861964076002</v>
      </c>
      <c r="K381">
        <v>610.71864838032502</v>
      </c>
      <c r="L381">
        <v>399.35489167550003</v>
      </c>
      <c r="M381">
        <v>8745.4142515711392</v>
      </c>
      <c r="N381">
        <v>2685.0568116961299</v>
      </c>
      <c r="O381">
        <v>365.30247330338102</v>
      </c>
      <c r="P381">
        <v>1019.80122558021</v>
      </c>
      <c r="Q381">
        <v>7322.98715003508</v>
      </c>
      <c r="R381">
        <v>459.59343597240502</v>
      </c>
      <c r="S381">
        <v>220.25509364193101</v>
      </c>
      <c r="T381">
        <v>340.45846670018102</v>
      </c>
      <c r="U381">
        <v>146.27758360898</v>
      </c>
      <c r="V381">
        <v>334.75718982780899</v>
      </c>
      <c r="W381">
        <v>148.73871269531</v>
      </c>
      <c r="X381">
        <v>205.09745294903701</v>
      </c>
      <c r="Y381">
        <v>397.74221556146398</v>
      </c>
      <c r="Z381">
        <v>128.793022381969</v>
      </c>
      <c r="AA381">
        <v>343.78487464466798</v>
      </c>
      <c r="AB381">
        <v>431.20560845578802</v>
      </c>
      <c r="AC381">
        <v>207.93499443535401</v>
      </c>
      <c r="AD381">
        <v>348.488872137302</v>
      </c>
      <c r="AE381">
        <v>213.9504994831</v>
      </c>
      <c r="AF381">
        <v>237.35421555032099</v>
      </c>
      <c r="AG381">
        <v>382.46608423288302</v>
      </c>
    </row>
    <row r="382" spans="1:33" x14ac:dyDescent="0.25">
      <c r="A382" s="1">
        <v>44433</v>
      </c>
      <c r="B382">
        <v>14728.4736229351</v>
      </c>
      <c r="C382">
        <v>8652.8836702709796</v>
      </c>
      <c r="D382">
        <v>14144.156721310501</v>
      </c>
      <c r="E382">
        <v>14809.1023016246</v>
      </c>
      <c r="F382">
        <v>10921.845406984799</v>
      </c>
      <c r="G382">
        <v>9639.4401868035602</v>
      </c>
      <c r="H382">
        <v>22287.9244802545</v>
      </c>
      <c r="I382">
        <v>14810.898071413099</v>
      </c>
      <c r="J382">
        <v>861.90411971800597</v>
      </c>
      <c r="K382">
        <v>604.73332587587299</v>
      </c>
      <c r="L382">
        <v>388.36262805258201</v>
      </c>
      <c r="M382">
        <v>8264.0057970034795</v>
      </c>
      <c r="N382">
        <v>2407.7576169877402</v>
      </c>
      <c r="O382">
        <v>346.08671496129</v>
      </c>
      <c r="P382">
        <v>966.76958506662197</v>
      </c>
      <c r="Q382">
        <v>6845.8309624703497</v>
      </c>
      <c r="R382">
        <v>439.18869883519102</v>
      </c>
      <c r="S382">
        <v>221.09797668468099</v>
      </c>
      <c r="T382">
        <v>302.98874208370302</v>
      </c>
      <c r="U382">
        <v>149.11923725361399</v>
      </c>
      <c r="V382">
        <v>289.771401459743</v>
      </c>
      <c r="W382">
        <v>149.981271308592</v>
      </c>
      <c r="X382">
        <v>184.733923075164</v>
      </c>
      <c r="Y382">
        <v>393.49451684456102</v>
      </c>
      <c r="Z382">
        <v>129.96762702564999</v>
      </c>
      <c r="AA382">
        <v>342.066773581429</v>
      </c>
      <c r="AB382">
        <v>427.850450395792</v>
      </c>
      <c r="AC382">
        <v>221.21432154720699</v>
      </c>
      <c r="AD382">
        <v>338.65099155799498</v>
      </c>
      <c r="AE382">
        <v>244.58595775469399</v>
      </c>
      <c r="AF382">
        <v>237.29611959486701</v>
      </c>
      <c r="AG382">
        <v>380.19408946409402</v>
      </c>
    </row>
    <row r="383" spans="1:33" x14ac:dyDescent="0.25">
      <c r="A383" s="1">
        <v>44434</v>
      </c>
      <c r="B383">
        <v>14736.0427967335</v>
      </c>
      <c r="C383">
        <v>8528.26100110673</v>
      </c>
      <c r="D383">
        <v>14124.1940515025</v>
      </c>
      <c r="E383">
        <v>14785.2381711825</v>
      </c>
      <c r="F383">
        <v>10243.3451983697</v>
      </c>
      <c r="G383">
        <v>9160.5713026309495</v>
      </c>
      <c r="H383">
        <v>21353.722689049398</v>
      </c>
      <c r="I383">
        <v>14670.129830775</v>
      </c>
      <c r="J383">
        <v>846.15904591973504</v>
      </c>
      <c r="K383">
        <v>600.54814604907597</v>
      </c>
      <c r="L383">
        <v>373.05569452542301</v>
      </c>
      <c r="M383">
        <v>7864.8937789436104</v>
      </c>
      <c r="N383">
        <v>2049.16952909257</v>
      </c>
      <c r="O383">
        <v>318.90449436394601</v>
      </c>
      <c r="P383">
        <v>910.64923763697595</v>
      </c>
      <c r="Q383">
        <v>6225.1601473496403</v>
      </c>
      <c r="R383">
        <v>409.73169575692998</v>
      </c>
      <c r="S383">
        <v>221.93496327986301</v>
      </c>
      <c r="T383">
        <v>265.44359050784402</v>
      </c>
      <c r="U383">
        <v>151.13107744683899</v>
      </c>
      <c r="V383">
        <v>249.805937123527</v>
      </c>
      <c r="W383">
        <v>159.92538166800901</v>
      </c>
      <c r="X383">
        <v>170.60950985206699</v>
      </c>
      <c r="Y383">
        <v>390.92779625077202</v>
      </c>
      <c r="Z383">
        <v>135.356703292399</v>
      </c>
      <c r="AA383">
        <v>340.92470061637101</v>
      </c>
      <c r="AB383">
        <v>427.01263691986702</v>
      </c>
      <c r="AC383">
        <v>236.308954943949</v>
      </c>
      <c r="AD383">
        <v>328.25639124905399</v>
      </c>
      <c r="AE383">
        <v>255.81787206472299</v>
      </c>
      <c r="AF383">
        <v>237.58312156324001</v>
      </c>
      <c r="AG383">
        <v>378.45304994748398</v>
      </c>
    </row>
    <row r="384" spans="1:33" x14ac:dyDescent="0.25">
      <c r="A384" s="1">
        <v>44435</v>
      </c>
      <c r="B384">
        <v>14736.654417976901</v>
      </c>
      <c r="C384">
        <v>8381.1912592053195</v>
      </c>
      <c r="D384">
        <v>14139.3580313456</v>
      </c>
      <c r="E384">
        <v>14746.602589559099</v>
      </c>
      <c r="F384">
        <v>9995.6926323334592</v>
      </c>
      <c r="G384">
        <v>9323.5364948934093</v>
      </c>
      <c r="H384">
        <v>21725.361475493701</v>
      </c>
      <c r="I384">
        <v>14427.577981767199</v>
      </c>
      <c r="J384">
        <v>840.83555631111506</v>
      </c>
      <c r="K384">
        <v>619.03927818256295</v>
      </c>
      <c r="L384">
        <v>362.718875121319</v>
      </c>
      <c r="M384">
        <v>7914.0704639208398</v>
      </c>
      <c r="N384">
        <v>1861.74492052042</v>
      </c>
      <c r="O384">
        <v>317.55707567192798</v>
      </c>
      <c r="P384">
        <v>878.27966029112804</v>
      </c>
      <c r="Q384">
        <v>6125.9693195666796</v>
      </c>
      <c r="R384">
        <v>402.30939107156502</v>
      </c>
      <c r="S384">
        <v>222.65626276505299</v>
      </c>
      <c r="T384">
        <v>248.657213195705</v>
      </c>
      <c r="U384">
        <v>160.48141412758901</v>
      </c>
      <c r="V384">
        <v>235.35638859508899</v>
      </c>
      <c r="W384">
        <v>161.55690383595001</v>
      </c>
      <c r="X384">
        <v>168.802333914445</v>
      </c>
      <c r="Y384">
        <v>401.92261669494599</v>
      </c>
      <c r="Z384">
        <v>142.243982091882</v>
      </c>
      <c r="AA384">
        <v>338.91234865079298</v>
      </c>
      <c r="AB384">
        <v>427.38808816065301</v>
      </c>
      <c r="AC384">
        <v>247.075213690906</v>
      </c>
      <c r="AD384">
        <v>322.20899901415498</v>
      </c>
      <c r="AE384">
        <v>222.96374536456301</v>
      </c>
      <c r="AF384">
        <v>238.39385823872101</v>
      </c>
      <c r="AG384">
        <v>375.57195951741198</v>
      </c>
    </row>
    <row r="385" spans="1:33" x14ac:dyDescent="0.25">
      <c r="A385" s="1">
        <v>44436</v>
      </c>
      <c r="B385">
        <v>14742.8342280614</v>
      </c>
      <c r="C385">
        <v>8230.5935582984894</v>
      </c>
      <c r="D385">
        <v>14169.7782388865</v>
      </c>
      <c r="E385">
        <v>14699.496463846801</v>
      </c>
      <c r="F385">
        <v>10276.010553612299</v>
      </c>
      <c r="G385">
        <v>9790.5227709058199</v>
      </c>
      <c r="H385">
        <v>22742.115321331501</v>
      </c>
      <c r="I385">
        <v>14198.5103707329</v>
      </c>
      <c r="J385">
        <v>843.06429363763903</v>
      </c>
      <c r="K385">
        <v>636.14454191286404</v>
      </c>
      <c r="L385">
        <v>359.21185363339299</v>
      </c>
      <c r="M385">
        <v>8190.9932871926503</v>
      </c>
      <c r="N385">
        <v>1921.3737593302801</v>
      </c>
      <c r="O385">
        <v>324.63903408907697</v>
      </c>
      <c r="P385">
        <v>879.16530630694206</v>
      </c>
      <c r="Q385">
        <v>6391.5281014582397</v>
      </c>
      <c r="R385">
        <v>408.20821870679202</v>
      </c>
      <c r="S385">
        <v>223.32230309597301</v>
      </c>
      <c r="T385">
        <v>241.39474416826701</v>
      </c>
      <c r="U385">
        <v>162.19468175358</v>
      </c>
      <c r="V385">
        <v>236.775672052781</v>
      </c>
      <c r="W385">
        <v>161.46204344508999</v>
      </c>
      <c r="X385">
        <v>174.626451100926</v>
      </c>
      <c r="Y385">
        <v>412.56322241408202</v>
      </c>
      <c r="Z385">
        <v>146.65852901070599</v>
      </c>
      <c r="AA385">
        <v>337.44741735110199</v>
      </c>
      <c r="AB385">
        <v>426.79986583181898</v>
      </c>
      <c r="AC385">
        <v>251.752165231097</v>
      </c>
      <c r="AD385">
        <v>320.24278024134799</v>
      </c>
      <c r="AE385">
        <v>239.23048862879199</v>
      </c>
      <c r="AF385">
        <v>239.19705761260201</v>
      </c>
      <c r="AG385">
        <v>371.48011358772101</v>
      </c>
    </row>
    <row r="386" spans="1:33" x14ac:dyDescent="0.25">
      <c r="A386" s="1">
        <v>44437</v>
      </c>
      <c r="B386">
        <v>14736.9080283107</v>
      </c>
      <c r="C386">
        <v>7961.7437755086003</v>
      </c>
      <c r="D386">
        <v>14180.0524203278</v>
      </c>
      <c r="E386">
        <v>14663.0241322863</v>
      </c>
      <c r="F386">
        <v>10748.5280931541</v>
      </c>
      <c r="G386">
        <v>10232.0067221605</v>
      </c>
      <c r="H386">
        <v>24514.046377268201</v>
      </c>
      <c r="I386">
        <v>14323.6396391908</v>
      </c>
      <c r="J386">
        <v>848.66236862807398</v>
      </c>
      <c r="K386">
        <v>623.54925904163099</v>
      </c>
      <c r="L386">
        <v>363.63632284528597</v>
      </c>
      <c r="M386">
        <v>8782.66706955667</v>
      </c>
      <c r="N386">
        <v>1984.1613280577899</v>
      </c>
      <c r="O386">
        <v>351.05641545303098</v>
      </c>
      <c r="P386">
        <v>901.47701250315595</v>
      </c>
      <c r="Q386">
        <v>6819.2936130006401</v>
      </c>
      <c r="R386">
        <v>435.12588825785099</v>
      </c>
      <c r="S386">
        <v>224.05983644517499</v>
      </c>
      <c r="T386">
        <v>245.90629518360501</v>
      </c>
      <c r="U386">
        <v>161.361638140916</v>
      </c>
      <c r="V386">
        <v>241.80982235433501</v>
      </c>
      <c r="W386">
        <v>161.42172585973799</v>
      </c>
      <c r="X386">
        <v>179.868442062567</v>
      </c>
      <c r="Y386">
        <v>417.05235768728801</v>
      </c>
      <c r="Z386">
        <v>151.03916801870099</v>
      </c>
      <c r="AA386">
        <v>335.99013649555002</v>
      </c>
      <c r="AB386">
        <v>424.50909355990001</v>
      </c>
      <c r="AC386">
        <v>254.479558373174</v>
      </c>
      <c r="AD386">
        <v>321.05683038635198</v>
      </c>
      <c r="AE386">
        <v>258.693362583686</v>
      </c>
      <c r="AF386">
        <v>239.98509387134001</v>
      </c>
      <c r="AG386">
        <v>365.85117835919903</v>
      </c>
    </row>
    <row r="387" spans="1:33" x14ac:dyDescent="0.25">
      <c r="A387" s="1">
        <v>44438</v>
      </c>
      <c r="B387">
        <v>14713.3622090429</v>
      </c>
      <c r="C387">
        <v>7568.8753458153296</v>
      </c>
      <c r="D387">
        <v>14158.6873851256</v>
      </c>
      <c r="E387">
        <v>14634.3917441539</v>
      </c>
      <c r="F387">
        <v>11010.7921813867</v>
      </c>
      <c r="G387">
        <v>10372.8195593986</v>
      </c>
      <c r="H387">
        <v>24847.058906946299</v>
      </c>
      <c r="I387">
        <v>14422.645032107501</v>
      </c>
      <c r="J387">
        <v>845.36240301953103</v>
      </c>
      <c r="K387">
        <v>614.13389526375295</v>
      </c>
      <c r="L387">
        <v>367.45384301118298</v>
      </c>
      <c r="M387">
        <v>8993.8619227265808</v>
      </c>
      <c r="N387">
        <v>2136.07750617587</v>
      </c>
      <c r="O387">
        <v>352.54409977139102</v>
      </c>
      <c r="P387">
        <v>913.52364093261599</v>
      </c>
      <c r="Q387">
        <v>7111.9217423846603</v>
      </c>
      <c r="R387">
        <v>447.30366410978303</v>
      </c>
      <c r="S387">
        <v>224.830245128076</v>
      </c>
      <c r="T387">
        <v>248.007319605606</v>
      </c>
      <c r="U387">
        <v>162.858997848282</v>
      </c>
      <c r="V387">
        <v>244.78270558474301</v>
      </c>
      <c r="W387">
        <v>164.64633292091301</v>
      </c>
      <c r="X387">
        <v>177.857396819098</v>
      </c>
      <c r="Y387">
        <v>413.98839311371398</v>
      </c>
      <c r="Z387">
        <v>153.37282755820101</v>
      </c>
      <c r="AA387">
        <v>335.34686851746198</v>
      </c>
      <c r="AB387">
        <v>420.99540956510498</v>
      </c>
      <c r="AC387">
        <v>256.21494856312898</v>
      </c>
      <c r="AD387">
        <v>323.26511361820297</v>
      </c>
      <c r="AE387">
        <v>270.93660273097998</v>
      </c>
      <c r="AF387">
        <v>240.623456363906</v>
      </c>
      <c r="AG387">
        <v>361.77221358755799</v>
      </c>
    </row>
    <row r="388" spans="1:33" x14ac:dyDescent="0.25">
      <c r="A388" s="1">
        <v>44439</v>
      </c>
      <c r="B388">
        <v>14682.181397026599</v>
      </c>
      <c r="C388">
        <v>7438.5121275771598</v>
      </c>
      <c r="D388">
        <v>14127.1451218778</v>
      </c>
      <c r="E388">
        <v>14625.0777000005</v>
      </c>
      <c r="F388">
        <v>11162.1963312925</v>
      </c>
      <c r="G388">
        <v>10806.448445537701</v>
      </c>
      <c r="H388">
        <v>25223.443847001101</v>
      </c>
      <c r="I388">
        <v>14452.641955118101</v>
      </c>
      <c r="J388">
        <v>840.12315234415996</v>
      </c>
      <c r="K388">
        <v>619.17284780773196</v>
      </c>
      <c r="L388">
        <v>378.44819724460302</v>
      </c>
      <c r="M388">
        <v>9496.5606315602399</v>
      </c>
      <c r="N388">
        <v>2484.7759338814199</v>
      </c>
      <c r="O388">
        <v>363.36395160652597</v>
      </c>
      <c r="P388">
        <v>925.21226538716905</v>
      </c>
      <c r="Q388">
        <v>7596.1728969895903</v>
      </c>
      <c r="R388">
        <v>464.933994737923</v>
      </c>
      <c r="S388">
        <v>225.51536850272001</v>
      </c>
      <c r="T388">
        <v>269.377712393509</v>
      </c>
      <c r="U388">
        <v>168.516486119576</v>
      </c>
      <c r="V388">
        <v>258.99468901026597</v>
      </c>
      <c r="W388">
        <v>174.65566879882101</v>
      </c>
      <c r="X388">
        <v>184.49575206680501</v>
      </c>
      <c r="Y388">
        <v>412.250045318866</v>
      </c>
      <c r="Z388">
        <v>155.797558855961</v>
      </c>
      <c r="AA388">
        <v>334.70087903563001</v>
      </c>
      <c r="AB388">
        <v>418.78922415221598</v>
      </c>
      <c r="AC388">
        <v>258.38955867670199</v>
      </c>
      <c r="AD388">
        <v>330.88157994351201</v>
      </c>
      <c r="AE388">
        <v>244.38482997704699</v>
      </c>
      <c r="AF388">
        <v>241.468988639857</v>
      </c>
      <c r="AG388">
        <v>358.31169195606202</v>
      </c>
    </row>
    <row r="389" spans="1:33" x14ac:dyDescent="0.25">
      <c r="A389" s="1">
        <v>44440</v>
      </c>
      <c r="B389">
        <v>14661.395065554399</v>
      </c>
      <c r="C389">
        <v>7601.0498947966398</v>
      </c>
      <c r="D389">
        <v>14187.434732358301</v>
      </c>
      <c r="E389">
        <v>14643.5303185344</v>
      </c>
      <c r="F389">
        <v>11411.292226458499</v>
      </c>
      <c r="G389">
        <v>10813.381905349899</v>
      </c>
      <c r="H389">
        <v>25430.651542029598</v>
      </c>
      <c r="I389">
        <v>14519.213250954301</v>
      </c>
      <c r="J389">
        <v>829.67720590303702</v>
      </c>
      <c r="K389">
        <v>612.38026932769696</v>
      </c>
      <c r="L389">
        <v>385.041935869322</v>
      </c>
      <c r="M389">
        <v>9526.3510203535807</v>
      </c>
      <c r="N389">
        <v>2673.6584748553501</v>
      </c>
      <c r="O389">
        <v>377.85026698512502</v>
      </c>
      <c r="P389">
        <v>959.07634393106298</v>
      </c>
      <c r="Q389">
        <v>7710.28000750091</v>
      </c>
      <c r="R389">
        <v>480.53373050424301</v>
      </c>
      <c r="S389">
        <v>225.82870368673599</v>
      </c>
      <c r="T389">
        <v>267.116511672</v>
      </c>
      <c r="U389">
        <v>175.57317457895601</v>
      </c>
      <c r="V389">
        <v>261.71542044210099</v>
      </c>
      <c r="W389">
        <v>178.60991952818799</v>
      </c>
      <c r="X389">
        <v>186.059570158501</v>
      </c>
      <c r="Y389">
        <v>411.94017261171399</v>
      </c>
      <c r="Z389">
        <v>158.92580051444199</v>
      </c>
      <c r="AA389">
        <v>334.06880601984301</v>
      </c>
      <c r="AB389">
        <v>418.80774923603701</v>
      </c>
      <c r="AC389">
        <v>260.44745413645899</v>
      </c>
      <c r="AD389">
        <v>334.25829855022897</v>
      </c>
      <c r="AE389">
        <v>240.34215891012599</v>
      </c>
      <c r="AF389">
        <v>242.48973692800101</v>
      </c>
      <c r="AG389">
        <v>355.42144199155501</v>
      </c>
    </row>
    <row r="390" spans="1:33" x14ac:dyDescent="0.25">
      <c r="A390" s="1">
        <v>44441</v>
      </c>
      <c r="B390">
        <v>14664.6539254377</v>
      </c>
      <c r="C390">
        <v>7756.5892671894799</v>
      </c>
      <c r="D390">
        <v>14187.941170059999</v>
      </c>
      <c r="E390">
        <v>14674.0722324909</v>
      </c>
      <c r="F390">
        <v>11276.968382008299</v>
      </c>
      <c r="G390">
        <v>9919.1727481417201</v>
      </c>
      <c r="H390">
        <v>23886.153496962499</v>
      </c>
      <c r="I390">
        <v>14595.892080883899</v>
      </c>
      <c r="J390">
        <v>810.15861252092498</v>
      </c>
      <c r="K390">
        <v>609.31741973727696</v>
      </c>
      <c r="L390">
        <v>378.096982381092</v>
      </c>
      <c r="M390">
        <v>8517.7867833706405</v>
      </c>
      <c r="N390">
        <v>2218.7962519377502</v>
      </c>
      <c r="O390">
        <v>357.72214234121498</v>
      </c>
      <c r="P390">
        <v>872.58473447470601</v>
      </c>
      <c r="Q390">
        <v>6918.2551851625703</v>
      </c>
      <c r="R390">
        <v>454.43268630823002</v>
      </c>
      <c r="S390">
        <v>225.69666950273299</v>
      </c>
      <c r="T390">
        <v>251.14574975753001</v>
      </c>
      <c r="U390">
        <v>178.81669051469299</v>
      </c>
      <c r="V390">
        <v>238.870038192149</v>
      </c>
      <c r="W390">
        <v>177.58265444228999</v>
      </c>
      <c r="X390">
        <v>184.63443960540101</v>
      </c>
      <c r="Y390">
        <v>405.27644794056698</v>
      </c>
      <c r="Z390">
        <v>161.78560832701501</v>
      </c>
      <c r="AA390">
        <v>333.94757737584001</v>
      </c>
      <c r="AB390">
        <v>415.113835264481</v>
      </c>
      <c r="AC390">
        <v>260.20114364554001</v>
      </c>
      <c r="AD390">
        <v>328.21507943876901</v>
      </c>
      <c r="AE390">
        <v>217.62708386384199</v>
      </c>
      <c r="AF390">
        <v>243.78611316029</v>
      </c>
      <c r="AG390">
        <v>354.65248453490699</v>
      </c>
    </row>
    <row r="391" spans="1:33" x14ac:dyDescent="0.25">
      <c r="A391" s="1">
        <v>44442</v>
      </c>
      <c r="B391">
        <v>14667.2954720125</v>
      </c>
      <c r="C391">
        <v>7844.51589603711</v>
      </c>
      <c r="D391">
        <v>14214.5369261784</v>
      </c>
      <c r="E391">
        <v>14714.6789108577</v>
      </c>
      <c r="F391">
        <v>10889.3740790798</v>
      </c>
      <c r="G391">
        <v>9353.2034281905107</v>
      </c>
      <c r="H391">
        <v>22817.774175473402</v>
      </c>
      <c r="I391">
        <v>14568.2132115848</v>
      </c>
      <c r="J391">
        <v>797.47856704507899</v>
      </c>
      <c r="K391">
        <v>606.80696414795602</v>
      </c>
      <c r="L391">
        <v>371.34722649630498</v>
      </c>
      <c r="M391">
        <v>8024.7447741573596</v>
      </c>
      <c r="N391">
        <v>1934.8004124025699</v>
      </c>
      <c r="O391">
        <v>340.80426969517998</v>
      </c>
      <c r="P391">
        <v>834.87531483560394</v>
      </c>
      <c r="Q391">
        <v>6424.70364313753</v>
      </c>
      <c r="R391">
        <v>428.34048766391902</v>
      </c>
      <c r="S391">
        <v>225.17049113232699</v>
      </c>
      <c r="T391">
        <v>243.62875010198999</v>
      </c>
      <c r="U391">
        <v>177.899361412502</v>
      </c>
      <c r="V391">
        <v>244.74242754183899</v>
      </c>
      <c r="W391">
        <v>174.08871304947201</v>
      </c>
      <c r="X391">
        <v>192.929808600776</v>
      </c>
      <c r="Y391">
        <v>399.89028881486598</v>
      </c>
      <c r="Z391">
        <v>164.59878336845901</v>
      </c>
      <c r="AA391">
        <v>333.037834576286</v>
      </c>
      <c r="AB391">
        <v>411.52676502278899</v>
      </c>
      <c r="AC391">
        <v>259.46367107203002</v>
      </c>
      <c r="AD391">
        <v>324.00349928235102</v>
      </c>
      <c r="AE391">
        <v>221.13522962960801</v>
      </c>
      <c r="AF391">
        <v>245.595601815035</v>
      </c>
      <c r="AG391">
        <v>354.26139903836901</v>
      </c>
    </row>
    <row r="392" spans="1:33" x14ac:dyDescent="0.25">
      <c r="A392" s="1">
        <v>44443</v>
      </c>
      <c r="B392">
        <v>14686.867991571</v>
      </c>
      <c r="C392">
        <v>6867.0505254175596</v>
      </c>
      <c r="D392">
        <v>13777.5024602904</v>
      </c>
      <c r="E392">
        <v>14711.1689429131</v>
      </c>
      <c r="F392">
        <v>10665.136358039101</v>
      </c>
      <c r="G392">
        <v>9472.8067204946492</v>
      </c>
      <c r="H392">
        <v>22226.7174879138</v>
      </c>
      <c r="I392">
        <v>14443.8210385484</v>
      </c>
      <c r="J392">
        <v>783.609587046515</v>
      </c>
      <c r="K392">
        <v>598.07962751222999</v>
      </c>
      <c r="L392">
        <v>370.10351926610502</v>
      </c>
      <c r="M392">
        <v>8002.4401782943696</v>
      </c>
      <c r="N392">
        <v>1910.5086438052899</v>
      </c>
      <c r="O392">
        <v>340.09492296014503</v>
      </c>
      <c r="P392">
        <v>826.83616534000305</v>
      </c>
      <c r="Q392">
        <v>6420.0730830329103</v>
      </c>
      <c r="R392">
        <v>421.87544667758402</v>
      </c>
      <c r="S392">
        <v>224.21041929644301</v>
      </c>
      <c r="T392">
        <v>247.905354610426</v>
      </c>
      <c r="U392">
        <v>176.270978544218</v>
      </c>
      <c r="V392">
        <v>256.664531455911</v>
      </c>
      <c r="W392">
        <v>173.59195851260901</v>
      </c>
      <c r="X392">
        <v>201.08225671755599</v>
      </c>
      <c r="Y392">
        <v>399.539787433573</v>
      </c>
      <c r="Z392">
        <v>167.585545061875</v>
      </c>
      <c r="AA392">
        <v>331.68417127453398</v>
      </c>
      <c r="AB392">
        <v>411.03089665278299</v>
      </c>
      <c r="AC392">
        <v>262.29504348178301</v>
      </c>
      <c r="AD392">
        <v>325.16863127761098</v>
      </c>
      <c r="AE392">
        <v>238.64934959341301</v>
      </c>
      <c r="AF392">
        <v>247.54643825089099</v>
      </c>
      <c r="AG392">
        <v>354.03492624099999</v>
      </c>
    </row>
    <row r="393" spans="1:33" x14ac:dyDescent="0.25">
      <c r="A393" s="1">
        <v>44444</v>
      </c>
      <c r="B393">
        <v>14693.296377774301</v>
      </c>
      <c r="C393">
        <v>5978.7652667182601</v>
      </c>
      <c r="D393">
        <v>12554.9640606496</v>
      </c>
      <c r="E393">
        <v>14611.980612338</v>
      </c>
      <c r="F393">
        <v>10728.865076550501</v>
      </c>
      <c r="G393">
        <v>9665.6657548827097</v>
      </c>
      <c r="H393">
        <v>22010.1419927969</v>
      </c>
      <c r="I393">
        <v>14310.108066148199</v>
      </c>
      <c r="J393">
        <v>771.51695757224104</v>
      </c>
      <c r="K393">
        <v>591.293807390545</v>
      </c>
      <c r="L393">
        <v>369.95633394758499</v>
      </c>
      <c r="M393">
        <v>8078.3172345440398</v>
      </c>
      <c r="N393">
        <v>1957.91840030249</v>
      </c>
      <c r="O393">
        <v>340.95838455312099</v>
      </c>
      <c r="P393">
        <v>824.590231418185</v>
      </c>
      <c r="Q393">
        <v>6516.5305156348404</v>
      </c>
      <c r="R393">
        <v>418.53264552918802</v>
      </c>
      <c r="S393">
        <v>223.23354859395801</v>
      </c>
      <c r="T393">
        <v>250.53958576445001</v>
      </c>
      <c r="U393">
        <v>174.15478284404099</v>
      </c>
      <c r="V393">
        <v>264.06297945200998</v>
      </c>
      <c r="W393">
        <v>171.42477291310001</v>
      </c>
      <c r="X393">
        <v>202.06417836693501</v>
      </c>
      <c r="Y393">
        <v>398.11703533787102</v>
      </c>
      <c r="Z393">
        <v>171.58439278432701</v>
      </c>
      <c r="AA393">
        <v>330.31117482185198</v>
      </c>
      <c r="AB393">
        <v>407.87627249884201</v>
      </c>
      <c r="AC393">
        <v>266.14842406381501</v>
      </c>
      <c r="AD393">
        <v>327.30982936147802</v>
      </c>
      <c r="AE393">
        <v>240.64415620681399</v>
      </c>
      <c r="AF393">
        <v>249.42742297980701</v>
      </c>
      <c r="AG393">
        <v>353.36144156305801</v>
      </c>
    </row>
    <row r="394" spans="1:33" x14ac:dyDescent="0.25">
      <c r="A394" s="1">
        <v>44445</v>
      </c>
      <c r="B394">
        <v>14594.231571785</v>
      </c>
      <c r="C394">
        <v>6162.0206904828801</v>
      </c>
      <c r="D394">
        <v>11686.878016675</v>
      </c>
      <c r="E394">
        <v>14399.609284509799</v>
      </c>
      <c r="F394">
        <v>10861.644520857801</v>
      </c>
      <c r="G394">
        <v>9747.5400632362998</v>
      </c>
      <c r="H394">
        <v>21584.0361370399</v>
      </c>
      <c r="I394">
        <v>14217.2654185804</v>
      </c>
      <c r="J394">
        <v>763.10166777347104</v>
      </c>
      <c r="K394">
        <v>592.67141475984101</v>
      </c>
      <c r="L394">
        <v>369.679847207352</v>
      </c>
      <c r="M394">
        <v>8192.8195449430204</v>
      </c>
      <c r="N394">
        <v>2013.3048209794799</v>
      </c>
      <c r="O394">
        <v>339.656781245952</v>
      </c>
      <c r="P394">
        <v>828.07850687580697</v>
      </c>
      <c r="Q394">
        <v>6524.3038050269097</v>
      </c>
      <c r="R394">
        <v>415.17186868326098</v>
      </c>
      <c r="S394">
        <v>222.23468200046801</v>
      </c>
      <c r="T394">
        <v>253.72986746843901</v>
      </c>
      <c r="U394">
        <v>171.02105065640299</v>
      </c>
      <c r="V394">
        <v>270.354324953613</v>
      </c>
      <c r="W394">
        <v>171.667903633256</v>
      </c>
      <c r="X394">
        <v>202.04158731776499</v>
      </c>
      <c r="Y394">
        <v>395.37531510729099</v>
      </c>
      <c r="Z394">
        <v>176.99296135392899</v>
      </c>
      <c r="AA394">
        <v>328.94979223350401</v>
      </c>
      <c r="AB394">
        <v>404.900736549361</v>
      </c>
      <c r="AC394">
        <v>269.801713032257</v>
      </c>
      <c r="AD394">
        <v>328.66334721387898</v>
      </c>
      <c r="AE394">
        <v>232.38647542819999</v>
      </c>
      <c r="AF394">
        <v>251.75031251992499</v>
      </c>
      <c r="AG394">
        <v>352.11645098185897</v>
      </c>
    </row>
    <row r="395" spans="1:33" x14ac:dyDescent="0.25">
      <c r="A395" s="1">
        <v>44446</v>
      </c>
      <c r="B395">
        <v>14332.1107213865</v>
      </c>
      <c r="C395">
        <v>6091.6128208626396</v>
      </c>
      <c r="D395">
        <v>10884.540904466299</v>
      </c>
      <c r="E395">
        <v>14076.3387824521</v>
      </c>
      <c r="F395">
        <v>10859.259222578599</v>
      </c>
      <c r="G395">
        <v>10096.8395038204</v>
      </c>
      <c r="H395">
        <v>21847.508314187002</v>
      </c>
      <c r="I395">
        <v>14131.514562714399</v>
      </c>
      <c r="J395">
        <v>762.07421178676896</v>
      </c>
      <c r="K395">
        <v>585.86340974359496</v>
      </c>
      <c r="L395">
        <v>369.33510216778598</v>
      </c>
      <c r="M395">
        <v>8451.4443767563607</v>
      </c>
      <c r="N395">
        <v>2054.7933403590901</v>
      </c>
      <c r="O395">
        <v>349.43500989256501</v>
      </c>
      <c r="P395">
        <v>830.24621114417403</v>
      </c>
      <c r="Q395">
        <v>6697.9300853165696</v>
      </c>
      <c r="R395">
        <v>416.926910122496</v>
      </c>
      <c r="S395">
        <v>221.10807532986399</v>
      </c>
      <c r="T395">
        <v>256.55310444236301</v>
      </c>
      <c r="U395">
        <v>167.41220184114499</v>
      </c>
      <c r="V395">
        <v>268.94709688654899</v>
      </c>
      <c r="W395">
        <v>170.997823983568</v>
      </c>
      <c r="X395">
        <v>195.94771220973001</v>
      </c>
      <c r="Y395">
        <v>393.19729707770603</v>
      </c>
      <c r="Z395">
        <v>181.20120617887599</v>
      </c>
      <c r="AA395">
        <v>327.45237938128002</v>
      </c>
      <c r="AB395">
        <v>402.22978813792997</v>
      </c>
      <c r="AC395">
        <v>271.260465350988</v>
      </c>
      <c r="AD395">
        <v>329.799530792187</v>
      </c>
      <c r="AE395">
        <v>238.68696198019501</v>
      </c>
      <c r="AF395">
        <v>254.10988770121199</v>
      </c>
      <c r="AG395">
        <v>350.31983271895001</v>
      </c>
    </row>
    <row r="396" spans="1:33" x14ac:dyDescent="0.25">
      <c r="A396" s="1">
        <v>44447</v>
      </c>
      <c r="B396">
        <v>13873.4577178811</v>
      </c>
      <c r="C396">
        <v>6321.4592221770199</v>
      </c>
      <c r="D396">
        <v>10269.082309801701</v>
      </c>
      <c r="E396">
        <v>13641.4667823852</v>
      </c>
      <c r="F396">
        <v>10999.242920701399</v>
      </c>
      <c r="G396">
        <v>10543.8635015399</v>
      </c>
      <c r="H396">
        <v>22250.242814146201</v>
      </c>
      <c r="I396">
        <v>14114.786782646701</v>
      </c>
      <c r="J396">
        <v>770.75495784457905</v>
      </c>
      <c r="K396">
        <v>573.561876913172</v>
      </c>
      <c r="L396">
        <v>379.63001310159098</v>
      </c>
      <c r="M396">
        <v>9020.2307769986892</v>
      </c>
      <c r="N396">
        <v>2131.5220915060399</v>
      </c>
      <c r="O396">
        <v>388.98974241012701</v>
      </c>
      <c r="P396">
        <v>882.64548919208198</v>
      </c>
      <c r="Q396">
        <v>7102.2998433933299</v>
      </c>
      <c r="R396">
        <v>441.98769731094598</v>
      </c>
      <c r="S396">
        <v>219.980571338674</v>
      </c>
      <c r="T396">
        <v>255.476838619859</v>
      </c>
      <c r="U396">
        <v>168.943612304629</v>
      </c>
      <c r="V396">
        <v>248.40797228101101</v>
      </c>
      <c r="W396">
        <v>171.85008709033599</v>
      </c>
      <c r="X396">
        <v>182.82745113896499</v>
      </c>
      <c r="Y396">
        <v>392.44289839398698</v>
      </c>
      <c r="Z396">
        <v>182.79993251750199</v>
      </c>
      <c r="AA396">
        <v>325.64717341926598</v>
      </c>
      <c r="AB396">
        <v>399.440938950499</v>
      </c>
      <c r="AC396">
        <v>271.72995289496998</v>
      </c>
      <c r="AD396">
        <v>339.145842351905</v>
      </c>
      <c r="AE396">
        <v>242.022876520013</v>
      </c>
      <c r="AF396">
        <v>256.65646166453098</v>
      </c>
      <c r="AG396">
        <v>348.457805198975</v>
      </c>
    </row>
    <row r="397" spans="1:33" x14ac:dyDescent="0.25">
      <c r="A397" s="1">
        <v>44448</v>
      </c>
      <c r="B397">
        <v>13281.8963190423</v>
      </c>
      <c r="C397">
        <v>6637.3122343710002</v>
      </c>
      <c r="D397">
        <v>9751.9710726684898</v>
      </c>
      <c r="E397">
        <v>13176.7399187511</v>
      </c>
      <c r="F397">
        <v>11423.263861195999</v>
      </c>
      <c r="G397">
        <v>11220.5004755112</v>
      </c>
      <c r="H397">
        <v>22961.557882679099</v>
      </c>
      <c r="I397">
        <v>14217.4498337767</v>
      </c>
      <c r="J397">
        <v>792.00987444317298</v>
      </c>
      <c r="K397">
        <v>572.61992567186996</v>
      </c>
      <c r="L397">
        <v>399.13965569778702</v>
      </c>
      <c r="M397">
        <v>9604.4925235665505</v>
      </c>
      <c r="N397">
        <v>2319.5619690938502</v>
      </c>
      <c r="O397">
        <v>419.92343465740299</v>
      </c>
      <c r="P397">
        <v>954.06431866494597</v>
      </c>
      <c r="Q397">
        <v>7723.6453411559496</v>
      </c>
      <c r="R397">
        <v>470.37784174958699</v>
      </c>
      <c r="S397">
        <v>218.96292418684101</v>
      </c>
      <c r="T397">
        <v>260.57675563212302</v>
      </c>
      <c r="U397">
        <v>169.39958213113599</v>
      </c>
      <c r="V397">
        <v>255.25910993537701</v>
      </c>
      <c r="W397">
        <v>171.62132634997201</v>
      </c>
      <c r="X397">
        <v>184.50420896201601</v>
      </c>
      <c r="Y397">
        <v>391.20503550910098</v>
      </c>
      <c r="Z397">
        <v>184.97387230470301</v>
      </c>
      <c r="AA397">
        <v>323.61992493030402</v>
      </c>
      <c r="AB397">
        <v>396.21021223792201</v>
      </c>
      <c r="AC397">
        <v>271.59371604902401</v>
      </c>
      <c r="AD397">
        <v>355.52389579566398</v>
      </c>
      <c r="AE397">
        <v>250.20164928176101</v>
      </c>
      <c r="AF397">
        <v>258.65237767539401</v>
      </c>
      <c r="AG397">
        <v>346.50226514500298</v>
      </c>
    </row>
    <row r="398" spans="1:33" x14ac:dyDescent="0.25">
      <c r="A398" s="1">
        <v>44449</v>
      </c>
      <c r="B398">
        <v>12774.5133278503</v>
      </c>
      <c r="C398">
        <v>7265.61917352608</v>
      </c>
      <c r="D398">
        <v>9087.7739438269109</v>
      </c>
      <c r="E398">
        <v>12755.615979071499</v>
      </c>
      <c r="F398">
        <v>11707.4373688779</v>
      </c>
      <c r="G398">
        <v>11316.8226371773</v>
      </c>
      <c r="H398">
        <v>22962.141234878</v>
      </c>
      <c r="I398">
        <v>14368.8182561046</v>
      </c>
      <c r="J398">
        <v>811.41824318422903</v>
      </c>
      <c r="K398">
        <v>574.02443398935895</v>
      </c>
      <c r="L398">
        <v>415.12551908301401</v>
      </c>
      <c r="M398">
        <v>9735.5708837518996</v>
      </c>
      <c r="N398">
        <v>2303.39050020381</v>
      </c>
      <c r="O398">
        <v>440.71473105093798</v>
      </c>
      <c r="P398">
        <v>980.80144560954</v>
      </c>
      <c r="Q398">
        <v>7927.3741017591001</v>
      </c>
      <c r="R398">
        <v>497.66915049573498</v>
      </c>
      <c r="S398">
        <v>218.45630035441999</v>
      </c>
      <c r="T398">
        <v>258.54080527923202</v>
      </c>
      <c r="U398">
        <v>168.610095298217</v>
      </c>
      <c r="V398">
        <v>254.634091926351</v>
      </c>
      <c r="W398">
        <v>169.47452481499801</v>
      </c>
      <c r="X398">
        <v>189.75752590561601</v>
      </c>
      <c r="Y398">
        <v>391.02861163313997</v>
      </c>
      <c r="Z398">
        <v>185.308888230012</v>
      </c>
      <c r="AA398">
        <v>321.16567220627098</v>
      </c>
      <c r="AB398">
        <v>392.49417453474899</v>
      </c>
      <c r="AC398">
        <v>270.77710606506901</v>
      </c>
      <c r="AD398">
        <v>366.68289748901299</v>
      </c>
      <c r="AE398">
        <v>228.73363714688901</v>
      </c>
      <c r="AF398">
        <v>260.84546015971301</v>
      </c>
      <c r="AG398">
        <v>343.35087255744799</v>
      </c>
    </row>
    <row r="399" spans="1:33" x14ac:dyDescent="0.25">
      <c r="A399" s="1">
        <v>44450</v>
      </c>
      <c r="B399">
        <v>12434.191051235201</v>
      </c>
      <c r="C399">
        <v>7558.9168627134704</v>
      </c>
      <c r="D399">
        <v>8481.18546833869</v>
      </c>
      <c r="E399">
        <v>12375.3530505209</v>
      </c>
      <c r="F399">
        <v>11523.5354575853</v>
      </c>
      <c r="G399">
        <v>10886.2031286694</v>
      </c>
      <c r="H399">
        <v>22332.821533972201</v>
      </c>
      <c r="I399">
        <v>14492.848021457199</v>
      </c>
      <c r="J399">
        <v>816.19311027735296</v>
      </c>
      <c r="K399">
        <v>583.83649755064403</v>
      </c>
      <c r="L399">
        <v>413.78470090590503</v>
      </c>
      <c r="M399">
        <v>9373.6484018547508</v>
      </c>
      <c r="N399">
        <v>2170.5819674047898</v>
      </c>
      <c r="O399">
        <v>395.77314057613501</v>
      </c>
      <c r="P399">
        <v>949.52328738397603</v>
      </c>
      <c r="Q399">
        <v>7494.0044244380997</v>
      </c>
      <c r="R399">
        <v>479.54439254711502</v>
      </c>
      <c r="S399">
        <v>218.46123708135099</v>
      </c>
      <c r="T399">
        <v>252.57376097754201</v>
      </c>
      <c r="U399">
        <v>166.870817203017</v>
      </c>
      <c r="V399">
        <v>266.21852969862698</v>
      </c>
      <c r="W399">
        <v>176.678364216647</v>
      </c>
      <c r="X399">
        <v>199.266335891946</v>
      </c>
      <c r="Y399">
        <v>389.99043174462503</v>
      </c>
      <c r="Z399">
        <v>183.30096405262</v>
      </c>
      <c r="AA399">
        <v>319.38459354576798</v>
      </c>
      <c r="AB399">
        <v>391.673172585776</v>
      </c>
      <c r="AC399">
        <v>270.86560917849198</v>
      </c>
      <c r="AD399">
        <v>363.41362919000397</v>
      </c>
      <c r="AE399">
        <v>260.945838476642</v>
      </c>
      <c r="AF399">
        <v>264.53491904437101</v>
      </c>
      <c r="AG399">
        <v>340.933131362143</v>
      </c>
    </row>
    <row r="400" spans="1:33" x14ac:dyDescent="0.25">
      <c r="A400" s="1">
        <v>44451</v>
      </c>
      <c r="B400">
        <v>12108.229964399699</v>
      </c>
      <c r="C400">
        <v>7306.3106670250199</v>
      </c>
      <c r="D400">
        <v>8198.4628813692907</v>
      </c>
      <c r="E400">
        <v>12059.068475977299</v>
      </c>
      <c r="F400">
        <v>11638.506648054999</v>
      </c>
      <c r="G400">
        <v>10885.3574453938</v>
      </c>
      <c r="H400">
        <v>22814.603981414999</v>
      </c>
      <c r="I400">
        <v>14533.4821429942</v>
      </c>
      <c r="J400">
        <v>821.22284910407905</v>
      </c>
      <c r="K400">
        <v>598.20470730026</v>
      </c>
      <c r="L400">
        <v>416.642766095154</v>
      </c>
      <c r="M400">
        <v>9417.6881003374201</v>
      </c>
      <c r="N400">
        <v>2327.08629773856</v>
      </c>
      <c r="O400">
        <v>387.34471518386403</v>
      </c>
      <c r="P400">
        <v>961.81895926455297</v>
      </c>
      <c r="Q400">
        <v>7639.31629562936</v>
      </c>
      <c r="R400">
        <v>479.18086527495302</v>
      </c>
      <c r="S400">
        <v>218.17378760149199</v>
      </c>
      <c r="T400">
        <v>268.13629554784097</v>
      </c>
      <c r="U400">
        <v>178.77573398553901</v>
      </c>
      <c r="V400">
        <v>283.14896542947901</v>
      </c>
      <c r="W400">
        <v>173.34264554130399</v>
      </c>
      <c r="X400">
        <v>207.059777855683</v>
      </c>
      <c r="Y400">
        <v>388.42403960547199</v>
      </c>
      <c r="Z400">
        <v>181.75773326684899</v>
      </c>
      <c r="AA400">
        <v>317.31596718675399</v>
      </c>
      <c r="AB400">
        <v>391.34223095487903</v>
      </c>
      <c r="AC400">
        <v>273.89053041177101</v>
      </c>
      <c r="AD400">
        <v>365.595023073856</v>
      </c>
      <c r="AE400">
        <v>265.51563125040201</v>
      </c>
      <c r="AF400">
        <v>266.98488995184999</v>
      </c>
      <c r="AG400">
        <v>337.82896975692398</v>
      </c>
    </row>
    <row r="401" spans="1:33" x14ac:dyDescent="0.25">
      <c r="A401" s="1">
        <v>44452</v>
      </c>
      <c r="B401">
        <v>11784.738059221399</v>
      </c>
      <c r="C401">
        <v>7398.6792317664103</v>
      </c>
      <c r="D401">
        <v>8038.0113052431898</v>
      </c>
      <c r="E401">
        <v>11825.721377218801</v>
      </c>
      <c r="F401">
        <v>11757.8214823374</v>
      </c>
      <c r="G401">
        <v>10911.919083667201</v>
      </c>
      <c r="H401">
        <v>22810.585387155901</v>
      </c>
      <c r="I401">
        <v>14568.9918329342</v>
      </c>
      <c r="J401">
        <v>824.70238755655998</v>
      </c>
      <c r="K401">
        <v>617.47894169675305</v>
      </c>
      <c r="L401">
        <v>420.131190293467</v>
      </c>
      <c r="M401">
        <v>9516.4800807182401</v>
      </c>
      <c r="N401">
        <v>2467.04024935814</v>
      </c>
      <c r="O401">
        <v>392.66754349532403</v>
      </c>
      <c r="P401">
        <v>988.06530194207801</v>
      </c>
      <c r="Q401">
        <v>7705.0874606197804</v>
      </c>
      <c r="R401">
        <v>485.555870730979</v>
      </c>
      <c r="S401">
        <v>218.00795291452599</v>
      </c>
      <c r="T401">
        <v>278.77310094800299</v>
      </c>
      <c r="U401">
        <v>168.083576477534</v>
      </c>
      <c r="V401">
        <v>275.82293531361898</v>
      </c>
      <c r="W401">
        <v>162.24223187859999</v>
      </c>
      <c r="X401">
        <v>196.66707962021701</v>
      </c>
      <c r="Y401">
        <v>385.29493208431597</v>
      </c>
      <c r="Z401">
        <v>181.91166998954699</v>
      </c>
      <c r="AA401">
        <v>315.61120308801299</v>
      </c>
      <c r="AB401">
        <v>388.64262833125298</v>
      </c>
      <c r="AC401">
        <v>276.14406920968401</v>
      </c>
      <c r="AD401">
        <v>369.26357185348701</v>
      </c>
      <c r="AE401">
        <v>267.27385862755801</v>
      </c>
      <c r="AF401">
        <v>269.487117322892</v>
      </c>
      <c r="AG401">
        <v>336.142108844745</v>
      </c>
    </row>
    <row r="402" spans="1:33" x14ac:dyDescent="0.25">
      <c r="A402" s="1">
        <v>44453</v>
      </c>
      <c r="B402">
        <v>11507.892484670099</v>
      </c>
      <c r="C402">
        <v>7472.5383302999498</v>
      </c>
      <c r="D402">
        <v>7846.61317773874</v>
      </c>
      <c r="E402">
        <v>11546.197209587899</v>
      </c>
      <c r="F402">
        <v>12017.1203469068</v>
      </c>
      <c r="G402">
        <v>11214.9592326414</v>
      </c>
      <c r="H402">
        <v>23625.524070412499</v>
      </c>
      <c r="I402">
        <v>14607.9100889366</v>
      </c>
      <c r="J402">
        <v>838.18744328982302</v>
      </c>
      <c r="K402">
        <v>628.02808039252795</v>
      </c>
      <c r="L402">
        <v>436.8858502736</v>
      </c>
      <c r="M402">
        <v>9839.9992183104405</v>
      </c>
      <c r="N402">
        <v>2636.1998152484398</v>
      </c>
      <c r="O402">
        <v>436.96915565178699</v>
      </c>
      <c r="P402">
        <v>1054.8232022080499</v>
      </c>
      <c r="Q402">
        <v>8068.7785483711205</v>
      </c>
      <c r="R402">
        <v>525.95569389987497</v>
      </c>
      <c r="S402">
        <v>217.737363124864</v>
      </c>
      <c r="T402">
        <v>286.65251158969301</v>
      </c>
      <c r="U402">
        <v>164.376050850627</v>
      </c>
      <c r="V402">
        <v>267.407046215891</v>
      </c>
      <c r="W402">
        <v>165.38393959904599</v>
      </c>
      <c r="X402">
        <v>193.18656368767199</v>
      </c>
      <c r="Y402">
        <v>382.668342790265</v>
      </c>
      <c r="Z402">
        <v>182.120278733421</v>
      </c>
      <c r="AA402">
        <v>313.96813627431402</v>
      </c>
      <c r="AB402">
        <v>385.06319853523797</v>
      </c>
      <c r="AC402">
        <v>278.80800501005302</v>
      </c>
      <c r="AD402">
        <v>385.29119829460399</v>
      </c>
      <c r="AE402">
        <v>233.46235072886</v>
      </c>
      <c r="AF402">
        <v>271.21919939885902</v>
      </c>
      <c r="AG402">
        <v>333.69675429182098</v>
      </c>
    </row>
    <row r="403" spans="1:33" x14ac:dyDescent="0.25">
      <c r="A403" s="1">
        <v>44454</v>
      </c>
      <c r="B403">
        <v>11280.5362257872</v>
      </c>
      <c r="C403">
        <v>7917.8960163285501</v>
      </c>
      <c r="D403">
        <v>7770.2470073753502</v>
      </c>
      <c r="E403">
        <v>11199.467859030001</v>
      </c>
      <c r="F403">
        <v>12597.3816071335</v>
      </c>
      <c r="G403">
        <v>11353.169643711501</v>
      </c>
      <c r="H403">
        <v>24184.129649692099</v>
      </c>
      <c r="I403">
        <v>14772.8455054525</v>
      </c>
      <c r="J403">
        <v>854.19024317728997</v>
      </c>
      <c r="K403">
        <v>623.49383878704498</v>
      </c>
      <c r="L403">
        <v>460.56391534475</v>
      </c>
      <c r="M403">
        <v>10028.938469320899</v>
      </c>
      <c r="N403">
        <v>2750.1276269656</v>
      </c>
      <c r="O403">
        <v>484.00974220744001</v>
      </c>
      <c r="P403">
        <v>1109.13607777999</v>
      </c>
      <c r="Q403">
        <v>8255.0295822943008</v>
      </c>
      <c r="R403">
        <v>572.92653274354097</v>
      </c>
      <c r="S403">
        <v>217.39214105222501</v>
      </c>
      <c r="T403">
        <v>290.23618486769101</v>
      </c>
      <c r="U403">
        <v>164.473242083402</v>
      </c>
      <c r="V403">
        <v>240.52884428921101</v>
      </c>
      <c r="W403">
        <v>166.941875902296</v>
      </c>
      <c r="X403">
        <v>171.321918935919</v>
      </c>
      <c r="Y403">
        <v>379.178763345037</v>
      </c>
      <c r="Z403">
        <v>182.64798351542501</v>
      </c>
      <c r="AA403">
        <v>312.28223127064001</v>
      </c>
      <c r="AB403">
        <v>382.33992240548702</v>
      </c>
      <c r="AC403">
        <v>281.42364265790701</v>
      </c>
      <c r="AD403">
        <v>404.219956781154</v>
      </c>
      <c r="AE403">
        <v>270.82651546400001</v>
      </c>
      <c r="AF403">
        <v>271.99930590067999</v>
      </c>
      <c r="AG403">
        <v>330.32001453507701</v>
      </c>
    </row>
    <row r="404" spans="1:33" x14ac:dyDescent="0.25">
      <c r="A404" s="1">
        <v>44455</v>
      </c>
      <c r="B404">
        <v>11054.9808214728</v>
      </c>
      <c r="C404">
        <v>8356.6328575915795</v>
      </c>
      <c r="D404">
        <v>7747.8745462094203</v>
      </c>
      <c r="E404">
        <v>10939.8500934606</v>
      </c>
      <c r="F404">
        <v>12686.839528436099</v>
      </c>
      <c r="G404">
        <v>11222.457598130801</v>
      </c>
      <c r="H404">
        <v>23570.667349156502</v>
      </c>
      <c r="I404">
        <v>14940.7145994766</v>
      </c>
      <c r="J404">
        <v>870.41545821606405</v>
      </c>
      <c r="K404">
        <v>627.83947588572096</v>
      </c>
      <c r="L404">
        <v>476.60178831552003</v>
      </c>
      <c r="M404">
        <v>9803.36929393233</v>
      </c>
      <c r="N404">
        <v>2735.6005874446701</v>
      </c>
      <c r="O404">
        <v>507.97827634674701</v>
      </c>
      <c r="P404">
        <v>1154.10064944023</v>
      </c>
      <c r="Q404">
        <v>8255.7697207418696</v>
      </c>
      <c r="R404">
        <v>592.69692306371905</v>
      </c>
      <c r="S404">
        <v>216.868358071372</v>
      </c>
      <c r="T404">
        <v>280.68051403236501</v>
      </c>
      <c r="U404">
        <v>164.88658467462199</v>
      </c>
      <c r="V404">
        <v>232.27028961972101</v>
      </c>
      <c r="W404">
        <v>163.87441385364599</v>
      </c>
      <c r="X404">
        <v>172.76850051245299</v>
      </c>
      <c r="Y404">
        <v>375.91028540064599</v>
      </c>
      <c r="Z404">
        <v>181.29345851587601</v>
      </c>
      <c r="AA404">
        <v>311.49949625376001</v>
      </c>
      <c r="AB404">
        <v>378.70503292807399</v>
      </c>
      <c r="AC404">
        <v>281.60627642594397</v>
      </c>
      <c r="AD404">
        <v>418.246003595118</v>
      </c>
      <c r="AE404">
        <v>349.84143937137497</v>
      </c>
      <c r="AF404">
        <v>274.47867768781902</v>
      </c>
      <c r="AG404">
        <v>327.562971603574</v>
      </c>
    </row>
    <row r="405" spans="1:33" x14ac:dyDescent="0.25">
      <c r="A405" s="1">
        <v>44456</v>
      </c>
      <c r="B405">
        <v>10797.3631124563</v>
      </c>
      <c r="C405">
        <v>8233.2384366435908</v>
      </c>
      <c r="D405">
        <v>7794.28793952666</v>
      </c>
      <c r="E405">
        <v>10644.9381073569</v>
      </c>
      <c r="F405">
        <v>12528.1917344142</v>
      </c>
      <c r="G405">
        <v>11091.8049954912</v>
      </c>
      <c r="H405">
        <v>23161.2006949407</v>
      </c>
      <c r="I405">
        <v>15032.092057654199</v>
      </c>
      <c r="J405">
        <v>889.42789293619205</v>
      </c>
      <c r="K405">
        <v>639.41969591757504</v>
      </c>
      <c r="L405">
        <v>493.42425786691001</v>
      </c>
      <c r="M405">
        <v>9610.1851447233894</v>
      </c>
      <c r="N405">
        <v>2657.1627351512202</v>
      </c>
      <c r="O405">
        <v>510.754955912105</v>
      </c>
      <c r="P405">
        <v>1180.1429825845</v>
      </c>
      <c r="Q405">
        <v>8011.7630621069102</v>
      </c>
      <c r="R405">
        <v>597.79772818521803</v>
      </c>
      <c r="S405">
        <v>216.477443236515</v>
      </c>
      <c r="T405">
        <v>276.03651080934998</v>
      </c>
      <c r="U405">
        <v>163.39212413961101</v>
      </c>
      <c r="V405">
        <v>262.05311076422799</v>
      </c>
      <c r="W405">
        <v>162.02715753723899</v>
      </c>
      <c r="X405">
        <v>184.84780088736599</v>
      </c>
      <c r="Y405">
        <v>372.396367607527</v>
      </c>
      <c r="Z405">
        <v>180.66587555098499</v>
      </c>
      <c r="AA405">
        <v>310.877580464255</v>
      </c>
      <c r="AB405">
        <v>375.39705236154498</v>
      </c>
      <c r="AC405">
        <v>279.07356864105799</v>
      </c>
      <c r="AD405">
        <v>432.02284971691603</v>
      </c>
      <c r="AE405">
        <v>380.72296609249099</v>
      </c>
      <c r="AF405">
        <v>277.74855996656299</v>
      </c>
      <c r="AG405">
        <v>325.35280717710799</v>
      </c>
    </row>
    <row r="406" spans="1:33" x14ac:dyDescent="0.25">
      <c r="A406" s="1">
        <v>44457</v>
      </c>
      <c r="B406">
        <v>10526.386812234799</v>
      </c>
      <c r="C406">
        <v>7854.25597694936</v>
      </c>
      <c r="D406">
        <v>7953.4039295472703</v>
      </c>
      <c r="E406">
        <v>10481.256160875</v>
      </c>
      <c r="F406">
        <v>12311.873585475199</v>
      </c>
      <c r="G406">
        <v>10884.767891592801</v>
      </c>
      <c r="H406">
        <v>22798.7946064672</v>
      </c>
      <c r="I406">
        <v>15106.832801139401</v>
      </c>
      <c r="J406">
        <v>910.66301976198395</v>
      </c>
      <c r="K406">
        <v>660.53035248759204</v>
      </c>
      <c r="L406">
        <v>499.283240631274</v>
      </c>
      <c r="M406">
        <v>9610.9530926895295</v>
      </c>
      <c r="N406">
        <v>2728.5888816572801</v>
      </c>
      <c r="O406">
        <v>483.839098928986</v>
      </c>
      <c r="P406">
        <v>1167.04877619577</v>
      </c>
      <c r="Q406">
        <v>7985.45822507101</v>
      </c>
      <c r="R406">
        <v>595.267685092904</v>
      </c>
      <c r="S406">
        <v>215.773350731486</v>
      </c>
      <c r="T406">
        <v>295.591441328065</v>
      </c>
      <c r="U406">
        <v>161.946920890911</v>
      </c>
      <c r="V406">
        <v>306.64999345191598</v>
      </c>
      <c r="W406">
        <v>163.638179973642</v>
      </c>
      <c r="X406">
        <v>211.70034244173399</v>
      </c>
      <c r="Y406">
        <v>370.62296897812098</v>
      </c>
      <c r="Z406">
        <v>178.87135066091599</v>
      </c>
      <c r="AA406">
        <v>311.026963307085</v>
      </c>
      <c r="AB406">
        <v>372.92866545310198</v>
      </c>
      <c r="AC406">
        <v>276.718747650848</v>
      </c>
      <c r="AD406">
        <v>437.46919188158802</v>
      </c>
      <c r="AE406">
        <v>432.30507542146</v>
      </c>
      <c r="AF406">
        <v>280.47993508602099</v>
      </c>
      <c r="AG406">
        <v>324.45410609569899</v>
      </c>
    </row>
    <row r="407" spans="1:33" x14ac:dyDescent="0.25">
      <c r="A407" s="1">
        <v>44458</v>
      </c>
      <c r="B407">
        <v>10287.3977855516</v>
      </c>
      <c r="C407">
        <v>7331.2526466866402</v>
      </c>
      <c r="D407">
        <v>8028.56523974218</v>
      </c>
      <c r="E407">
        <v>10280.9623556509</v>
      </c>
      <c r="F407">
        <v>11820.4392491091</v>
      </c>
      <c r="G407">
        <v>10415.283303906101</v>
      </c>
      <c r="H407">
        <v>21869.6431739244</v>
      </c>
      <c r="I407">
        <v>15123.3297809183</v>
      </c>
      <c r="J407">
        <v>915.37207651156996</v>
      </c>
      <c r="K407">
        <v>660.11763765289197</v>
      </c>
      <c r="L407">
        <v>486.21816553929699</v>
      </c>
      <c r="M407">
        <v>9047.1414055108398</v>
      </c>
      <c r="N407">
        <v>2558.5558717758499</v>
      </c>
      <c r="O407">
        <v>442.97967102769201</v>
      </c>
      <c r="P407">
        <v>1101.6093628967701</v>
      </c>
      <c r="Q407">
        <v>7431.1196736271504</v>
      </c>
      <c r="R407">
        <v>558.91304232343896</v>
      </c>
      <c r="S407">
        <v>215.443749980718</v>
      </c>
      <c r="T407">
        <v>277.20869692813397</v>
      </c>
      <c r="U407">
        <v>168.852954281682</v>
      </c>
      <c r="V407">
        <v>291.50167101668399</v>
      </c>
      <c r="W407">
        <v>169.55462584921099</v>
      </c>
      <c r="X407">
        <v>204.30110133446601</v>
      </c>
      <c r="Y407">
        <v>368.86253645853299</v>
      </c>
      <c r="Z407">
        <v>177.86380617875599</v>
      </c>
      <c r="AA407">
        <v>312.12731057337902</v>
      </c>
      <c r="AB407">
        <v>371.71399820503399</v>
      </c>
      <c r="AC407">
        <v>272.08460974120902</v>
      </c>
      <c r="AD407">
        <v>422.10674486122201</v>
      </c>
      <c r="AE407">
        <v>432.78225818058201</v>
      </c>
      <c r="AF407">
        <v>285.03794291646801</v>
      </c>
      <c r="AG407">
        <v>323.89607737235599</v>
      </c>
    </row>
    <row r="408" spans="1:33" x14ac:dyDescent="0.25">
      <c r="A408" s="1">
        <v>44459</v>
      </c>
      <c r="B408">
        <v>10001.231061524401</v>
      </c>
      <c r="C408">
        <v>6605.6576807487099</v>
      </c>
      <c r="D408">
        <v>8010.9277990426499</v>
      </c>
      <c r="E408">
        <v>10036.575065618799</v>
      </c>
      <c r="F408">
        <v>11401.626654387999</v>
      </c>
      <c r="G408">
        <v>10215.345030229801</v>
      </c>
      <c r="H408">
        <v>21193.607288510699</v>
      </c>
      <c r="I408">
        <v>14944.597497058099</v>
      </c>
      <c r="J408">
        <v>917.02333914457597</v>
      </c>
      <c r="K408">
        <v>672.06325398059596</v>
      </c>
      <c r="L408">
        <v>468.96386489214399</v>
      </c>
      <c r="M408">
        <v>8800.2846092298205</v>
      </c>
      <c r="N408">
        <v>2283.9258623791202</v>
      </c>
      <c r="O408">
        <v>427.39949465362901</v>
      </c>
      <c r="P408">
        <v>1070.5229975914201</v>
      </c>
      <c r="Q408">
        <v>7038.1900271515397</v>
      </c>
      <c r="R408">
        <v>530.16156509205905</v>
      </c>
      <c r="S408">
        <v>215.532848801613</v>
      </c>
      <c r="T408">
        <v>258.41377634543801</v>
      </c>
      <c r="U408">
        <v>166.397889269209</v>
      </c>
      <c r="V408">
        <v>259.77257653190401</v>
      </c>
      <c r="W408">
        <v>161.865860843463</v>
      </c>
      <c r="X408">
        <v>187.09065422582299</v>
      </c>
      <c r="Y408">
        <v>371.11613453871502</v>
      </c>
      <c r="Z408">
        <v>179.10960639333101</v>
      </c>
      <c r="AA408">
        <v>313.024906813602</v>
      </c>
      <c r="AB408">
        <v>374.09643929190702</v>
      </c>
      <c r="AC408">
        <v>268.90624525357202</v>
      </c>
      <c r="AD408">
        <v>411.90315029864701</v>
      </c>
      <c r="AE408">
        <v>405.13036076690003</v>
      </c>
      <c r="AF408">
        <v>290.90762494658901</v>
      </c>
      <c r="AG408">
        <v>324.05739662415499</v>
      </c>
    </row>
    <row r="409" spans="1:33" x14ac:dyDescent="0.25">
      <c r="A409" s="1">
        <v>44460</v>
      </c>
      <c r="B409">
        <v>9733.7113882482608</v>
      </c>
      <c r="C409">
        <v>6363.8386899904999</v>
      </c>
      <c r="D409">
        <v>7891.7056459451396</v>
      </c>
      <c r="E409">
        <v>9862.4106291199096</v>
      </c>
      <c r="F409">
        <v>11242.2322802093</v>
      </c>
      <c r="G409">
        <v>10392.4514252387</v>
      </c>
      <c r="H409">
        <v>21466.7859327433</v>
      </c>
      <c r="I409">
        <v>14708.265999895</v>
      </c>
      <c r="J409">
        <v>926.26503005730603</v>
      </c>
      <c r="K409">
        <v>698.53692483565101</v>
      </c>
      <c r="L409">
        <v>467.53234963484198</v>
      </c>
      <c r="M409">
        <v>8952.6159547646093</v>
      </c>
      <c r="N409">
        <v>2134.9946079798701</v>
      </c>
      <c r="O409">
        <v>467.802203259588</v>
      </c>
      <c r="P409">
        <v>1085.4588217579601</v>
      </c>
      <c r="Q409">
        <v>7025.68274974422</v>
      </c>
      <c r="R409">
        <v>543.98295786687902</v>
      </c>
      <c r="S409">
        <v>215.32671039578801</v>
      </c>
      <c r="T409">
        <v>244.51102427447401</v>
      </c>
      <c r="U409">
        <v>163.82987567500501</v>
      </c>
      <c r="V409">
        <v>227.639941604543</v>
      </c>
      <c r="W409">
        <v>160.80103345934299</v>
      </c>
      <c r="X409">
        <v>173.69184594519399</v>
      </c>
      <c r="Y409">
        <v>373.05896277974699</v>
      </c>
      <c r="Z409">
        <v>179.65053245056501</v>
      </c>
      <c r="AA409">
        <v>314.521690946501</v>
      </c>
      <c r="AB409">
        <v>377.09527360311301</v>
      </c>
      <c r="AC409">
        <v>271.97413959059799</v>
      </c>
      <c r="AD409">
        <v>415.61284408799401</v>
      </c>
      <c r="AE409">
        <v>413.17290910733999</v>
      </c>
      <c r="AF409">
        <v>294.89078493269301</v>
      </c>
      <c r="AG409">
        <v>324.459995642818</v>
      </c>
    </row>
    <row r="410" spans="1:33" x14ac:dyDescent="0.25">
      <c r="A410" s="1">
        <v>44461</v>
      </c>
      <c r="B410">
        <v>9556.4847096208705</v>
      </c>
      <c r="C410">
        <v>6421.4483493668504</v>
      </c>
      <c r="D410">
        <v>7712.1958197357499</v>
      </c>
      <c r="E410">
        <v>9822.4162176384507</v>
      </c>
      <c r="F410">
        <v>11553.748406831201</v>
      </c>
      <c r="G410">
        <v>11324.771580049801</v>
      </c>
      <c r="H410">
        <v>23199.584648913202</v>
      </c>
      <c r="I410">
        <v>14624.1734114828</v>
      </c>
      <c r="J410">
        <v>956.65615684089505</v>
      </c>
      <c r="K410">
        <v>699.266560637986</v>
      </c>
      <c r="L410">
        <v>498.00408560749202</v>
      </c>
      <c r="M410">
        <v>9738.7025413985593</v>
      </c>
      <c r="N410">
        <v>2284.62241536379</v>
      </c>
      <c r="O410">
        <v>534.74775128090698</v>
      </c>
      <c r="P410">
        <v>1156.5258146010899</v>
      </c>
      <c r="Q410">
        <v>7882.8314801167298</v>
      </c>
      <c r="R410">
        <v>600.58483195285999</v>
      </c>
      <c r="S410">
        <v>214.780729087906</v>
      </c>
      <c r="T410">
        <v>252.63604219089501</v>
      </c>
      <c r="U410">
        <v>163.50511558145601</v>
      </c>
      <c r="V410">
        <v>237.47424910773901</v>
      </c>
      <c r="W410">
        <v>154.12843507277401</v>
      </c>
      <c r="X410">
        <v>171.49740032127599</v>
      </c>
      <c r="Y410">
        <v>370.91790666633699</v>
      </c>
      <c r="Z410">
        <v>179.77075598982799</v>
      </c>
      <c r="AA410">
        <v>315.755266375622</v>
      </c>
      <c r="AB410">
        <v>379.38084724149797</v>
      </c>
      <c r="AC410">
        <v>278.90789333055</v>
      </c>
      <c r="AD410">
        <v>441.06982273678</v>
      </c>
      <c r="AE410">
        <v>472.63920605985197</v>
      </c>
      <c r="AF410">
        <v>294.89276660356501</v>
      </c>
      <c r="AG410">
        <v>324.38501686594702</v>
      </c>
    </row>
    <row r="411" spans="1:33" x14ac:dyDescent="0.25">
      <c r="A411" s="1">
        <v>44462</v>
      </c>
      <c r="B411">
        <v>9520.9857199945309</v>
      </c>
      <c r="C411">
        <v>7402.9020873306499</v>
      </c>
      <c r="D411">
        <v>7422.23605365</v>
      </c>
      <c r="E411">
        <v>9791.7196060379501</v>
      </c>
      <c r="F411">
        <v>12126.6564186875</v>
      </c>
      <c r="G411">
        <v>11624.6311523527</v>
      </c>
      <c r="H411">
        <v>23379.738167578402</v>
      </c>
      <c r="I411">
        <v>14701.505558467299</v>
      </c>
      <c r="J411">
        <v>983.20677502932097</v>
      </c>
      <c r="K411">
        <v>706.77425879432099</v>
      </c>
      <c r="L411">
        <v>526.82220812659602</v>
      </c>
      <c r="M411">
        <v>10115.3466975676</v>
      </c>
      <c r="N411">
        <v>2397.36158713439</v>
      </c>
      <c r="O411">
        <v>569.30626304005602</v>
      </c>
      <c r="P411">
        <v>1242.8021522123599</v>
      </c>
      <c r="Q411">
        <v>8228.6831379936302</v>
      </c>
      <c r="R411">
        <v>641.53202232634703</v>
      </c>
      <c r="S411">
        <v>214.60416233625199</v>
      </c>
      <c r="T411">
        <v>246.91807452926301</v>
      </c>
      <c r="U411">
        <v>163.95589692624199</v>
      </c>
      <c r="V411">
        <v>222.29522653449001</v>
      </c>
      <c r="W411">
        <v>154.32063834903599</v>
      </c>
      <c r="X411">
        <v>167.126554401372</v>
      </c>
      <c r="Y411">
        <v>372.65118366330603</v>
      </c>
      <c r="Z411">
        <v>178.235281330243</v>
      </c>
      <c r="AA411">
        <v>318.38178590136499</v>
      </c>
      <c r="AB411">
        <v>381.22246882530999</v>
      </c>
      <c r="AC411">
        <v>288.98556692914502</v>
      </c>
      <c r="AD411">
        <v>461.52890889292098</v>
      </c>
      <c r="AE411">
        <v>446.64972530007202</v>
      </c>
      <c r="AF411">
        <v>295.731965115619</v>
      </c>
      <c r="AG411">
        <v>323.79694986470099</v>
      </c>
    </row>
    <row r="412" spans="1:33" x14ac:dyDescent="0.25">
      <c r="A412" s="1">
        <v>44463</v>
      </c>
      <c r="B412">
        <v>9521.8973771874498</v>
      </c>
      <c r="C412">
        <v>7733.8323022592203</v>
      </c>
      <c r="D412">
        <v>7175.3352515536699</v>
      </c>
      <c r="E412">
        <v>9722.7625641605791</v>
      </c>
      <c r="F412">
        <v>12411.442515349299</v>
      </c>
      <c r="G412">
        <v>11930.5639175095</v>
      </c>
      <c r="H412">
        <v>23887.153675533002</v>
      </c>
      <c r="I412">
        <v>14825.451056793099</v>
      </c>
      <c r="J412">
        <v>1008.31831326971</v>
      </c>
      <c r="K412">
        <v>734.96031543423703</v>
      </c>
      <c r="L412">
        <v>550.95887190359497</v>
      </c>
      <c r="M412">
        <v>10340.361216052799</v>
      </c>
      <c r="N412">
        <v>2412.4722054457802</v>
      </c>
      <c r="O412">
        <v>585.35430600903601</v>
      </c>
      <c r="P412">
        <v>1284.9101360288</v>
      </c>
      <c r="Q412">
        <v>8458.6333444976099</v>
      </c>
      <c r="R412">
        <v>669.25408901639105</v>
      </c>
      <c r="S412">
        <v>214.293904254648</v>
      </c>
      <c r="T412">
        <v>238.445773664554</v>
      </c>
      <c r="U412">
        <v>160.30817544770699</v>
      </c>
      <c r="V412">
        <v>234.45959239309201</v>
      </c>
      <c r="W412">
        <v>146.51631947258099</v>
      </c>
      <c r="X412">
        <v>170.56346485605599</v>
      </c>
      <c r="Y412">
        <v>376.16746692199303</v>
      </c>
      <c r="Z412">
        <v>176.31169512842999</v>
      </c>
      <c r="AA412">
        <v>320.811287770305</v>
      </c>
      <c r="AB412">
        <v>383.92893380984998</v>
      </c>
      <c r="AC412">
        <v>305.77713328607501</v>
      </c>
      <c r="AD412">
        <v>479.31349028567899</v>
      </c>
      <c r="AE412">
        <v>405.83713135504399</v>
      </c>
      <c r="AF412">
        <v>296.77802744304398</v>
      </c>
      <c r="AG412">
        <v>324.72814422987102</v>
      </c>
    </row>
    <row r="413" spans="1:33" x14ac:dyDescent="0.25">
      <c r="A413" s="1">
        <v>44464</v>
      </c>
      <c r="B413">
        <v>9511.9980627306304</v>
      </c>
      <c r="C413">
        <v>8115.7244974292898</v>
      </c>
      <c r="D413">
        <v>7092.7711223357701</v>
      </c>
      <c r="E413">
        <v>9701.4079234001401</v>
      </c>
      <c r="F413">
        <v>12811.2890917033</v>
      </c>
      <c r="G413">
        <v>11984.3377310407</v>
      </c>
      <c r="H413">
        <v>24713.085267655901</v>
      </c>
      <c r="I413">
        <v>14943.8280666152</v>
      </c>
      <c r="J413">
        <v>1035.32911317254</v>
      </c>
      <c r="K413">
        <v>739.86369970807505</v>
      </c>
      <c r="L413">
        <v>568.05979952931102</v>
      </c>
      <c r="M413">
        <v>10486.718001093501</v>
      </c>
      <c r="N413">
        <v>2523.3709879214598</v>
      </c>
      <c r="O413">
        <v>572.16965026754599</v>
      </c>
      <c r="P413">
        <v>1274.10806497884</v>
      </c>
      <c r="Q413">
        <v>8685.8641037195393</v>
      </c>
      <c r="R413">
        <v>693.21047684520602</v>
      </c>
      <c r="S413">
        <v>214.162159449337</v>
      </c>
      <c r="T413">
        <v>247.71011195734599</v>
      </c>
      <c r="U413">
        <v>144.474622701149</v>
      </c>
      <c r="V413">
        <v>246.847255874003</v>
      </c>
      <c r="W413">
        <v>143.30440783928299</v>
      </c>
      <c r="X413">
        <v>170.82851134807601</v>
      </c>
      <c r="Y413">
        <v>376.40442600106002</v>
      </c>
      <c r="Z413">
        <v>174.85386455762401</v>
      </c>
      <c r="AA413">
        <v>322.16213496034698</v>
      </c>
      <c r="AB413">
        <v>387.288457120381</v>
      </c>
      <c r="AC413">
        <v>317.33429131830201</v>
      </c>
      <c r="AD413">
        <v>486.46575255115499</v>
      </c>
      <c r="AE413">
        <v>336.770644240737</v>
      </c>
      <c r="AF413">
        <v>296.62113274722998</v>
      </c>
      <c r="AG413">
        <v>327.15394214366302</v>
      </c>
    </row>
    <row r="414" spans="1:33" x14ac:dyDescent="0.25">
      <c r="A414" s="1">
        <v>44465</v>
      </c>
      <c r="B414">
        <v>9497.3099603220599</v>
      </c>
      <c r="C414">
        <v>8781.3413886126309</v>
      </c>
      <c r="D414">
        <v>7168.3901238267799</v>
      </c>
      <c r="E414">
        <v>9703.1029020693804</v>
      </c>
      <c r="F414">
        <v>12816.7310769571</v>
      </c>
      <c r="G414">
        <v>11857.102989797801</v>
      </c>
      <c r="H414">
        <v>25017.999988809301</v>
      </c>
      <c r="I414">
        <v>15045.9522245917</v>
      </c>
      <c r="J414">
        <v>1053.4833219545301</v>
      </c>
      <c r="K414">
        <v>758.08423519658697</v>
      </c>
      <c r="L414">
        <v>570.14430316292203</v>
      </c>
      <c r="M414">
        <v>10690.3384116668</v>
      </c>
      <c r="N414">
        <v>2826.4363369590701</v>
      </c>
      <c r="O414">
        <v>574.00699571709697</v>
      </c>
      <c r="P414">
        <v>1280.8418258182301</v>
      </c>
      <c r="Q414">
        <v>8712.8177520683203</v>
      </c>
      <c r="R414">
        <v>711.145572818348</v>
      </c>
      <c r="S414">
        <v>213.87815117573899</v>
      </c>
      <c r="T414">
        <v>254.33485508461999</v>
      </c>
      <c r="U414">
        <v>145.104296215358</v>
      </c>
      <c r="V414">
        <v>250.08634096086899</v>
      </c>
      <c r="W414">
        <v>144.191286781217</v>
      </c>
      <c r="X414">
        <v>171.40427853161901</v>
      </c>
      <c r="Y414">
        <v>379.30408277410299</v>
      </c>
      <c r="Z414">
        <v>172.53479745228199</v>
      </c>
      <c r="AA414">
        <v>323.308458322234</v>
      </c>
      <c r="AB414">
        <v>391.68061333595301</v>
      </c>
      <c r="AC414">
        <v>328.11812201295902</v>
      </c>
      <c r="AD414">
        <v>487.66056658490402</v>
      </c>
      <c r="AE414">
        <v>291.31150393765603</v>
      </c>
      <c r="AF414">
        <v>296.90199959539302</v>
      </c>
      <c r="AG414">
        <v>329.47261324754299</v>
      </c>
    </row>
    <row r="415" spans="1:33" x14ac:dyDescent="0.25">
      <c r="A415" s="1">
        <v>44466</v>
      </c>
      <c r="B415">
        <v>9503.3685051194407</v>
      </c>
      <c r="C415">
        <v>8805.7459901930506</v>
      </c>
      <c r="D415">
        <v>7302.9815421268904</v>
      </c>
      <c r="E415">
        <v>9697.7909545912808</v>
      </c>
      <c r="F415">
        <v>12687.2753167516</v>
      </c>
      <c r="G415">
        <v>11634.6788326106</v>
      </c>
      <c r="H415">
        <v>25075.153556286699</v>
      </c>
      <c r="I415">
        <v>15204.611218550701</v>
      </c>
      <c r="J415">
        <v>1071.0498457870101</v>
      </c>
      <c r="K415">
        <v>771.00213162801595</v>
      </c>
      <c r="L415">
        <v>566.10928627140299</v>
      </c>
      <c r="M415">
        <v>10486.584096529499</v>
      </c>
      <c r="N415">
        <v>2846.0208867556498</v>
      </c>
      <c r="O415">
        <v>558.41059679226396</v>
      </c>
      <c r="P415">
        <v>1294.9265409299201</v>
      </c>
      <c r="Q415">
        <v>8530.2860104834799</v>
      </c>
      <c r="R415">
        <v>715.80165691300294</v>
      </c>
      <c r="S415">
        <v>213.833409242974</v>
      </c>
      <c r="T415">
        <v>251.44436283081501</v>
      </c>
      <c r="U415">
        <v>142.56261896514999</v>
      </c>
      <c r="V415">
        <v>214.87334071118201</v>
      </c>
      <c r="W415">
        <v>139.00502664647601</v>
      </c>
      <c r="X415">
        <v>146.78259404092199</v>
      </c>
      <c r="Y415">
        <v>384.992912178513</v>
      </c>
      <c r="Z415">
        <v>171.06973722529301</v>
      </c>
      <c r="AA415">
        <v>325.79470421897099</v>
      </c>
      <c r="AB415">
        <v>394.69609608374901</v>
      </c>
      <c r="AC415">
        <v>338.888028897651</v>
      </c>
      <c r="AD415">
        <v>485.94521475947698</v>
      </c>
      <c r="AE415">
        <v>333.57058731895398</v>
      </c>
      <c r="AF415">
        <v>297.84130310367698</v>
      </c>
      <c r="AG415">
        <v>332.127382136623</v>
      </c>
    </row>
    <row r="416" spans="1:33" x14ac:dyDescent="0.25">
      <c r="A416" s="1">
        <v>44467</v>
      </c>
      <c r="B416">
        <v>9479.4807126997093</v>
      </c>
      <c r="C416">
        <v>8677.2913465136207</v>
      </c>
      <c r="D416">
        <v>7599.5128523150497</v>
      </c>
      <c r="E416">
        <v>9479.9421117878901</v>
      </c>
      <c r="F416">
        <v>12029.3673016056</v>
      </c>
      <c r="G416">
        <v>10854.365502315701</v>
      </c>
      <c r="H416">
        <v>23714.1106380452</v>
      </c>
      <c r="I416">
        <v>15347.0542728577</v>
      </c>
      <c r="J416">
        <v>1064.70908888492</v>
      </c>
      <c r="K416">
        <v>784.90517119912397</v>
      </c>
      <c r="L416">
        <v>552.97068547454705</v>
      </c>
      <c r="M416">
        <v>9443.5007291978709</v>
      </c>
      <c r="N416">
        <v>2015.76583889567</v>
      </c>
      <c r="O416">
        <v>555.67265037047503</v>
      </c>
      <c r="P416">
        <v>1221.8257735685199</v>
      </c>
      <c r="Q416">
        <v>7656.5529271482501</v>
      </c>
      <c r="R416">
        <v>689.24006884282699</v>
      </c>
      <c r="S416">
        <v>213.19607102743899</v>
      </c>
      <c r="T416">
        <v>210.38718212685299</v>
      </c>
      <c r="U416">
        <v>141.84278319204</v>
      </c>
      <c r="V416">
        <v>150.35118374072201</v>
      </c>
      <c r="W416">
        <v>137.33111997459801</v>
      </c>
      <c r="X416">
        <v>144.479186937701</v>
      </c>
      <c r="Y416">
        <v>386.99256974651001</v>
      </c>
      <c r="Z416">
        <v>171.12232867643399</v>
      </c>
      <c r="AA416">
        <v>328.57706253636502</v>
      </c>
      <c r="AB416">
        <v>396.75216587232399</v>
      </c>
      <c r="AC416">
        <v>342.52177578857902</v>
      </c>
      <c r="AD416">
        <v>468.74947161561403</v>
      </c>
      <c r="AE416">
        <v>362.05735324516201</v>
      </c>
      <c r="AF416">
        <v>299.26762255194802</v>
      </c>
      <c r="AG416">
        <v>335.37221514253599</v>
      </c>
    </row>
    <row r="417" spans="1:33" x14ac:dyDescent="0.25">
      <c r="A417" s="1">
        <v>44468</v>
      </c>
      <c r="B417">
        <v>9343.6808474388308</v>
      </c>
      <c r="C417">
        <v>7558.5368719336002</v>
      </c>
      <c r="D417">
        <v>7905.9554052424501</v>
      </c>
      <c r="E417">
        <v>9390.1314606157193</v>
      </c>
      <c r="F417">
        <v>11337.207264734699</v>
      </c>
      <c r="G417">
        <v>10462.5239819707</v>
      </c>
      <c r="H417">
        <v>23559.534331344399</v>
      </c>
      <c r="I417">
        <v>15326.5193285721</v>
      </c>
      <c r="J417">
        <v>1052.0950343216</v>
      </c>
      <c r="K417">
        <v>797.49376964494695</v>
      </c>
      <c r="L417">
        <v>551.51794473555594</v>
      </c>
      <c r="M417">
        <v>9141.0385876892506</v>
      </c>
      <c r="N417">
        <v>1792.74816483276</v>
      </c>
      <c r="O417">
        <v>542.02083332527604</v>
      </c>
      <c r="P417">
        <v>1182.2679391269801</v>
      </c>
      <c r="Q417">
        <v>7215.3521564889797</v>
      </c>
      <c r="R417">
        <v>674.22133134968396</v>
      </c>
      <c r="S417">
        <v>214.265298121266</v>
      </c>
      <c r="T417">
        <v>198.85401637033999</v>
      </c>
      <c r="U417">
        <v>142.44479438235899</v>
      </c>
      <c r="V417">
        <v>147.315088269863</v>
      </c>
      <c r="W417">
        <v>131.88700346962801</v>
      </c>
      <c r="X417">
        <v>138.182171928353</v>
      </c>
      <c r="Y417">
        <v>394.74648652552401</v>
      </c>
      <c r="Z417">
        <v>171.79410390249501</v>
      </c>
      <c r="AA417">
        <v>331.581429044083</v>
      </c>
      <c r="AB417">
        <v>399.278605332768</v>
      </c>
      <c r="AC417">
        <v>342.44167020213899</v>
      </c>
      <c r="AD417">
        <v>476.01351005655101</v>
      </c>
      <c r="AE417">
        <v>370.62773720626399</v>
      </c>
      <c r="AF417">
        <v>301.72538031416599</v>
      </c>
      <c r="AG417">
        <v>339.76856665085</v>
      </c>
    </row>
    <row r="418" spans="1:33" x14ac:dyDescent="0.25">
      <c r="A418" s="1">
        <v>44469</v>
      </c>
      <c r="B418">
        <v>9204.5963981888108</v>
      </c>
      <c r="C418">
        <v>7104.4473102966504</v>
      </c>
      <c r="D418">
        <v>8141.4196769269802</v>
      </c>
      <c r="E418">
        <v>9371.5659952258193</v>
      </c>
      <c r="F418">
        <v>11081.759880834499</v>
      </c>
      <c r="G418">
        <v>10433.7511683676</v>
      </c>
      <c r="H418">
        <v>23601.566091953599</v>
      </c>
      <c r="I418">
        <v>15152.916304329499</v>
      </c>
      <c r="J418">
        <v>1033.55197133823</v>
      </c>
      <c r="K418">
        <v>804.21874927844306</v>
      </c>
      <c r="L418">
        <v>551.30178018891195</v>
      </c>
      <c r="M418">
        <v>9024.8028799589192</v>
      </c>
      <c r="N418">
        <v>1637.5942417285</v>
      </c>
      <c r="O418">
        <v>534.11174850524696</v>
      </c>
      <c r="P418">
        <v>1132.5899973548201</v>
      </c>
      <c r="Q418">
        <v>6966.1879883146503</v>
      </c>
      <c r="R418">
        <v>661.32349059641297</v>
      </c>
      <c r="S418">
        <v>213.72941593006499</v>
      </c>
      <c r="T418">
        <v>192.544562153779</v>
      </c>
      <c r="U418">
        <v>139.298593750771</v>
      </c>
      <c r="V418">
        <v>175.41852403376399</v>
      </c>
      <c r="W418">
        <v>130.70942061649501</v>
      </c>
      <c r="X418">
        <v>139.471134543369</v>
      </c>
      <c r="Y418">
        <v>396.26278665972802</v>
      </c>
      <c r="Z418">
        <v>170.354605291468</v>
      </c>
      <c r="AA418">
        <v>336.90933661913101</v>
      </c>
      <c r="AB418">
        <v>402.43600979731298</v>
      </c>
      <c r="AC418">
        <v>340.50931241934097</v>
      </c>
      <c r="AD418">
        <v>477.66116478857901</v>
      </c>
      <c r="AE418">
        <v>393.374498371134</v>
      </c>
      <c r="AF418">
        <v>303.72571719902299</v>
      </c>
      <c r="AG418">
        <v>343.97698151981302</v>
      </c>
    </row>
    <row r="419" spans="1:33" x14ac:dyDescent="0.25">
      <c r="A419" s="1">
        <v>44470</v>
      </c>
      <c r="B419">
        <v>9224.0117717611101</v>
      </c>
      <c r="C419">
        <v>6888.3664964710597</v>
      </c>
      <c r="D419">
        <v>8202.6960794000897</v>
      </c>
      <c r="E419">
        <v>9442.5694652454004</v>
      </c>
      <c r="F419">
        <v>11203.192054854901</v>
      </c>
      <c r="G419">
        <v>10753.5805664032</v>
      </c>
      <c r="H419">
        <v>23941.948058620899</v>
      </c>
      <c r="I419">
        <v>14956.2544745796</v>
      </c>
      <c r="J419">
        <v>1017.37593891516</v>
      </c>
      <c r="K419">
        <v>832.17265738075696</v>
      </c>
      <c r="L419">
        <v>551.39329303956902</v>
      </c>
      <c r="M419">
        <v>9188.51958544232</v>
      </c>
      <c r="N419">
        <v>1741.5615837620301</v>
      </c>
      <c r="O419">
        <v>487.06362743186702</v>
      </c>
      <c r="P419">
        <v>1117.3375840637</v>
      </c>
      <c r="Q419">
        <v>7098.3775323938198</v>
      </c>
      <c r="R419">
        <v>639.84099951457995</v>
      </c>
      <c r="S419">
        <v>212.89144079408899</v>
      </c>
      <c r="T419">
        <v>193.563871432844</v>
      </c>
      <c r="U419">
        <v>124.234963574958</v>
      </c>
      <c r="V419">
        <v>196.489929510206</v>
      </c>
      <c r="W419">
        <v>110.83125583605199</v>
      </c>
      <c r="X419">
        <v>145.270949429502</v>
      </c>
      <c r="Y419">
        <v>400.35712833724398</v>
      </c>
      <c r="Z419">
        <v>164.847377819869</v>
      </c>
      <c r="AA419">
        <v>340.88610380072703</v>
      </c>
      <c r="AB419">
        <v>406.41853109226503</v>
      </c>
      <c r="AC419">
        <v>337.24604733113398</v>
      </c>
      <c r="AD419">
        <v>477.634178449741</v>
      </c>
      <c r="AE419">
        <v>333.12430201591002</v>
      </c>
      <c r="AF419">
        <v>304.69517181580898</v>
      </c>
      <c r="AG419">
        <v>347.778056305066</v>
      </c>
    </row>
    <row r="420" spans="1:33" x14ac:dyDescent="0.25">
      <c r="A420" s="1">
        <v>44471</v>
      </c>
      <c r="B420">
        <v>9370.6721209197003</v>
      </c>
      <c r="C420">
        <v>7009.0195730924997</v>
      </c>
      <c r="D420">
        <v>8044.4030331112099</v>
      </c>
      <c r="E420">
        <v>9584.1518276358202</v>
      </c>
      <c r="F420">
        <v>11656.9407452409</v>
      </c>
      <c r="G420">
        <v>11257.6571571897</v>
      </c>
      <c r="H420">
        <v>24199.192581519699</v>
      </c>
      <c r="I420">
        <v>14856.874367059399</v>
      </c>
      <c r="J420">
        <v>1003.80130820565</v>
      </c>
      <c r="K420">
        <v>841.63698560982004</v>
      </c>
      <c r="L420">
        <v>549.06052102942999</v>
      </c>
      <c r="M420">
        <v>9502.71169475434</v>
      </c>
      <c r="N420">
        <v>1966.27696085103</v>
      </c>
      <c r="O420">
        <v>481.05342369034298</v>
      </c>
      <c r="P420">
        <v>1128.81209287039</v>
      </c>
      <c r="Q420">
        <v>7479.0622215806397</v>
      </c>
      <c r="R420">
        <v>633.11498110906405</v>
      </c>
      <c r="S420">
        <v>211.67499833037701</v>
      </c>
      <c r="T420">
        <v>200.736573702854</v>
      </c>
      <c r="U420">
        <v>109.77509755265299</v>
      </c>
      <c r="V420">
        <v>214.00720538891599</v>
      </c>
      <c r="W420">
        <v>120.436606249722</v>
      </c>
      <c r="X420">
        <v>153.25354070540499</v>
      </c>
      <c r="Y420">
        <v>402.77122997875</v>
      </c>
      <c r="Z420">
        <v>157.652110786278</v>
      </c>
      <c r="AA420">
        <v>345.09595003989801</v>
      </c>
      <c r="AB420">
        <v>408.32709266910598</v>
      </c>
      <c r="AC420">
        <v>336.26037989913402</v>
      </c>
      <c r="AD420">
        <v>476.73310431963699</v>
      </c>
      <c r="AE420">
        <v>313.186316369314</v>
      </c>
      <c r="AF420">
        <v>305.16718587775398</v>
      </c>
      <c r="AG420">
        <v>352.38991520792899</v>
      </c>
    </row>
    <row r="421" spans="1:33" x14ac:dyDescent="0.25">
      <c r="A421" s="1">
        <v>44472</v>
      </c>
      <c r="B421">
        <v>9537.6574863285605</v>
      </c>
      <c r="C421">
        <v>7122.5324404454996</v>
      </c>
      <c r="D421">
        <v>7804.2655456017501</v>
      </c>
      <c r="E421">
        <v>9757.9051275040802</v>
      </c>
      <c r="F421">
        <v>12265.4330221529</v>
      </c>
      <c r="G421">
        <v>11798.307709693199</v>
      </c>
      <c r="H421">
        <v>24379.360352890999</v>
      </c>
      <c r="I421">
        <v>14930.3195452034</v>
      </c>
      <c r="J421">
        <v>996.45145150071096</v>
      </c>
      <c r="K421">
        <v>855.15341982209304</v>
      </c>
      <c r="L421">
        <v>547.43715280077299</v>
      </c>
      <c r="M421">
        <v>10006.880486206201</v>
      </c>
      <c r="N421">
        <v>2259.38510215527</v>
      </c>
      <c r="O421">
        <v>483.59290784575597</v>
      </c>
      <c r="P421">
        <v>1149.0746809364</v>
      </c>
      <c r="Q421">
        <v>8034.1610451677698</v>
      </c>
      <c r="R421">
        <v>627.02044518172204</v>
      </c>
      <c r="S421">
        <v>210.09944529344801</v>
      </c>
      <c r="T421">
        <v>212.55011641383101</v>
      </c>
      <c r="U421">
        <v>126.152040409295</v>
      </c>
      <c r="V421">
        <v>230.064241670294</v>
      </c>
      <c r="W421">
        <v>132.68708453664701</v>
      </c>
      <c r="X421">
        <v>151.26785368418999</v>
      </c>
      <c r="Y421">
        <v>401.74266939391401</v>
      </c>
      <c r="Z421">
        <v>153.27296502087799</v>
      </c>
      <c r="AA421">
        <v>349.51580267048303</v>
      </c>
      <c r="AB421">
        <v>408.142495253959</v>
      </c>
      <c r="AC421">
        <v>337.02015683955602</v>
      </c>
      <c r="AD421">
        <v>477.23589085035297</v>
      </c>
      <c r="AE421">
        <v>311.59169084768598</v>
      </c>
      <c r="AF421">
        <v>305.90077962754901</v>
      </c>
      <c r="AG421">
        <v>355.148116488131</v>
      </c>
    </row>
    <row r="422" spans="1:33" x14ac:dyDescent="0.25">
      <c r="A422" s="1">
        <v>44473</v>
      </c>
      <c r="B422">
        <v>9646.5532121983506</v>
      </c>
      <c r="C422">
        <v>7271.9863905943002</v>
      </c>
      <c r="D422">
        <v>7663.9711776777904</v>
      </c>
      <c r="E422">
        <v>9915.4493853333406</v>
      </c>
      <c r="F422">
        <v>12860.076840183399</v>
      </c>
      <c r="G422">
        <v>12431.0752805882</v>
      </c>
      <c r="H422">
        <v>24776.640867760099</v>
      </c>
      <c r="I422">
        <v>15147.9904334859</v>
      </c>
      <c r="J422">
        <v>997.31496167763498</v>
      </c>
      <c r="K422">
        <v>865.78328599864403</v>
      </c>
      <c r="L422">
        <v>545.05361350364603</v>
      </c>
      <c r="M422">
        <v>10572.4723639167</v>
      </c>
      <c r="N422">
        <v>2556.8338352973501</v>
      </c>
      <c r="O422">
        <v>503.42525170446601</v>
      </c>
      <c r="P422">
        <v>1178.1292771246699</v>
      </c>
      <c r="Q422">
        <v>8607.3281155572295</v>
      </c>
      <c r="R422">
        <v>628.27895704145703</v>
      </c>
      <c r="S422">
        <v>208.178949263985</v>
      </c>
      <c r="T422">
        <v>227.05560558163299</v>
      </c>
      <c r="U422">
        <v>131.301657345569</v>
      </c>
      <c r="V422">
        <v>234.65218818333</v>
      </c>
      <c r="W422">
        <v>140.424509778089</v>
      </c>
      <c r="X422">
        <v>145.36677789130201</v>
      </c>
      <c r="Y422">
        <v>403.95972233703998</v>
      </c>
      <c r="Z422">
        <v>150.530972920457</v>
      </c>
      <c r="AA422">
        <v>352.76218186424501</v>
      </c>
      <c r="AB422">
        <v>410.97955973451002</v>
      </c>
      <c r="AC422">
        <v>343.42221810673402</v>
      </c>
      <c r="AD422">
        <v>477.61509360719702</v>
      </c>
      <c r="AE422">
        <v>272.00489432535301</v>
      </c>
      <c r="AF422">
        <v>306.86899815775598</v>
      </c>
      <c r="AG422">
        <v>358.491888333492</v>
      </c>
    </row>
    <row r="423" spans="1:33" x14ac:dyDescent="0.25">
      <c r="A423" s="1">
        <v>44474</v>
      </c>
      <c r="B423">
        <v>9699.6083632665704</v>
      </c>
      <c r="C423">
        <v>7757.2160460227597</v>
      </c>
      <c r="D423">
        <v>7681.47513289569</v>
      </c>
      <c r="E423">
        <v>10141.013242511901</v>
      </c>
      <c r="F423">
        <v>13500.4101864936</v>
      </c>
      <c r="G423">
        <v>13338.002206417999</v>
      </c>
      <c r="H423">
        <v>25911.926898160698</v>
      </c>
      <c r="I423">
        <v>15397.5684775182</v>
      </c>
      <c r="J423">
        <v>1024.0606259746201</v>
      </c>
      <c r="K423">
        <v>843.23622913676502</v>
      </c>
      <c r="L423">
        <v>563.208148861719</v>
      </c>
      <c r="M423">
        <v>11345.818365114599</v>
      </c>
      <c r="N423">
        <v>2938.5952780909302</v>
      </c>
      <c r="O423">
        <v>590.23342384144598</v>
      </c>
      <c r="P423">
        <v>1266.6086073321701</v>
      </c>
      <c r="Q423">
        <v>9478.5114591585498</v>
      </c>
      <c r="R423">
        <v>680.557316057663</v>
      </c>
      <c r="S423">
        <v>205.91380940465601</v>
      </c>
      <c r="T423">
        <v>255.842999932586</v>
      </c>
      <c r="U423">
        <v>127.94100810774</v>
      </c>
      <c r="V423">
        <v>261.44443138506801</v>
      </c>
      <c r="W423">
        <v>138.99989298815299</v>
      </c>
      <c r="X423">
        <v>149.82852952240901</v>
      </c>
      <c r="Y423">
        <v>408.14121657098201</v>
      </c>
      <c r="Z423">
        <v>148.91271484356</v>
      </c>
      <c r="AA423">
        <v>354.19498911186002</v>
      </c>
      <c r="AB423">
        <v>417.255332000978</v>
      </c>
      <c r="AC423">
        <v>351.20462617099901</v>
      </c>
      <c r="AD423">
        <v>498.41692339929699</v>
      </c>
      <c r="AE423">
        <v>306.41110073484901</v>
      </c>
      <c r="AF423">
        <v>307.23836526694203</v>
      </c>
      <c r="AG423">
        <v>362.71508488421102</v>
      </c>
    </row>
    <row r="424" spans="1:33" x14ac:dyDescent="0.25">
      <c r="A424" s="1">
        <v>44475</v>
      </c>
      <c r="B424">
        <v>9671.8840042113807</v>
      </c>
      <c r="C424">
        <v>8544.5651528218496</v>
      </c>
      <c r="D424">
        <v>7660.2906084875303</v>
      </c>
      <c r="E424">
        <v>10153.3531567833</v>
      </c>
      <c r="F424">
        <v>13704.8692483544</v>
      </c>
      <c r="G424">
        <v>13004.0908566693</v>
      </c>
      <c r="H424">
        <v>25149.901383330802</v>
      </c>
      <c r="I424">
        <v>15762.1528667856</v>
      </c>
      <c r="J424">
        <v>1044.5039335828701</v>
      </c>
      <c r="K424">
        <v>817.83663025934197</v>
      </c>
      <c r="L424">
        <v>570.03658303214797</v>
      </c>
      <c r="M424">
        <v>11308.030440553001</v>
      </c>
      <c r="N424">
        <v>2967.9853406134398</v>
      </c>
      <c r="O424">
        <v>591.90837375385195</v>
      </c>
      <c r="P424">
        <v>1277.6628460187801</v>
      </c>
      <c r="Q424">
        <v>9253.7836898454607</v>
      </c>
      <c r="R424">
        <v>683.87653353519602</v>
      </c>
      <c r="S424">
        <v>203.83361694901399</v>
      </c>
      <c r="T424">
        <v>250.770448117934</v>
      </c>
      <c r="U424">
        <v>129.03598854379501</v>
      </c>
      <c r="V424">
        <v>232.21174408550399</v>
      </c>
      <c r="W424">
        <v>129.26092654300899</v>
      </c>
      <c r="X424">
        <v>146.58923792768101</v>
      </c>
      <c r="Y424">
        <v>415.59508231630502</v>
      </c>
      <c r="Z424">
        <v>143.22014592303501</v>
      </c>
      <c r="AA424">
        <v>358.76589270583798</v>
      </c>
      <c r="AB424">
        <v>420.21146232514201</v>
      </c>
      <c r="AC424">
        <v>361.49909353709</v>
      </c>
      <c r="AD424">
        <v>501.75697190697798</v>
      </c>
      <c r="AE424">
        <v>308.99541176525298</v>
      </c>
      <c r="AF424">
        <v>309.38862044828602</v>
      </c>
      <c r="AG424">
        <v>366.314397854726</v>
      </c>
    </row>
    <row r="425" spans="1:33" x14ac:dyDescent="0.25">
      <c r="A425" s="1">
        <v>44476</v>
      </c>
      <c r="B425">
        <v>9630.1352009848106</v>
      </c>
      <c r="C425">
        <v>8066.5308979846604</v>
      </c>
      <c r="D425">
        <v>7881.5134291859204</v>
      </c>
      <c r="E425">
        <v>10209.2945781608</v>
      </c>
      <c r="F425">
        <v>13323.854838552599</v>
      </c>
      <c r="G425">
        <v>12997.2125262996</v>
      </c>
      <c r="H425">
        <v>24932.3381163048</v>
      </c>
      <c r="I425">
        <v>16075.834637169201</v>
      </c>
      <c r="J425">
        <v>1071.3459185742499</v>
      </c>
      <c r="K425">
        <v>809.69926847754095</v>
      </c>
      <c r="L425">
        <v>570.46559801795297</v>
      </c>
      <c r="M425">
        <v>11338.574412903001</v>
      </c>
      <c r="N425">
        <v>2920.14581831328</v>
      </c>
      <c r="O425">
        <v>584.01130013772797</v>
      </c>
      <c r="P425">
        <v>1301.4066418385</v>
      </c>
      <c r="Q425">
        <v>9137.5251219643997</v>
      </c>
      <c r="R425">
        <v>676.06108275332201</v>
      </c>
      <c r="S425">
        <v>201.44134202382099</v>
      </c>
      <c r="T425">
        <v>249.36029551241199</v>
      </c>
      <c r="U425">
        <v>129.63458229805599</v>
      </c>
      <c r="V425">
        <v>245.277841472327</v>
      </c>
      <c r="W425">
        <v>124.564627650124</v>
      </c>
      <c r="X425">
        <v>155.161596736403</v>
      </c>
      <c r="Y425">
        <v>418.61482375618101</v>
      </c>
      <c r="Z425">
        <v>137.161483636421</v>
      </c>
      <c r="AA425">
        <v>361.34926230921201</v>
      </c>
      <c r="AB425">
        <v>425.69873109481</v>
      </c>
      <c r="AC425">
        <v>369.01487755798001</v>
      </c>
      <c r="AD425">
        <v>504.19753589029301</v>
      </c>
      <c r="AE425">
        <v>315.18557224669701</v>
      </c>
      <c r="AF425">
        <v>311.96986068830103</v>
      </c>
      <c r="AG425">
        <v>369.23900345800899</v>
      </c>
    </row>
    <row r="426" spans="1:33" x14ac:dyDescent="0.25">
      <c r="A426" s="1">
        <v>44477</v>
      </c>
      <c r="B426">
        <v>9795.3539221116207</v>
      </c>
      <c r="C426">
        <v>8053.49878926372</v>
      </c>
      <c r="D426">
        <v>8103.9541200144704</v>
      </c>
      <c r="E426">
        <v>10333.924919445</v>
      </c>
      <c r="F426">
        <v>13487.9417371243</v>
      </c>
      <c r="G426">
        <v>13150.0780676252</v>
      </c>
      <c r="H426">
        <v>25517.1847350721</v>
      </c>
      <c r="I426">
        <v>16328.124705204</v>
      </c>
      <c r="J426">
        <v>1102.07957246044</v>
      </c>
      <c r="K426">
        <v>796.57646834784703</v>
      </c>
      <c r="L426">
        <v>585.83738942108698</v>
      </c>
      <c r="M426">
        <v>11533.4625944894</v>
      </c>
      <c r="N426">
        <v>3037.5395733539199</v>
      </c>
      <c r="O426">
        <v>595.86021626038598</v>
      </c>
      <c r="P426">
        <v>1343.7243226977901</v>
      </c>
      <c r="Q426">
        <v>9401.6571049965405</v>
      </c>
      <c r="R426">
        <v>695.70527366088197</v>
      </c>
      <c r="S426">
        <v>198.905430614659</v>
      </c>
      <c r="T426">
        <v>266.158071787643</v>
      </c>
      <c r="U426">
        <v>126.74560292078699</v>
      </c>
      <c r="V426">
        <v>279.67151367030698</v>
      </c>
      <c r="W426">
        <v>118.640713411329</v>
      </c>
      <c r="X426">
        <v>171.068459731693</v>
      </c>
      <c r="Y426">
        <v>428.14280211420601</v>
      </c>
      <c r="Z426">
        <v>130.988533186506</v>
      </c>
      <c r="AA426">
        <v>364.21394795244998</v>
      </c>
      <c r="AB426">
        <v>433.10344439078</v>
      </c>
      <c r="AC426">
        <v>369.268850520314</v>
      </c>
      <c r="AD426">
        <v>516.38114014744099</v>
      </c>
      <c r="AE426">
        <v>237.13799992951201</v>
      </c>
      <c r="AF426">
        <v>314.77500226670702</v>
      </c>
      <c r="AG426">
        <v>372.78385596773398</v>
      </c>
    </row>
    <row r="427" spans="1:33" x14ac:dyDescent="0.25">
      <c r="A427" s="1">
        <v>44478</v>
      </c>
      <c r="B427">
        <v>9924.3178485277895</v>
      </c>
      <c r="C427">
        <v>8146.9942830119699</v>
      </c>
      <c r="D427">
        <v>8250.2651415702603</v>
      </c>
      <c r="E427">
        <v>10259.851412555199</v>
      </c>
      <c r="F427">
        <v>13303.16811966</v>
      </c>
      <c r="G427">
        <v>12378.459715516299</v>
      </c>
      <c r="H427">
        <v>24126.7052725018</v>
      </c>
      <c r="I427">
        <v>16429.811815866498</v>
      </c>
      <c r="J427">
        <v>1095.9527991284399</v>
      </c>
      <c r="K427">
        <v>818.77161690662399</v>
      </c>
      <c r="L427">
        <v>570.48906476616605</v>
      </c>
      <c r="M427">
        <v>10707.6594076977</v>
      </c>
      <c r="N427">
        <v>2689.56711126154</v>
      </c>
      <c r="O427">
        <v>504.09921432537902</v>
      </c>
      <c r="P427">
        <v>1287.3457989010201</v>
      </c>
      <c r="Q427">
        <v>8731.1461111029803</v>
      </c>
      <c r="R427">
        <v>646.87230390984405</v>
      </c>
      <c r="S427">
        <v>198.43255011586999</v>
      </c>
      <c r="T427">
        <v>248.00628189512099</v>
      </c>
      <c r="U427">
        <v>114.08432901209601</v>
      </c>
      <c r="V427">
        <v>265.37268017524002</v>
      </c>
      <c r="W427">
        <v>126.30688079053699</v>
      </c>
      <c r="X427">
        <v>164.44286861999001</v>
      </c>
      <c r="Y427">
        <v>427.06646367261101</v>
      </c>
      <c r="Z427">
        <v>130.75911118606899</v>
      </c>
      <c r="AA427">
        <v>368.34475748777402</v>
      </c>
      <c r="AB427">
        <v>441.74652798304197</v>
      </c>
      <c r="AC427">
        <v>365.84086057310799</v>
      </c>
      <c r="AD427">
        <v>494.34279684730802</v>
      </c>
      <c r="AE427">
        <v>264.550504481404</v>
      </c>
      <c r="AF427">
        <v>318.27701368558502</v>
      </c>
      <c r="AG427">
        <v>376.25830620294698</v>
      </c>
    </row>
    <row r="428" spans="1:33" x14ac:dyDescent="0.25">
      <c r="A428" s="1">
        <v>44479</v>
      </c>
      <c r="B428">
        <v>9918.9061659942199</v>
      </c>
      <c r="C428">
        <v>7798.9580103179696</v>
      </c>
      <c r="D428">
        <v>8391.7662224021205</v>
      </c>
      <c r="E428">
        <v>10410.0634619954</v>
      </c>
      <c r="F428">
        <v>12861.318590909899</v>
      </c>
      <c r="G428">
        <v>12223.318554236799</v>
      </c>
      <c r="H428">
        <v>24358.128475573601</v>
      </c>
      <c r="I428">
        <v>16301.853136252799</v>
      </c>
      <c r="J428">
        <v>1087.39520160805</v>
      </c>
      <c r="K428">
        <v>857.343882581147</v>
      </c>
      <c r="L428">
        <v>553.94566026250504</v>
      </c>
      <c r="M428">
        <v>10549.965351335501</v>
      </c>
      <c r="N428">
        <v>2745.6708443841899</v>
      </c>
      <c r="O428">
        <v>477.66400466181898</v>
      </c>
      <c r="P428">
        <v>1262.59702644098</v>
      </c>
      <c r="Q428">
        <v>8668.4326494417892</v>
      </c>
      <c r="R428">
        <v>620.303161574201</v>
      </c>
      <c r="S428">
        <v>197.49719839136301</v>
      </c>
      <c r="T428">
        <v>270.66820539108699</v>
      </c>
      <c r="U428">
        <v>127.260310443449</v>
      </c>
      <c r="V428">
        <v>301.048837372891</v>
      </c>
      <c r="W428">
        <v>124.39538475875101</v>
      </c>
      <c r="X428">
        <v>184.913446062064</v>
      </c>
      <c r="Y428">
        <v>430.34472248472701</v>
      </c>
      <c r="Z428">
        <v>132.85323611338001</v>
      </c>
      <c r="AA428">
        <v>368.61831972675901</v>
      </c>
      <c r="AB428">
        <v>445.70178692636301</v>
      </c>
      <c r="AC428">
        <v>360.29438945901597</v>
      </c>
      <c r="AD428">
        <v>483.99666210366598</v>
      </c>
      <c r="AE428">
        <v>261.142611391505</v>
      </c>
      <c r="AF428">
        <v>322.10620623031298</v>
      </c>
      <c r="AG428">
        <v>379.89996587807502</v>
      </c>
    </row>
    <row r="429" spans="1:33" x14ac:dyDescent="0.25">
      <c r="A429" s="1">
        <v>44480</v>
      </c>
      <c r="B429">
        <v>9969.4854742191401</v>
      </c>
      <c r="C429">
        <v>8095.80537587256</v>
      </c>
      <c r="D429">
        <v>8314.1744861844199</v>
      </c>
      <c r="E429">
        <v>10193.554943451099</v>
      </c>
      <c r="F429">
        <v>12717.2644193416</v>
      </c>
      <c r="G429">
        <v>11179.7745363331</v>
      </c>
      <c r="H429">
        <v>23606.4747468161</v>
      </c>
      <c r="I429">
        <v>16207.03028734</v>
      </c>
      <c r="J429">
        <v>1080.54632304702</v>
      </c>
      <c r="K429">
        <v>856.24490214925402</v>
      </c>
      <c r="L429">
        <v>523.56300099618704</v>
      </c>
      <c r="M429">
        <v>9098.3719682242299</v>
      </c>
      <c r="N429">
        <v>1891.20228874094</v>
      </c>
      <c r="O429">
        <v>499.40145528869903</v>
      </c>
      <c r="P429">
        <v>1181.9442289849701</v>
      </c>
      <c r="Q429">
        <v>7441.5569092041396</v>
      </c>
      <c r="R429">
        <v>607.06417852162201</v>
      </c>
      <c r="S429">
        <v>195.886683044189</v>
      </c>
      <c r="T429">
        <v>219.40673590919101</v>
      </c>
      <c r="U429">
        <v>126.08793102099899</v>
      </c>
      <c r="V429">
        <v>161.96223922708299</v>
      </c>
      <c r="W429">
        <v>124.001263895809</v>
      </c>
      <c r="X429">
        <v>128.333051916849</v>
      </c>
      <c r="Y429">
        <v>433.54570607233501</v>
      </c>
      <c r="Z429">
        <v>133.720433168591</v>
      </c>
      <c r="AA429">
        <v>369.71612806892199</v>
      </c>
      <c r="AB429">
        <v>444.54220495204402</v>
      </c>
      <c r="AC429">
        <v>361.044332010951</v>
      </c>
      <c r="AD429">
        <v>449.432520687828</v>
      </c>
      <c r="AE429">
        <v>353.48672406689502</v>
      </c>
      <c r="AF429">
        <v>324.56962063912698</v>
      </c>
      <c r="AG429">
        <v>385.05618925493701</v>
      </c>
    </row>
    <row r="430" spans="1:33" x14ac:dyDescent="0.25">
      <c r="A430" s="1">
        <v>44481</v>
      </c>
      <c r="B430">
        <v>10022.830809012101</v>
      </c>
      <c r="C430">
        <v>8041.8779061896403</v>
      </c>
      <c r="D430">
        <v>8434.8492302156101</v>
      </c>
      <c r="E430">
        <v>10704.972160588601</v>
      </c>
      <c r="F430">
        <v>12029.934469621499</v>
      </c>
      <c r="G430">
        <v>10358.232816187099</v>
      </c>
      <c r="H430">
        <v>23484.353921787701</v>
      </c>
      <c r="I430">
        <v>15075.4830128225</v>
      </c>
      <c r="J430">
        <v>1028.5908786679199</v>
      </c>
      <c r="K430">
        <v>859.83078611691099</v>
      </c>
      <c r="L430">
        <v>506.82894421264001</v>
      </c>
      <c r="M430">
        <v>8584.9339063898296</v>
      </c>
      <c r="N430">
        <v>1791.5876658364</v>
      </c>
      <c r="O430">
        <v>511.106556284151</v>
      </c>
      <c r="P430">
        <v>1155.64400430419</v>
      </c>
      <c r="Q430">
        <v>6968.8335742394001</v>
      </c>
      <c r="R430">
        <v>606.74333233557604</v>
      </c>
      <c r="S430">
        <v>196.34119166859</v>
      </c>
      <c r="T430">
        <v>225.819183841881</v>
      </c>
      <c r="U430">
        <v>127.231772640671</v>
      </c>
      <c r="V430">
        <v>183.18198728959999</v>
      </c>
      <c r="W430">
        <v>121.80682649318101</v>
      </c>
      <c r="X430">
        <v>132.75586583778201</v>
      </c>
      <c r="Y430">
        <v>432.07961778417803</v>
      </c>
      <c r="Z430">
        <v>137.34574738483801</v>
      </c>
      <c r="AA430">
        <v>371.819503829707</v>
      </c>
      <c r="AB430">
        <v>447.889530307077</v>
      </c>
      <c r="AC430">
        <v>360.57828225531</v>
      </c>
      <c r="AD430">
        <v>450.68292960969302</v>
      </c>
      <c r="AE430">
        <v>353.83427113959999</v>
      </c>
      <c r="AF430">
        <v>330.48214257312202</v>
      </c>
      <c r="AG430">
        <v>390.61619142671401</v>
      </c>
    </row>
    <row r="431" spans="1:33" x14ac:dyDescent="0.25">
      <c r="A431" s="1">
        <v>44482</v>
      </c>
      <c r="B431">
        <v>10321.5661599585</v>
      </c>
      <c r="C431">
        <v>7141.6428352374696</v>
      </c>
      <c r="D431">
        <v>8427.6327087444806</v>
      </c>
      <c r="E431">
        <v>10979.4906645357</v>
      </c>
      <c r="F431">
        <v>11783.6747047925</v>
      </c>
      <c r="G431">
        <v>11152.368265601801</v>
      </c>
      <c r="H431">
        <v>25117.306398930799</v>
      </c>
      <c r="I431">
        <v>14826.4867450567</v>
      </c>
      <c r="J431">
        <v>1022.81101236195</v>
      </c>
      <c r="K431">
        <v>847.61018710250596</v>
      </c>
      <c r="L431">
        <v>523.202892304805</v>
      </c>
      <c r="M431">
        <v>9677.2851602300798</v>
      </c>
      <c r="N431">
        <v>2341.1731011537199</v>
      </c>
      <c r="O431">
        <v>531.81207616959705</v>
      </c>
      <c r="P431">
        <v>1163.7725319659201</v>
      </c>
      <c r="Q431">
        <v>7629.3894051320403</v>
      </c>
      <c r="R431">
        <v>637.02899153681801</v>
      </c>
      <c r="S431">
        <v>196.15378054502301</v>
      </c>
      <c r="T431">
        <v>226.744771770873</v>
      </c>
      <c r="U431">
        <v>128.09375230132801</v>
      </c>
      <c r="V431">
        <v>195.58884956415901</v>
      </c>
      <c r="W431">
        <v>122.68307904565</v>
      </c>
      <c r="X431">
        <v>125.29206155942499</v>
      </c>
      <c r="Y431">
        <v>444.73664532453802</v>
      </c>
      <c r="Z431">
        <v>137.22943642327101</v>
      </c>
      <c r="AA431">
        <v>372.18229145529898</v>
      </c>
      <c r="AB431">
        <v>455.68993221462</v>
      </c>
      <c r="AC431">
        <v>354.06357197634702</v>
      </c>
      <c r="AD431">
        <v>467.38861410421498</v>
      </c>
      <c r="AE431">
        <v>362.38290648161598</v>
      </c>
      <c r="AF431">
        <v>335.55523826474001</v>
      </c>
      <c r="AG431">
        <v>397.34718406404698</v>
      </c>
    </row>
    <row r="432" spans="1:33" x14ac:dyDescent="0.25">
      <c r="A432" s="1">
        <v>44483</v>
      </c>
      <c r="B432">
        <v>10589.3569536879</v>
      </c>
      <c r="C432">
        <v>7411.7249288132598</v>
      </c>
      <c r="D432">
        <v>8322.2066138119008</v>
      </c>
      <c r="E432">
        <v>10737.6045967629</v>
      </c>
      <c r="F432">
        <v>11865.063736010799</v>
      </c>
      <c r="G432">
        <v>11073.5892042987</v>
      </c>
      <c r="H432">
        <v>23884.867647805899</v>
      </c>
      <c r="I432">
        <v>14778.419874966599</v>
      </c>
      <c r="J432">
        <v>1013.79939464618</v>
      </c>
      <c r="K432">
        <v>847.25823053120303</v>
      </c>
      <c r="L432">
        <v>529.99992092794798</v>
      </c>
      <c r="M432">
        <v>9332.0871695869791</v>
      </c>
      <c r="N432">
        <v>2023.26467098538</v>
      </c>
      <c r="O432">
        <v>522.71215349077397</v>
      </c>
      <c r="P432">
        <v>1138.5974481035501</v>
      </c>
      <c r="Q432">
        <v>7294.3906974658503</v>
      </c>
      <c r="R432">
        <v>627.30195750261601</v>
      </c>
      <c r="S432">
        <v>195.320826577633</v>
      </c>
      <c r="T432">
        <v>205.309593955536</v>
      </c>
      <c r="U432">
        <v>127.988125196531</v>
      </c>
      <c r="V432">
        <v>159.720026136081</v>
      </c>
      <c r="W432">
        <v>123.55638116628499</v>
      </c>
      <c r="X432">
        <v>122.61937094145701</v>
      </c>
      <c r="Y432">
        <v>450.223921611067</v>
      </c>
      <c r="Z432">
        <v>134.98335229522499</v>
      </c>
      <c r="AA432">
        <v>375.95505307355302</v>
      </c>
      <c r="AB432">
        <v>466.29533378888999</v>
      </c>
      <c r="AC432">
        <v>352.89494879281398</v>
      </c>
      <c r="AD432">
        <v>466.00145030139402</v>
      </c>
      <c r="AE432">
        <v>362.64177384355003</v>
      </c>
      <c r="AF432">
        <v>339.13318990970799</v>
      </c>
      <c r="AG432">
        <v>403.83115473734898</v>
      </c>
    </row>
    <row r="433" spans="1:33" x14ac:dyDescent="0.25">
      <c r="A433" s="1">
        <v>44484</v>
      </c>
      <c r="B433">
        <v>10542.890946503499</v>
      </c>
      <c r="C433">
        <v>7097.6472175449799</v>
      </c>
      <c r="D433">
        <v>8103.3021753920402</v>
      </c>
      <c r="E433">
        <v>10562.0333642486</v>
      </c>
      <c r="F433">
        <v>11847.7552206323</v>
      </c>
      <c r="G433">
        <v>10965.592824767</v>
      </c>
      <c r="H433">
        <v>23384.567190111698</v>
      </c>
      <c r="I433">
        <v>14773.4995766303</v>
      </c>
      <c r="J433">
        <v>1005.08348118914</v>
      </c>
      <c r="K433">
        <v>866.92911638052999</v>
      </c>
      <c r="L433">
        <v>533.57103237470596</v>
      </c>
      <c r="M433">
        <v>9248.1462903299107</v>
      </c>
      <c r="N433">
        <v>1897.8053549635099</v>
      </c>
      <c r="O433">
        <v>503.85432559553198</v>
      </c>
      <c r="P433">
        <v>1136.3198218658699</v>
      </c>
      <c r="Q433">
        <v>7122.6903586039898</v>
      </c>
      <c r="R433">
        <v>622.35651497497201</v>
      </c>
      <c r="S433">
        <v>194.455297381192</v>
      </c>
      <c r="T433">
        <v>194.05878115802599</v>
      </c>
      <c r="U433">
        <v>125.439021312603</v>
      </c>
      <c r="V433">
        <v>182.12819976918601</v>
      </c>
      <c r="W433">
        <v>121.859507871029</v>
      </c>
      <c r="X433">
        <v>131.542351199043</v>
      </c>
      <c r="Y433">
        <v>456.06882648203799</v>
      </c>
      <c r="Z433">
        <v>132.784966171619</v>
      </c>
      <c r="AA433">
        <v>378.07016098992</v>
      </c>
      <c r="AB433">
        <v>467.88481553638798</v>
      </c>
      <c r="AC433">
        <v>363.25479490427898</v>
      </c>
      <c r="AD433">
        <v>469.12972482455802</v>
      </c>
      <c r="AE433">
        <v>349.38958586953498</v>
      </c>
      <c r="AF433">
        <v>343.21708336791698</v>
      </c>
      <c r="AG433">
        <v>403.703820990434</v>
      </c>
    </row>
    <row r="434" spans="1:33" x14ac:dyDescent="0.25">
      <c r="A434" s="1">
        <v>44485</v>
      </c>
      <c r="B434">
        <v>10419.178755188899</v>
      </c>
      <c r="C434">
        <v>6690.1165383079097</v>
      </c>
      <c r="D434">
        <v>7994.20496121838</v>
      </c>
      <c r="E434">
        <v>10536.8790680896</v>
      </c>
      <c r="F434">
        <v>12156.680380539199</v>
      </c>
      <c r="G434">
        <v>11552.0358232626</v>
      </c>
      <c r="H434">
        <v>23965.337068807501</v>
      </c>
      <c r="I434">
        <v>14861.541771669799</v>
      </c>
      <c r="J434">
        <v>1005.2586389394301</v>
      </c>
      <c r="K434">
        <v>883.80286915675697</v>
      </c>
      <c r="L434">
        <v>533.75705791662403</v>
      </c>
      <c r="M434">
        <v>9788.4989103258395</v>
      </c>
      <c r="N434">
        <v>2112.2368705014701</v>
      </c>
      <c r="O434">
        <v>469.29741245395502</v>
      </c>
      <c r="P434">
        <v>1143.86557051261</v>
      </c>
      <c r="Q434">
        <v>7718.1052707896297</v>
      </c>
      <c r="R434">
        <v>608.35314226456205</v>
      </c>
      <c r="S434">
        <v>192.837578674138</v>
      </c>
      <c r="T434">
        <v>202.19559636212401</v>
      </c>
      <c r="U434">
        <v>122.905550031319</v>
      </c>
      <c r="V434">
        <v>226.065993363258</v>
      </c>
      <c r="W434">
        <v>124.651812523063</v>
      </c>
      <c r="X434">
        <v>150.016580968011</v>
      </c>
      <c r="Y434">
        <v>457.22903388226302</v>
      </c>
      <c r="Z434">
        <v>131.28654469858401</v>
      </c>
      <c r="AA434">
        <v>379.25101384853701</v>
      </c>
      <c r="AB434">
        <v>469.78369393563298</v>
      </c>
      <c r="AC434">
        <v>369.95730968221</v>
      </c>
      <c r="AD434">
        <v>469.058375121317</v>
      </c>
      <c r="AE434">
        <v>346.65091985274</v>
      </c>
      <c r="AF434">
        <v>345.08129456693501</v>
      </c>
      <c r="AG434">
        <v>402.44990539325602</v>
      </c>
    </row>
    <row r="435" spans="1:33" x14ac:dyDescent="0.25">
      <c r="A435" s="1">
        <v>44486</v>
      </c>
      <c r="B435">
        <v>10393.6183543977</v>
      </c>
      <c r="C435">
        <v>7136.6041474718904</v>
      </c>
      <c r="D435">
        <v>7955.1614370630396</v>
      </c>
      <c r="E435">
        <v>10760.4769465356</v>
      </c>
      <c r="F435">
        <v>13159.9457178585</v>
      </c>
      <c r="G435">
        <v>13317.4037399523</v>
      </c>
      <c r="H435">
        <v>26930.958004712102</v>
      </c>
      <c r="I435">
        <v>15039.000873803499</v>
      </c>
      <c r="J435">
        <v>1033.01068270564</v>
      </c>
      <c r="K435">
        <v>861.39543290140398</v>
      </c>
      <c r="L435">
        <v>556.46778408420698</v>
      </c>
      <c r="M435">
        <v>11475.810170532801</v>
      </c>
      <c r="N435">
        <v>2962.5733754197199</v>
      </c>
      <c r="O435">
        <v>549.14905186423505</v>
      </c>
      <c r="P435">
        <v>1247.9183437249901</v>
      </c>
      <c r="Q435">
        <v>9492.33750016464</v>
      </c>
      <c r="R435">
        <v>661.66716770098299</v>
      </c>
      <c r="S435">
        <v>190.16571515504799</v>
      </c>
      <c r="T435">
        <v>263.68775029763799</v>
      </c>
      <c r="U435">
        <v>124.70884468850799</v>
      </c>
      <c r="V435">
        <v>324.86292227167002</v>
      </c>
      <c r="W435">
        <v>121.169942102338</v>
      </c>
      <c r="X435">
        <v>193.99140783279799</v>
      </c>
      <c r="Y435">
        <v>462.78932481128498</v>
      </c>
      <c r="Z435">
        <v>131.71892009845399</v>
      </c>
      <c r="AA435">
        <v>378.99269433058799</v>
      </c>
      <c r="AB435">
        <v>469.19966727589798</v>
      </c>
      <c r="AC435">
        <v>372.16571421473998</v>
      </c>
      <c r="AD435">
        <v>492.046959186192</v>
      </c>
      <c r="AE435">
        <v>340.26302344884903</v>
      </c>
      <c r="AF435">
        <v>344.70237841590301</v>
      </c>
      <c r="AG435">
        <v>402.08900858688003</v>
      </c>
    </row>
    <row r="436" spans="1:33" x14ac:dyDescent="0.25">
      <c r="A436" s="1">
        <v>44487</v>
      </c>
      <c r="B436">
        <v>10450.1520114101</v>
      </c>
      <c r="C436">
        <v>8792.2088870837706</v>
      </c>
      <c r="D436">
        <v>7554.6171332377899</v>
      </c>
      <c r="E436">
        <v>10614.5279898302</v>
      </c>
      <c r="F436">
        <v>13826.3140647993</v>
      </c>
      <c r="G436">
        <v>12768.556590439901</v>
      </c>
      <c r="H436">
        <v>25916.444404834401</v>
      </c>
      <c r="I436">
        <v>15330.247710375999</v>
      </c>
      <c r="J436">
        <v>1050.3809440028299</v>
      </c>
      <c r="K436">
        <v>801.44435600657596</v>
      </c>
      <c r="L436">
        <v>556.88537370078802</v>
      </c>
      <c r="M436">
        <v>11030.3472465124</v>
      </c>
      <c r="N436">
        <v>3091.96460858009</v>
      </c>
      <c r="O436">
        <v>517.38170385248895</v>
      </c>
      <c r="P436">
        <v>1234.2599820918099</v>
      </c>
      <c r="Q436">
        <v>9105.4850053437804</v>
      </c>
      <c r="R436">
        <v>646.74395032635402</v>
      </c>
      <c r="S436">
        <v>188.81003908188501</v>
      </c>
      <c r="T436">
        <v>275.06070215653398</v>
      </c>
      <c r="U436">
        <v>120.60308356746501</v>
      </c>
      <c r="V436">
        <v>265.05565194361998</v>
      </c>
      <c r="W436">
        <v>123.00011667806</v>
      </c>
      <c r="X436">
        <v>153.74234534069899</v>
      </c>
      <c r="Y436">
        <v>459.481984261923</v>
      </c>
      <c r="Z436">
        <v>131.82448553978799</v>
      </c>
      <c r="AA436">
        <v>386.531616116561</v>
      </c>
      <c r="AB436">
        <v>469.24906204083698</v>
      </c>
      <c r="AC436">
        <v>376.36072892859198</v>
      </c>
      <c r="AD436">
        <v>478.78211639505702</v>
      </c>
      <c r="AE436">
        <v>237.60671615781601</v>
      </c>
      <c r="AF436">
        <v>345.90789831592298</v>
      </c>
      <c r="AG436">
        <v>403.265669958025</v>
      </c>
    </row>
    <row r="437" spans="1:33" x14ac:dyDescent="0.25">
      <c r="A437" s="1">
        <v>44488</v>
      </c>
      <c r="B437">
        <v>10125.7493551195</v>
      </c>
      <c r="C437">
        <v>8202.70565670416</v>
      </c>
      <c r="D437">
        <v>7541.3408950733401</v>
      </c>
      <c r="E437">
        <v>10316.8415563894</v>
      </c>
      <c r="F437">
        <v>13194.4774681123</v>
      </c>
      <c r="G437">
        <v>12256.7145664086</v>
      </c>
      <c r="H437">
        <v>24511.177806405401</v>
      </c>
      <c r="I437">
        <v>15840.7740472923</v>
      </c>
      <c r="J437">
        <v>1048.58062904339</v>
      </c>
      <c r="K437">
        <v>821.46100552253404</v>
      </c>
      <c r="L437">
        <v>526.43081835660905</v>
      </c>
      <c r="M437">
        <v>10528.8290574897</v>
      </c>
      <c r="N437">
        <v>2541.8754685060799</v>
      </c>
      <c r="O437">
        <v>488.59346474921898</v>
      </c>
      <c r="P437">
        <v>1182.8982988861301</v>
      </c>
      <c r="Q437">
        <v>8354.2646105783697</v>
      </c>
      <c r="R437">
        <v>598.26001426122298</v>
      </c>
      <c r="S437">
        <v>188.000996320421</v>
      </c>
      <c r="T437">
        <v>226.657258690709</v>
      </c>
      <c r="U437">
        <v>119.160516331092</v>
      </c>
      <c r="V437">
        <v>190.917992765197</v>
      </c>
      <c r="W437">
        <v>123.375367956462</v>
      </c>
      <c r="X437">
        <v>129.06881368007799</v>
      </c>
      <c r="Y437">
        <v>456.263979306934</v>
      </c>
      <c r="Z437">
        <v>132.405040175865</v>
      </c>
      <c r="AA437">
        <v>389.40102357063</v>
      </c>
      <c r="AB437">
        <v>467.11877081804897</v>
      </c>
      <c r="AC437">
        <v>378.44700660107702</v>
      </c>
      <c r="AD437">
        <v>459.221585008977</v>
      </c>
      <c r="AE437">
        <v>186.180920527377</v>
      </c>
      <c r="AF437">
        <v>349.94755111898502</v>
      </c>
      <c r="AG437">
        <v>405.02725419195099</v>
      </c>
    </row>
    <row r="438" spans="1:33" x14ac:dyDescent="0.25">
      <c r="A438" s="1">
        <v>44489</v>
      </c>
      <c r="B438">
        <v>9983.0929949285292</v>
      </c>
      <c r="C438">
        <v>7652.8521987048398</v>
      </c>
      <c r="D438">
        <v>7827.03926886113</v>
      </c>
      <c r="E438">
        <v>10319.8403733388</v>
      </c>
      <c r="F438">
        <v>13505.217923419799</v>
      </c>
      <c r="G438">
        <v>12998.847568531701</v>
      </c>
      <c r="H438">
        <v>25007.5404435296</v>
      </c>
      <c r="I438">
        <v>16082.7379079449</v>
      </c>
      <c r="J438">
        <v>1064.96538528219</v>
      </c>
      <c r="K438">
        <v>833.73150745037503</v>
      </c>
      <c r="L438">
        <v>532.42355337265099</v>
      </c>
      <c r="M438">
        <v>11141.1009210051</v>
      </c>
      <c r="N438">
        <v>2789.3724982846202</v>
      </c>
      <c r="O438">
        <v>522.028105385956</v>
      </c>
      <c r="P438">
        <v>1243.2884179796799</v>
      </c>
      <c r="Q438">
        <v>9100.0918916520604</v>
      </c>
      <c r="R438">
        <v>622.71876256161397</v>
      </c>
      <c r="S438">
        <v>185.42493624957299</v>
      </c>
      <c r="T438">
        <v>226.41201634937701</v>
      </c>
      <c r="U438">
        <v>119.429857611304</v>
      </c>
      <c r="V438">
        <v>208.58548821798399</v>
      </c>
      <c r="W438">
        <v>123.503667431678</v>
      </c>
      <c r="X438">
        <v>133.075728542935</v>
      </c>
      <c r="Y438">
        <v>458.37260860409901</v>
      </c>
      <c r="Z438">
        <v>133.26753768417001</v>
      </c>
      <c r="AA438">
        <v>386.916890496939</v>
      </c>
      <c r="AB438">
        <v>466.77164227763802</v>
      </c>
      <c r="AC438">
        <v>369.82283600603898</v>
      </c>
      <c r="AD438">
        <v>466.53326027711398</v>
      </c>
      <c r="AE438">
        <v>233.54925905542001</v>
      </c>
      <c r="AF438">
        <v>351.47768720699099</v>
      </c>
      <c r="AG438">
        <v>406.30671591546599</v>
      </c>
    </row>
    <row r="439" spans="1:33" x14ac:dyDescent="0.25">
      <c r="A439" s="1">
        <v>44490</v>
      </c>
      <c r="B439">
        <v>9861.1967879724507</v>
      </c>
      <c r="C439">
        <v>7884.8537009828797</v>
      </c>
      <c r="D439">
        <v>7968.2806437155295</v>
      </c>
      <c r="E439">
        <v>10096.3347910339</v>
      </c>
      <c r="F439">
        <v>13372.400058794699</v>
      </c>
      <c r="G439">
        <v>12752.4430569832</v>
      </c>
      <c r="H439">
        <v>24678.8089887813</v>
      </c>
      <c r="I439">
        <v>16159.7555247896</v>
      </c>
      <c r="J439">
        <v>1060.0563571576799</v>
      </c>
      <c r="K439">
        <v>854.85705693154796</v>
      </c>
      <c r="L439">
        <v>525.55332398430505</v>
      </c>
      <c r="M439">
        <v>10961.769205766201</v>
      </c>
      <c r="N439">
        <v>2554.5717104135701</v>
      </c>
      <c r="O439">
        <v>509.82926870790999</v>
      </c>
      <c r="P439">
        <v>1220.0129139733201</v>
      </c>
      <c r="Q439">
        <v>8882.5500854260499</v>
      </c>
      <c r="R439">
        <v>609.01500499385804</v>
      </c>
      <c r="S439">
        <v>184.429687517215</v>
      </c>
      <c r="T439">
        <v>215.54311229928501</v>
      </c>
      <c r="U439">
        <v>120.326307959985</v>
      </c>
      <c r="V439">
        <v>194.271342971579</v>
      </c>
      <c r="W439">
        <v>124.44779037391299</v>
      </c>
      <c r="X439">
        <v>130.96460642854399</v>
      </c>
      <c r="Y439">
        <v>459.75029536837201</v>
      </c>
      <c r="Z439">
        <v>134.04879022543301</v>
      </c>
      <c r="AA439">
        <v>387.83816608076302</v>
      </c>
      <c r="AB439">
        <v>467.16638333418899</v>
      </c>
      <c r="AC439">
        <v>335.60544887607398</v>
      </c>
      <c r="AD439">
        <v>460.833239590863</v>
      </c>
      <c r="AE439">
        <v>212.729820870314</v>
      </c>
      <c r="AF439">
        <v>353.83470534788</v>
      </c>
      <c r="AG439">
        <v>409.63987888820299</v>
      </c>
    </row>
    <row r="440" spans="1:33" x14ac:dyDescent="0.25">
      <c r="A440" s="1">
        <v>44491</v>
      </c>
      <c r="B440">
        <v>9746.7005623245295</v>
      </c>
      <c r="C440">
        <v>7828.95383869343</v>
      </c>
      <c r="D440">
        <v>8041.9127009959002</v>
      </c>
      <c r="E440">
        <v>10113.2931111899</v>
      </c>
      <c r="F440">
        <v>13591.357829770201</v>
      </c>
      <c r="G440">
        <v>13035.3744265557</v>
      </c>
      <c r="H440">
        <v>25473.661926914199</v>
      </c>
      <c r="I440">
        <v>16231.9938873888</v>
      </c>
      <c r="J440">
        <v>1065.2366856496401</v>
      </c>
      <c r="K440">
        <v>853.06584437238701</v>
      </c>
      <c r="L440">
        <v>533.32254809657195</v>
      </c>
      <c r="M440">
        <v>11309.3389421305</v>
      </c>
      <c r="N440">
        <v>2732.7574674360499</v>
      </c>
      <c r="O440">
        <v>523.69517472622897</v>
      </c>
      <c r="P440">
        <v>1231.3136357365099</v>
      </c>
      <c r="Q440">
        <v>9229.5373533189904</v>
      </c>
      <c r="R440">
        <v>630.14203855828805</v>
      </c>
      <c r="S440">
        <v>183.575905458899</v>
      </c>
      <c r="T440">
        <v>221.25249201744401</v>
      </c>
      <c r="U440">
        <v>122.038303139833</v>
      </c>
      <c r="V440">
        <v>211.884514948701</v>
      </c>
      <c r="W440">
        <v>118.880096278742</v>
      </c>
      <c r="X440">
        <v>138.12013505989299</v>
      </c>
      <c r="Y440">
        <v>459.51100020218797</v>
      </c>
      <c r="Z440">
        <v>134.52664452541299</v>
      </c>
      <c r="AA440">
        <v>386.85135866171697</v>
      </c>
      <c r="AB440">
        <v>468.73179938763201</v>
      </c>
      <c r="AC440">
        <v>326.622489016195</v>
      </c>
      <c r="AD440">
        <v>467.27265870525503</v>
      </c>
      <c r="AE440">
        <v>163.08236223653299</v>
      </c>
      <c r="AF440">
        <v>356.33626716377103</v>
      </c>
      <c r="AG440">
        <v>414.693521641377</v>
      </c>
    </row>
    <row r="441" spans="1:33" x14ac:dyDescent="0.25">
      <c r="A441" s="1">
        <v>44492</v>
      </c>
      <c r="B441">
        <v>9747.6579104750199</v>
      </c>
      <c r="C441">
        <v>8258.9906382777499</v>
      </c>
      <c r="D441">
        <v>8013.1205891964901</v>
      </c>
      <c r="E441">
        <v>10072.9826078023</v>
      </c>
      <c r="F441">
        <v>13039.3397971126</v>
      </c>
      <c r="G441">
        <v>12152.395652355301</v>
      </c>
      <c r="H441">
        <v>24340.092016233801</v>
      </c>
      <c r="I441">
        <v>16296.5092662728</v>
      </c>
      <c r="J441">
        <v>1043.5399901185899</v>
      </c>
      <c r="K441">
        <v>847.59850708551096</v>
      </c>
      <c r="L441">
        <v>512.82580527708501</v>
      </c>
      <c r="M441">
        <v>10650.8704084856</v>
      </c>
      <c r="N441">
        <v>2440.6253765951901</v>
      </c>
      <c r="O441">
        <v>430.749278890109</v>
      </c>
      <c r="P441">
        <v>1140.6879719347301</v>
      </c>
      <c r="Q441">
        <v>8513.9096858407102</v>
      </c>
      <c r="R441">
        <v>577.14357275329996</v>
      </c>
      <c r="S441">
        <v>191.730329185323</v>
      </c>
      <c r="T441">
        <v>211.54407893852101</v>
      </c>
      <c r="U441">
        <v>119.580584516798</v>
      </c>
      <c r="V441">
        <v>206.087074392738</v>
      </c>
      <c r="W441">
        <v>124.923941829675</v>
      </c>
      <c r="X441">
        <v>138.24136150111499</v>
      </c>
      <c r="Y441">
        <v>451.79354849238001</v>
      </c>
      <c r="Z441">
        <v>139.90805170068799</v>
      </c>
      <c r="AA441">
        <v>390.03910100194901</v>
      </c>
      <c r="AB441">
        <v>465.42102214206699</v>
      </c>
      <c r="AC441">
        <v>312.569315270179</v>
      </c>
      <c r="AD441">
        <v>445.37933024771098</v>
      </c>
      <c r="AE441">
        <v>157.659274292107</v>
      </c>
      <c r="AF441">
        <v>365.20434531750101</v>
      </c>
      <c r="AG441">
        <v>431.38499857350303</v>
      </c>
    </row>
    <row r="442" spans="1:33" x14ac:dyDescent="0.25">
      <c r="A442" s="1">
        <v>44493</v>
      </c>
      <c r="B442">
        <v>9617.9959485740892</v>
      </c>
      <c r="C442">
        <v>7969.92024487856</v>
      </c>
      <c r="D442">
        <v>8374.8271443325302</v>
      </c>
      <c r="E442">
        <v>11194.4212441</v>
      </c>
      <c r="F442">
        <v>13398.4895425593</v>
      </c>
      <c r="G442">
        <v>14013.764497051599</v>
      </c>
      <c r="H442">
        <v>27332.3765816589</v>
      </c>
      <c r="I442">
        <v>16123.2107828646</v>
      </c>
      <c r="J442">
        <v>1040.77361525886</v>
      </c>
      <c r="K442">
        <v>852.40498061582502</v>
      </c>
      <c r="L442">
        <v>528.96015982419897</v>
      </c>
      <c r="M442">
        <v>12921.6136861252</v>
      </c>
      <c r="N442">
        <v>4290.5038657868399</v>
      </c>
      <c r="O442">
        <v>496.50645246354799</v>
      </c>
      <c r="P442">
        <v>1334.93743463854</v>
      </c>
      <c r="Q442">
        <v>10131.262815628101</v>
      </c>
      <c r="R442">
        <v>633.91447729929905</v>
      </c>
      <c r="S442">
        <v>185.76655039966201</v>
      </c>
      <c r="T442">
        <v>447.07844795425098</v>
      </c>
      <c r="U442">
        <v>132.52263942226901</v>
      </c>
      <c r="V442">
        <v>394.62963805764502</v>
      </c>
      <c r="W442">
        <v>141.51491527535001</v>
      </c>
      <c r="X442">
        <v>199.893515035023</v>
      </c>
      <c r="Y442">
        <v>462.00880852152198</v>
      </c>
      <c r="Z442">
        <v>170.571306859316</v>
      </c>
      <c r="AA442">
        <v>400.75173025676099</v>
      </c>
      <c r="AB442">
        <v>485.261312982616</v>
      </c>
      <c r="AC442">
        <v>338.29829319121302</v>
      </c>
      <c r="AD442">
        <v>475.85788797406798</v>
      </c>
      <c r="AE442">
        <v>142.86886388642299</v>
      </c>
      <c r="AF442">
        <v>384.16906258612897</v>
      </c>
      <c r="AG442">
        <v>523.66292652780305</v>
      </c>
    </row>
    <row r="443" spans="1:33" x14ac:dyDescent="0.25">
      <c r="A443" s="1">
        <v>44494</v>
      </c>
      <c r="B443">
        <v>9420.1327678958696</v>
      </c>
      <c r="C443">
        <v>8470.32043645884</v>
      </c>
      <c r="D443">
        <v>7817.4256765647096</v>
      </c>
      <c r="E443">
        <v>9714.5564237669005</v>
      </c>
      <c r="F443">
        <v>13208.3630389304</v>
      </c>
      <c r="G443">
        <v>10342.5446814311</v>
      </c>
      <c r="H443">
        <v>22964.410419826701</v>
      </c>
      <c r="I443">
        <v>15919.265070402</v>
      </c>
      <c r="J443">
        <v>998.862917886275</v>
      </c>
      <c r="K443">
        <v>815.58200094783194</v>
      </c>
      <c r="L443">
        <v>459.85172125218401</v>
      </c>
      <c r="M443">
        <v>8859.9726552899301</v>
      </c>
      <c r="N443">
        <v>1496.40663520973</v>
      </c>
      <c r="O443">
        <v>251.296725873371</v>
      </c>
      <c r="P443">
        <v>897.55770787280096</v>
      </c>
      <c r="Q443">
        <v>6654.1802794955702</v>
      </c>
      <c r="R443">
        <v>416.31607548032298</v>
      </c>
      <c r="S443">
        <v>207.47679179906601</v>
      </c>
      <c r="T443">
        <v>199.82737235698599</v>
      </c>
      <c r="U443">
        <v>151.14340764988501</v>
      </c>
      <c r="V443">
        <v>143.935912942389</v>
      </c>
      <c r="W443">
        <v>145.18677921141699</v>
      </c>
      <c r="X443">
        <v>144.825885439844</v>
      </c>
      <c r="Y443">
        <v>458.360113185915</v>
      </c>
      <c r="Z443">
        <v>212.609388727289</v>
      </c>
      <c r="AA443">
        <v>411.11664372087898</v>
      </c>
      <c r="AB443">
        <v>478.74815115151</v>
      </c>
      <c r="AC443">
        <v>345.23837786696299</v>
      </c>
      <c r="AD443">
        <v>397.984299121655</v>
      </c>
      <c r="AE443">
        <v>154.29075254836499</v>
      </c>
      <c r="AF443">
        <v>379.43918617610899</v>
      </c>
      <c r="AG443">
        <v>706.53230483304901</v>
      </c>
    </row>
    <row r="444" spans="1:33" x14ac:dyDescent="0.25">
      <c r="A444" s="1">
        <v>44495</v>
      </c>
      <c r="B444">
        <v>9435.9710943917798</v>
      </c>
      <c r="C444">
        <v>5889.7030899917399</v>
      </c>
      <c r="D444">
        <v>7749.4704341227498</v>
      </c>
      <c r="E444">
        <v>9407.6897625961392</v>
      </c>
      <c r="F444">
        <v>8574.4024097911497</v>
      </c>
      <c r="G444">
        <v>4747.86769776045</v>
      </c>
      <c r="H444">
        <v>17571.252189974999</v>
      </c>
      <c r="I444">
        <v>15613.6115357043</v>
      </c>
      <c r="J444">
        <v>865.11804103736802</v>
      </c>
      <c r="K444">
        <v>814.76459270733005</v>
      </c>
      <c r="L444">
        <v>412.99087341900702</v>
      </c>
      <c r="M444">
        <v>3887.3562190750999</v>
      </c>
      <c r="N444">
        <v>496.01008517289398</v>
      </c>
      <c r="O444">
        <v>240.50305927438899</v>
      </c>
      <c r="P444">
        <v>571.58383901559796</v>
      </c>
      <c r="Q444">
        <v>2073.3294477832901</v>
      </c>
      <c r="R444">
        <v>312.576546130819</v>
      </c>
      <c r="S444">
        <v>212.721355278554</v>
      </c>
      <c r="T444">
        <v>168.28622229636099</v>
      </c>
      <c r="U444">
        <v>153.44015324116199</v>
      </c>
      <c r="V444">
        <v>141.01952738072501</v>
      </c>
      <c r="W444">
        <v>129.629569485811</v>
      </c>
      <c r="X444">
        <v>140.48164746430601</v>
      </c>
      <c r="Y444">
        <v>473.36161649502901</v>
      </c>
      <c r="Z444">
        <v>215.365264078048</v>
      </c>
      <c r="AA444">
        <v>455.367940043234</v>
      </c>
      <c r="AB444">
        <v>507.64690513558202</v>
      </c>
      <c r="AC444">
        <v>515.09441226279796</v>
      </c>
      <c r="AD444">
        <v>368.96019508903697</v>
      </c>
      <c r="AE444">
        <v>163.079940457898</v>
      </c>
      <c r="AF444">
        <v>411.36796520087199</v>
      </c>
      <c r="AG444">
        <v>715.08606375528598</v>
      </c>
    </row>
    <row r="445" spans="1:33" x14ac:dyDescent="0.25">
      <c r="A445" s="1">
        <v>44496</v>
      </c>
      <c r="B445">
        <v>9436.9320085566105</v>
      </c>
      <c r="C445">
        <v>1679.5793297085299</v>
      </c>
      <c r="D445">
        <v>7911.66790123998</v>
      </c>
      <c r="E445">
        <v>9218.0728507592594</v>
      </c>
      <c r="F445">
        <v>5157.7891155178404</v>
      </c>
      <c r="G445">
        <v>1722.04253985842</v>
      </c>
      <c r="H445">
        <v>13055.4330631989</v>
      </c>
      <c r="I445">
        <v>14966.577469689801</v>
      </c>
      <c r="J445">
        <v>811.88476015158699</v>
      </c>
      <c r="K445">
        <v>812.44934854233202</v>
      </c>
      <c r="L445">
        <v>373.13342793145603</v>
      </c>
      <c r="M445">
        <v>1435.6477588279199</v>
      </c>
      <c r="N445">
        <v>224.91792276592599</v>
      </c>
      <c r="O445">
        <v>230.278913297944</v>
      </c>
      <c r="P445">
        <v>438.07923920117702</v>
      </c>
      <c r="Q445">
        <v>656.25877955886301</v>
      </c>
      <c r="R445">
        <v>294.881054404873</v>
      </c>
      <c r="S445">
        <v>236.703854590226</v>
      </c>
      <c r="T445">
        <v>158.807448038438</v>
      </c>
      <c r="U445">
        <v>154.335693735863</v>
      </c>
      <c r="V445">
        <v>135.38531905104901</v>
      </c>
      <c r="W445">
        <v>138.58250869434499</v>
      </c>
      <c r="X445">
        <v>135.62344090044601</v>
      </c>
      <c r="Y445">
        <v>590.249178758477</v>
      </c>
      <c r="Z445">
        <v>204.91873699517501</v>
      </c>
      <c r="AA445">
        <v>493.326499168807</v>
      </c>
      <c r="AB445">
        <v>582.60709136043704</v>
      </c>
      <c r="AC445">
        <v>399.92646393244598</v>
      </c>
      <c r="AD445">
        <v>344.01515305064601</v>
      </c>
      <c r="AE445">
        <v>199.93946995249499</v>
      </c>
      <c r="AF445">
        <v>452.56415277364903</v>
      </c>
      <c r="AG445">
        <v>636.80929011005003</v>
      </c>
    </row>
    <row r="446" spans="1:33" x14ac:dyDescent="0.25">
      <c r="A446" s="1">
        <v>44497</v>
      </c>
      <c r="B446">
        <v>9435.7303897598194</v>
      </c>
      <c r="C446">
        <v>539.62583538041599</v>
      </c>
      <c r="D446">
        <v>7085.7792977519402</v>
      </c>
      <c r="E446">
        <v>9030.0899648642098</v>
      </c>
      <c r="F446">
        <v>2962.7708651276698</v>
      </c>
      <c r="G446">
        <v>883.18570786895498</v>
      </c>
      <c r="H446">
        <v>11017.572849750301</v>
      </c>
      <c r="I446">
        <v>13717.315943936601</v>
      </c>
      <c r="J446">
        <v>767.467545134847</v>
      </c>
      <c r="K446">
        <v>797.71507009175104</v>
      </c>
      <c r="L446">
        <v>342.65987855958002</v>
      </c>
      <c r="M446">
        <v>773.03743758154496</v>
      </c>
      <c r="N446">
        <v>162.76201631072999</v>
      </c>
      <c r="O446">
        <v>230.910103868025</v>
      </c>
      <c r="P446">
        <v>394.37322794655699</v>
      </c>
      <c r="Q446">
        <v>475.94387291110797</v>
      </c>
      <c r="R446">
        <v>282.89114585463199</v>
      </c>
      <c r="S446">
        <v>287.59470217965202</v>
      </c>
      <c r="T446">
        <v>161.12128664017999</v>
      </c>
      <c r="U446">
        <v>160.68224182581801</v>
      </c>
      <c r="V446">
        <v>137.14525157959801</v>
      </c>
      <c r="W446">
        <v>127.550863192836</v>
      </c>
      <c r="X446">
        <v>136.966981949353</v>
      </c>
      <c r="Y446">
        <v>610.82220027326503</v>
      </c>
      <c r="Z446">
        <v>219.920200748567</v>
      </c>
      <c r="AA446">
        <v>531.05438309008105</v>
      </c>
      <c r="AB446">
        <v>579.29128474867196</v>
      </c>
      <c r="AC446">
        <v>383.06158942391301</v>
      </c>
      <c r="AD446">
        <v>320.13756829606302</v>
      </c>
      <c r="AE446">
        <v>234.548230453103</v>
      </c>
      <c r="AF446">
        <v>528.28436754271502</v>
      </c>
      <c r="AG446">
        <v>615.47467863618601</v>
      </c>
    </row>
    <row r="447" spans="1:33" x14ac:dyDescent="0.25">
      <c r="A447" s="1">
        <v>44498</v>
      </c>
      <c r="B447">
        <v>9085.2338851943805</v>
      </c>
      <c r="C447">
        <v>314.93263031303798</v>
      </c>
      <c r="D447">
        <v>5836.0870064133396</v>
      </c>
      <c r="E447">
        <v>8694.4553904261302</v>
      </c>
      <c r="F447">
        <v>2050.90808586107</v>
      </c>
      <c r="G447">
        <v>691.59200011554697</v>
      </c>
      <c r="H447">
        <v>12304.493233650001</v>
      </c>
      <c r="I447">
        <v>12216.012966177301</v>
      </c>
      <c r="J447">
        <v>714.892118419295</v>
      </c>
      <c r="K447">
        <v>776.83723425415701</v>
      </c>
      <c r="L447">
        <v>318.65412762248701</v>
      </c>
      <c r="M447">
        <v>651.27754316374705</v>
      </c>
      <c r="N447">
        <v>160.38766031129899</v>
      </c>
      <c r="O447">
        <v>231.61531327655101</v>
      </c>
      <c r="P447">
        <v>365.61627832125703</v>
      </c>
      <c r="Q447">
        <v>395.78506581995401</v>
      </c>
      <c r="R447">
        <v>284.96229650206902</v>
      </c>
      <c r="S447">
        <v>307.13066421554203</v>
      </c>
      <c r="T447">
        <v>154.68085135888001</v>
      </c>
      <c r="U447">
        <v>161.81810289844199</v>
      </c>
      <c r="V447">
        <v>120.11784084674601</v>
      </c>
      <c r="W447">
        <v>115.666113295578</v>
      </c>
      <c r="X447">
        <v>119.854775837869</v>
      </c>
      <c r="Y447">
        <v>541.98018275008098</v>
      </c>
      <c r="Z447">
        <v>207.494921286633</v>
      </c>
      <c r="AA447">
        <v>518.16518425088395</v>
      </c>
      <c r="AB447">
        <v>535.67573035055204</v>
      </c>
      <c r="AC447">
        <v>388.84979509474999</v>
      </c>
      <c r="AD447">
        <v>299.59961710148002</v>
      </c>
      <c r="AE447">
        <v>233.46316004139101</v>
      </c>
      <c r="AF447">
        <v>516.72760867038198</v>
      </c>
      <c r="AG447">
        <v>497.51569024944399</v>
      </c>
    </row>
    <row r="448" spans="1:33" x14ac:dyDescent="0.25">
      <c r="A448" s="1">
        <v>44499</v>
      </c>
      <c r="B448">
        <v>8512.6156680096792</v>
      </c>
      <c r="C448">
        <v>298.65694085591701</v>
      </c>
      <c r="D448">
        <v>4680.2913537007398</v>
      </c>
      <c r="E448">
        <v>8143.2702846525799</v>
      </c>
      <c r="F448">
        <v>1749.98445296722</v>
      </c>
      <c r="G448">
        <v>771.35620957219396</v>
      </c>
      <c r="H448">
        <v>13243.149624125899</v>
      </c>
      <c r="I448">
        <v>10623.0087878168</v>
      </c>
      <c r="J448">
        <v>666.28809546055902</v>
      </c>
      <c r="K448">
        <v>717.80890658228896</v>
      </c>
      <c r="L448">
        <v>305.37321252297397</v>
      </c>
      <c r="M448">
        <v>697.00184346629601</v>
      </c>
      <c r="N448">
        <v>153.33209142057501</v>
      </c>
      <c r="O448">
        <v>243.565414939476</v>
      </c>
      <c r="P448">
        <v>337.46898169834998</v>
      </c>
      <c r="Q448">
        <v>365.99883193125299</v>
      </c>
      <c r="R448">
        <v>294.63702998862198</v>
      </c>
      <c r="S448">
        <v>311.37494741057202</v>
      </c>
      <c r="T448">
        <v>146.620402853869</v>
      </c>
      <c r="U448">
        <v>172.20593651803799</v>
      </c>
      <c r="V448">
        <v>116.023181746803</v>
      </c>
      <c r="W448">
        <v>122.13828181970101</v>
      </c>
      <c r="X448">
        <v>116.265877956292</v>
      </c>
      <c r="Y448">
        <v>569.63661140035595</v>
      </c>
      <c r="Z448">
        <v>190.27498671021101</v>
      </c>
      <c r="AA448">
        <v>476.23416541868301</v>
      </c>
      <c r="AB448">
        <v>502.45397112119701</v>
      </c>
      <c r="AC448">
        <v>389.447989219818</v>
      </c>
      <c r="AD448">
        <v>285.235598580736</v>
      </c>
      <c r="AE448">
        <v>247.08484432253999</v>
      </c>
      <c r="AF448">
        <v>494.75789779135499</v>
      </c>
      <c r="AG448">
        <v>479.373600469054</v>
      </c>
    </row>
    <row r="449" spans="1:33" x14ac:dyDescent="0.25">
      <c r="A449" s="1">
        <v>44500</v>
      </c>
      <c r="B449">
        <v>7962.4126002343801</v>
      </c>
      <c r="C449">
        <v>310.57588326798998</v>
      </c>
      <c r="D449">
        <v>3528.8234814940402</v>
      </c>
      <c r="E449">
        <v>7526.3837114805501</v>
      </c>
      <c r="F449">
        <v>1741.42434386073</v>
      </c>
      <c r="G449">
        <v>934.71920892415005</v>
      </c>
      <c r="H449">
        <v>12562.6394766632</v>
      </c>
      <c r="I449">
        <v>7596.3222940098303</v>
      </c>
      <c r="J449">
        <v>619.024806609145</v>
      </c>
      <c r="K449">
        <v>687.46229799228297</v>
      </c>
      <c r="L449">
        <v>303.05718670694603</v>
      </c>
      <c r="M449">
        <v>756.46349677847604</v>
      </c>
      <c r="N449">
        <v>144.54980617549299</v>
      </c>
      <c r="O449">
        <v>244.54807057995399</v>
      </c>
      <c r="P449">
        <v>321.34331523068801</v>
      </c>
      <c r="Q449">
        <v>355.47397374805797</v>
      </c>
      <c r="R449">
        <v>295.42105457279303</v>
      </c>
      <c r="S449">
        <v>309.043890802926</v>
      </c>
      <c r="T449">
        <v>145.18429663643099</v>
      </c>
      <c r="U449">
        <v>179.62395196752499</v>
      </c>
      <c r="V449">
        <v>123.287476935001</v>
      </c>
      <c r="W449">
        <v>144.41511990377001</v>
      </c>
      <c r="X449">
        <v>123.646202123902</v>
      </c>
      <c r="Y449">
        <v>515.23642582268701</v>
      </c>
      <c r="Z449">
        <v>180.09734964618499</v>
      </c>
      <c r="AA449">
        <v>453.43230791645499</v>
      </c>
      <c r="AB449">
        <v>468.06012597942703</v>
      </c>
      <c r="AC449">
        <v>384.38404621271798</v>
      </c>
      <c r="AD449">
        <v>278.12495499518297</v>
      </c>
      <c r="AE449">
        <v>223.92600142916299</v>
      </c>
      <c r="AF449">
        <v>474.47167601645799</v>
      </c>
      <c r="AG449">
        <v>447.33464372429597</v>
      </c>
    </row>
    <row r="450" spans="1:33" x14ac:dyDescent="0.25">
      <c r="A450" s="1">
        <v>44501</v>
      </c>
      <c r="B450">
        <v>7309.1591947284796</v>
      </c>
      <c r="C450">
        <v>287.83872114442801</v>
      </c>
      <c r="D450">
        <v>2840.14439490619</v>
      </c>
      <c r="E450">
        <v>6696.0298153738604</v>
      </c>
      <c r="F450">
        <v>2206.1872577484501</v>
      </c>
      <c r="G450">
        <v>1624.2281053838501</v>
      </c>
      <c r="H450">
        <v>13748.198178111899</v>
      </c>
      <c r="I450">
        <v>5797.66495439766</v>
      </c>
      <c r="J450">
        <v>557.74295123861202</v>
      </c>
      <c r="K450">
        <v>661.93762740746104</v>
      </c>
      <c r="L450">
        <v>299.08272802700202</v>
      </c>
      <c r="M450">
        <v>1201.4702133384101</v>
      </c>
      <c r="N450">
        <v>145.46252847577799</v>
      </c>
      <c r="O450">
        <v>257.833545725916</v>
      </c>
      <c r="P450">
        <v>324.90771710768502</v>
      </c>
      <c r="Q450">
        <v>537.97674553768104</v>
      </c>
      <c r="R450">
        <v>294.39959249487799</v>
      </c>
      <c r="S450">
        <v>306.762165564783</v>
      </c>
      <c r="T450">
        <v>147.775522067102</v>
      </c>
      <c r="U450">
        <v>219.43368895533899</v>
      </c>
      <c r="V450">
        <v>143.28059449305101</v>
      </c>
      <c r="W450">
        <v>160.87914050371799</v>
      </c>
      <c r="X450">
        <v>145.21067579279699</v>
      </c>
      <c r="Y450">
        <v>441.89122224323302</v>
      </c>
      <c r="Z450">
        <v>167.80409073873801</v>
      </c>
      <c r="AA450">
        <v>437.21698842826697</v>
      </c>
      <c r="AB450">
        <v>435.36121860582102</v>
      </c>
      <c r="AC450">
        <v>378.39092029427701</v>
      </c>
      <c r="AD450">
        <v>276.545897057866</v>
      </c>
      <c r="AE450">
        <v>197.890613592373</v>
      </c>
      <c r="AF450">
        <v>452.19050039400298</v>
      </c>
      <c r="AG450">
        <v>423.71344576069799</v>
      </c>
    </row>
    <row r="451" spans="1:33" x14ac:dyDescent="0.25">
      <c r="A451" s="1">
        <v>44502</v>
      </c>
      <c r="B451">
        <v>6614.7048729784101</v>
      </c>
      <c r="C451">
        <v>409.19055907227801</v>
      </c>
      <c r="D451">
        <v>2189.42416176503</v>
      </c>
      <c r="E451">
        <v>6060.2254847918002</v>
      </c>
      <c r="F451">
        <v>3128.9255961694298</v>
      </c>
      <c r="G451">
        <v>2263.6038626918298</v>
      </c>
      <c r="H451">
        <v>13856.020605636901</v>
      </c>
      <c r="I451">
        <v>5311.2281783634298</v>
      </c>
      <c r="J451">
        <v>522.64370301922395</v>
      </c>
      <c r="K451">
        <v>625.07647213815005</v>
      </c>
      <c r="L451">
        <v>296.19915470127103</v>
      </c>
      <c r="M451">
        <v>1607.78325245108</v>
      </c>
      <c r="N451">
        <v>148.495474696255</v>
      </c>
      <c r="O451">
        <v>256.20372342393898</v>
      </c>
      <c r="P451">
        <v>319.54049727309803</v>
      </c>
      <c r="Q451">
        <v>821.01153781963797</v>
      </c>
      <c r="R451">
        <v>288.86545427341201</v>
      </c>
      <c r="S451">
        <v>303.66946569264098</v>
      </c>
      <c r="T451">
        <v>155.18068898647701</v>
      </c>
      <c r="U451">
        <v>213.93002229019399</v>
      </c>
      <c r="V451">
        <v>158.712512314023</v>
      </c>
      <c r="W451">
        <v>162.32944407102499</v>
      </c>
      <c r="X451">
        <v>159.85115057333499</v>
      </c>
      <c r="Y451">
        <v>405.675798253739</v>
      </c>
      <c r="Z451">
        <v>158.88285338993299</v>
      </c>
      <c r="AA451">
        <v>418.23441177739801</v>
      </c>
      <c r="AB451">
        <v>411.92166019190802</v>
      </c>
      <c r="AC451">
        <v>365.232964429106</v>
      </c>
      <c r="AD451">
        <v>274.94134375605</v>
      </c>
      <c r="AE451">
        <v>212.299165894834</v>
      </c>
      <c r="AF451">
        <v>428.85567305337702</v>
      </c>
      <c r="AG451">
        <v>399.98067655298001</v>
      </c>
    </row>
    <row r="452" spans="1:33" x14ac:dyDescent="0.25">
      <c r="A452" s="1">
        <v>44503</v>
      </c>
      <c r="B452">
        <v>5736.9558375481702</v>
      </c>
      <c r="C452">
        <v>592.82469759133801</v>
      </c>
      <c r="D452">
        <v>1872.8400819348899</v>
      </c>
      <c r="E452">
        <v>5262.4981909641301</v>
      </c>
      <c r="F452">
        <v>3802.5012695762298</v>
      </c>
      <c r="G452">
        <v>3138.6050777239302</v>
      </c>
      <c r="H452">
        <v>15018.1336588308</v>
      </c>
      <c r="I452">
        <v>5334.8932287201696</v>
      </c>
      <c r="J452">
        <v>493.01992622401798</v>
      </c>
      <c r="K452">
        <v>605.32184501197503</v>
      </c>
      <c r="L452">
        <v>290.89257691372001</v>
      </c>
      <c r="M452">
        <v>2295.34226632625</v>
      </c>
      <c r="N452">
        <v>171.51914298952099</v>
      </c>
      <c r="O452">
        <v>262.275391716559</v>
      </c>
      <c r="P452">
        <v>315.28666455987701</v>
      </c>
      <c r="Q452">
        <v>1353.90330103472</v>
      </c>
      <c r="R452">
        <v>286.04860018830198</v>
      </c>
      <c r="S452">
        <v>297.28675869488802</v>
      </c>
      <c r="T452">
        <v>161.25936528428699</v>
      </c>
      <c r="U452">
        <v>207.28898184203601</v>
      </c>
      <c r="V452">
        <v>161.95938932873801</v>
      </c>
      <c r="W452">
        <v>161.860330967137</v>
      </c>
      <c r="X452">
        <v>162.564165953295</v>
      </c>
      <c r="Y452">
        <v>395.01069839299601</v>
      </c>
      <c r="Z452">
        <v>164.00728610372201</v>
      </c>
      <c r="AA452">
        <v>399.88298038948602</v>
      </c>
      <c r="AB452">
        <v>392.50135507222097</v>
      </c>
      <c r="AC452">
        <v>352.05975938686998</v>
      </c>
      <c r="AD452">
        <v>271.69284197981699</v>
      </c>
      <c r="AE452">
        <v>258.65691610163702</v>
      </c>
      <c r="AF452">
        <v>411.53949161453698</v>
      </c>
      <c r="AG452">
        <v>386.69910494249899</v>
      </c>
    </row>
    <row r="453" spans="1:33" x14ac:dyDescent="0.25">
      <c r="A453" s="1">
        <v>44504</v>
      </c>
      <c r="B453">
        <v>5016.9291898843603</v>
      </c>
      <c r="C453">
        <v>1013.01066717716</v>
      </c>
      <c r="D453">
        <v>1702.9342716675701</v>
      </c>
      <c r="E453">
        <v>4634.5444219471001</v>
      </c>
      <c r="F453">
        <v>4733.0936414464304</v>
      </c>
      <c r="G453">
        <v>4280.0484372748197</v>
      </c>
      <c r="H453">
        <v>16390.976083349698</v>
      </c>
      <c r="I453">
        <v>5681.5537333883603</v>
      </c>
      <c r="J453">
        <v>465.34081735076398</v>
      </c>
      <c r="K453">
        <v>571.344654136651</v>
      </c>
      <c r="L453">
        <v>290.219467695275</v>
      </c>
      <c r="M453">
        <v>3267.2227510898501</v>
      </c>
      <c r="N453">
        <v>259.69810576036599</v>
      </c>
      <c r="O453">
        <v>266.89466683262401</v>
      </c>
      <c r="P453">
        <v>311.42229907588899</v>
      </c>
      <c r="Q453">
        <v>2062.8903563889398</v>
      </c>
      <c r="R453">
        <v>285.53179660413701</v>
      </c>
      <c r="S453">
        <v>284.29706586956797</v>
      </c>
      <c r="T453">
        <v>164.64768120603</v>
      </c>
      <c r="U453">
        <v>215.55787110997599</v>
      </c>
      <c r="V453">
        <v>162.29965620052599</v>
      </c>
      <c r="W453">
        <v>162.39053711825801</v>
      </c>
      <c r="X453">
        <v>161.33641847596201</v>
      </c>
      <c r="Y453">
        <v>386.41607497349997</v>
      </c>
      <c r="Z453">
        <v>170.94766424270099</v>
      </c>
      <c r="AA453">
        <v>384.028967564261</v>
      </c>
      <c r="AB453">
        <v>382.837855214184</v>
      </c>
      <c r="AC453">
        <v>356.29640594242898</v>
      </c>
      <c r="AD453">
        <v>271.49818936102997</v>
      </c>
      <c r="AE453">
        <v>276.40760250272001</v>
      </c>
      <c r="AF453">
        <v>405.683262195738</v>
      </c>
      <c r="AG453">
        <v>376.44228753835102</v>
      </c>
    </row>
    <row r="454" spans="1:33" x14ac:dyDescent="0.25">
      <c r="A454" s="1">
        <v>44505</v>
      </c>
      <c r="B454">
        <v>4547.56192269436</v>
      </c>
      <c r="C454">
        <v>1462.2775966763099</v>
      </c>
      <c r="D454">
        <v>1580.33192070359</v>
      </c>
      <c r="E454">
        <v>4310.9623525063498</v>
      </c>
      <c r="F454">
        <v>5075.7807601800996</v>
      </c>
      <c r="G454">
        <v>4706.06381918446</v>
      </c>
      <c r="H454">
        <v>16626.176271607401</v>
      </c>
      <c r="I454">
        <v>6199.4686740158604</v>
      </c>
      <c r="J454">
        <v>442.74564439721001</v>
      </c>
      <c r="K454">
        <v>532.24441316864102</v>
      </c>
      <c r="L454">
        <v>290.94200435929002</v>
      </c>
      <c r="M454">
        <v>3675.9563949703202</v>
      </c>
      <c r="N454">
        <v>377.65159454039798</v>
      </c>
      <c r="O454">
        <v>262.32054689002399</v>
      </c>
      <c r="P454">
        <v>310.68448940159902</v>
      </c>
      <c r="Q454">
        <v>2463.6725904371801</v>
      </c>
      <c r="R454">
        <v>283.04077689848202</v>
      </c>
      <c r="S454">
        <v>277.26932844375699</v>
      </c>
      <c r="T454">
        <v>168.04052704409699</v>
      </c>
      <c r="U454">
        <v>188.37740886874701</v>
      </c>
      <c r="V454">
        <v>167.597095679897</v>
      </c>
      <c r="W454">
        <v>166.87504587864501</v>
      </c>
      <c r="X454">
        <v>166.12529088950299</v>
      </c>
      <c r="Y454">
        <v>380.59024618765898</v>
      </c>
      <c r="Z454">
        <v>190.84375473422401</v>
      </c>
      <c r="AA454">
        <v>376.74524282851303</v>
      </c>
      <c r="AB454">
        <v>379.25594552154803</v>
      </c>
      <c r="AC454">
        <v>372.033395808112</v>
      </c>
      <c r="AD454">
        <v>270.86397986841001</v>
      </c>
      <c r="AE454">
        <v>326.80626797212</v>
      </c>
      <c r="AF454">
        <v>399.44139598191998</v>
      </c>
      <c r="AG454">
        <v>368.83497260600598</v>
      </c>
    </row>
    <row r="455" spans="1:33" x14ac:dyDescent="0.25">
      <c r="A455" s="1">
        <v>44506</v>
      </c>
      <c r="B455">
        <v>4167.2734671461203</v>
      </c>
      <c r="C455">
        <v>1823.8676020150101</v>
      </c>
      <c r="D455">
        <v>1549.4765269576999</v>
      </c>
      <c r="E455">
        <v>4114.1481940390804</v>
      </c>
      <c r="F455">
        <v>5438.2101088499003</v>
      </c>
      <c r="G455">
        <v>4961.8674883421399</v>
      </c>
      <c r="H455">
        <v>16443.148386025001</v>
      </c>
      <c r="I455">
        <v>6707.5451313392796</v>
      </c>
      <c r="J455">
        <v>425.59191241850698</v>
      </c>
      <c r="K455">
        <v>488.14472994837001</v>
      </c>
      <c r="L455">
        <v>292.57030591397802</v>
      </c>
      <c r="M455">
        <v>3948.9148433999699</v>
      </c>
      <c r="N455">
        <v>466.43454409975698</v>
      </c>
      <c r="O455">
        <v>252.58203081166101</v>
      </c>
      <c r="P455">
        <v>309.76606499131299</v>
      </c>
      <c r="Q455">
        <v>2726.12859423483</v>
      </c>
      <c r="R455">
        <v>279.17247952520501</v>
      </c>
      <c r="S455">
        <v>271.69621070168898</v>
      </c>
      <c r="T455">
        <v>170.99173425454401</v>
      </c>
      <c r="U455">
        <v>172.50334741655001</v>
      </c>
      <c r="V455">
        <v>168.39249994501199</v>
      </c>
      <c r="W455">
        <v>170.62892458344101</v>
      </c>
      <c r="X455">
        <v>162.26696789015099</v>
      </c>
      <c r="Y455">
        <v>373.49523851259499</v>
      </c>
      <c r="Z455">
        <v>214.53108365638201</v>
      </c>
      <c r="AA455">
        <v>380.63920132166601</v>
      </c>
      <c r="AB455">
        <v>371.93619882390999</v>
      </c>
      <c r="AC455">
        <v>379.841854299891</v>
      </c>
      <c r="AD455">
        <v>269.23545451524501</v>
      </c>
      <c r="AE455">
        <v>382.57346744373802</v>
      </c>
      <c r="AF455">
        <v>395.52281930658103</v>
      </c>
      <c r="AG455">
        <v>359.31840990341402</v>
      </c>
    </row>
    <row r="456" spans="1:33" x14ac:dyDescent="0.25">
      <c r="A456" s="1">
        <v>44507</v>
      </c>
      <c r="B456">
        <v>3914.92508222161</v>
      </c>
      <c r="C456">
        <v>2076.1295091043899</v>
      </c>
      <c r="D456">
        <v>1641.12095719998</v>
      </c>
      <c r="E456">
        <v>4096.4377658596604</v>
      </c>
      <c r="F456">
        <v>5483.5727393211801</v>
      </c>
      <c r="G456">
        <v>5120.8613114771597</v>
      </c>
      <c r="H456">
        <v>16734.794012127099</v>
      </c>
      <c r="I456">
        <v>7133.3710046997003</v>
      </c>
      <c r="J456">
        <v>409.531168228475</v>
      </c>
      <c r="K456">
        <v>464.72077771165499</v>
      </c>
      <c r="L456">
        <v>287.19207454433501</v>
      </c>
      <c r="M456">
        <v>4149.0127235035498</v>
      </c>
      <c r="N456">
        <v>571.25088728980199</v>
      </c>
      <c r="O456">
        <v>253.18792730612799</v>
      </c>
      <c r="P456">
        <v>323.19387523033703</v>
      </c>
      <c r="Q456">
        <v>2989.1440292306502</v>
      </c>
      <c r="R456">
        <v>277.86944301989399</v>
      </c>
      <c r="S456">
        <v>271.10582564668499</v>
      </c>
      <c r="T456">
        <v>174.942412805635</v>
      </c>
      <c r="U456">
        <v>165.89639372764</v>
      </c>
      <c r="V456">
        <v>178.2796998307</v>
      </c>
      <c r="W456">
        <v>167.47360418688899</v>
      </c>
      <c r="X456">
        <v>173.05565972199301</v>
      </c>
      <c r="Y456">
        <v>364.02875683381097</v>
      </c>
      <c r="Z456">
        <v>209.49949685631299</v>
      </c>
      <c r="AA456">
        <v>379.62067681051701</v>
      </c>
      <c r="AB456">
        <v>363.32021384155502</v>
      </c>
      <c r="AC456">
        <v>386.28373557731697</v>
      </c>
      <c r="AD456">
        <v>267.09531584410001</v>
      </c>
      <c r="AE456">
        <v>437.400114883546</v>
      </c>
      <c r="AF456">
        <v>390.14965450013398</v>
      </c>
      <c r="AG456">
        <v>352.994456004266</v>
      </c>
    </row>
    <row r="457" spans="1:33" x14ac:dyDescent="0.25">
      <c r="A457" s="1">
        <v>44508</v>
      </c>
      <c r="B457">
        <v>3756.1780505164602</v>
      </c>
      <c r="C457">
        <v>2430.1318451398902</v>
      </c>
      <c r="D457">
        <v>1861.5267088267001</v>
      </c>
      <c r="E457">
        <v>4158.3998961683701</v>
      </c>
      <c r="F457">
        <v>5892.8705479525097</v>
      </c>
      <c r="G457">
        <v>5743.9739520776902</v>
      </c>
      <c r="H457">
        <v>17409.830016059601</v>
      </c>
      <c r="I457">
        <v>7460.3703983485402</v>
      </c>
      <c r="J457">
        <v>393.09637676366702</v>
      </c>
      <c r="K457">
        <v>447.56264160630298</v>
      </c>
      <c r="L457">
        <v>281.95163025764799</v>
      </c>
      <c r="M457">
        <v>4841.1821940155196</v>
      </c>
      <c r="N457">
        <v>802.54116273053398</v>
      </c>
      <c r="O457">
        <v>250.155060981351</v>
      </c>
      <c r="P457">
        <v>355.32303041556702</v>
      </c>
      <c r="Q457">
        <v>3507.26968561277</v>
      </c>
      <c r="R457">
        <v>277.64333066440003</v>
      </c>
      <c r="S457">
        <v>268.41090148270899</v>
      </c>
      <c r="T457">
        <v>181.70447229075901</v>
      </c>
      <c r="U457">
        <v>163.035589647639</v>
      </c>
      <c r="V457">
        <v>188.96232824689901</v>
      </c>
      <c r="W457">
        <v>161.80792909767101</v>
      </c>
      <c r="X457">
        <v>177.31911735361399</v>
      </c>
      <c r="Y457">
        <v>360.84118263293999</v>
      </c>
      <c r="Z457">
        <v>180.74976891600599</v>
      </c>
      <c r="AA457">
        <v>375.53329996982001</v>
      </c>
      <c r="AB457">
        <v>359.59022526808599</v>
      </c>
      <c r="AC457">
        <v>409.88899164277399</v>
      </c>
      <c r="AD457">
        <v>265.658483793068</v>
      </c>
      <c r="AE457">
        <v>489.03418351632598</v>
      </c>
      <c r="AF457">
        <v>384.93945226585299</v>
      </c>
      <c r="AG457">
        <v>350.22601246118899</v>
      </c>
    </row>
    <row r="458" spans="1:33" x14ac:dyDescent="0.25">
      <c r="A458" s="1">
        <v>44509</v>
      </c>
      <c r="B458">
        <v>3681.9502683703499</v>
      </c>
      <c r="C458">
        <v>2743.49973741248</v>
      </c>
      <c r="D458">
        <v>1903.4257339728799</v>
      </c>
      <c r="E458">
        <v>4099.49968666115</v>
      </c>
      <c r="F458">
        <v>7041.1199658118103</v>
      </c>
      <c r="G458">
        <v>6839.9056175946198</v>
      </c>
      <c r="H458">
        <v>19125.403821990902</v>
      </c>
      <c r="I458">
        <v>8020.05821560411</v>
      </c>
      <c r="J458">
        <v>383.84452156215502</v>
      </c>
      <c r="K458">
        <v>434.60803272959998</v>
      </c>
      <c r="L458">
        <v>279.74998973900102</v>
      </c>
      <c r="M458">
        <v>5904.5455005309304</v>
      </c>
      <c r="N458">
        <v>1082.87684657912</v>
      </c>
      <c r="O458">
        <v>253.82709881786599</v>
      </c>
      <c r="P458">
        <v>404.50610569975697</v>
      </c>
      <c r="Q458">
        <v>4105.3593559985502</v>
      </c>
      <c r="R458">
        <v>281.24913343967597</v>
      </c>
      <c r="S458">
        <v>246.89367018470699</v>
      </c>
      <c r="T458">
        <v>188.72193174965901</v>
      </c>
      <c r="U458">
        <v>162.22773679943299</v>
      </c>
      <c r="V458">
        <v>195.28399588676101</v>
      </c>
      <c r="W458">
        <v>162.87317633858899</v>
      </c>
      <c r="X458">
        <v>174.86174022319599</v>
      </c>
      <c r="Y458">
        <v>356.81616728932198</v>
      </c>
      <c r="Z458">
        <v>179.42388622049901</v>
      </c>
      <c r="AA458">
        <v>362.509134782226</v>
      </c>
      <c r="AB458">
        <v>352.188224313852</v>
      </c>
      <c r="AC458">
        <v>430.08997760976803</v>
      </c>
      <c r="AD458">
        <v>266.21527449915601</v>
      </c>
      <c r="AE458">
        <v>541.07895327588903</v>
      </c>
      <c r="AF458">
        <v>382.58622819772199</v>
      </c>
      <c r="AG458">
        <v>373.01483052767901</v>
      </c>
    </row>
    <row r="459" spans="1:33" x14ac:dyDescent="0.25">
      <c r="A459" s="1">
        <v>44510</v>
      </c>
      <c r="B459">
        <v>3768.8730278471298</v>
      </c>
      <c r="C459">
        <v>3199.9020759140699</v>
      </c>
      <c r="D459">
        <v>1993.4065589977199</v>
      </c>
      <c r="E459">
        <v>3881.21502176077</v>
      </c>
      <c r="F459">
        <v>6907.7055525751803</v>
      </c>
      <c r="G459">
        <v>5820.1742877773104</v>
      </c>
      <c r="H459">
        <v>17048.841346405199</v>
      </c>
      <c r="I459">
        <v>8229.3962193228199</v>
      </c>
      <c r="J459">
        <v>396.44940666916199</v>
      </c>
      <c r="K459">
        <v>426.38648042418299</v>
      </c>
      <c r="L459">
        <v>278.12697401801</v>
      </c>
      <c r="M459">
        <v>4876.10547489073</v>
      </c>
      <c r="N459">
        <v>772.469802600496</v>
      </c>
      <c r="O459">
        <v>238.697752444543</v>
      </c>
      <c r="P459">
        <v>388.42774441433801</v>
      </c>
      <c r="Q459">
        <v>3382.8934750071198</v>
      </c>
      <c r="R459">
        <v>275.04116532218097</v>
      </c>
      <c r="S459">
        <v>260.00739285782998</v>
      </c>
      <c r="T459">
        <v>180.49114426707601</v>
      </c>
      <c r="U459">
        <v>163.774134521625</v>
      </c>
      <c r="V459">
        <v>176.33482736349501</v>
      </c>
      <c r="W459">
        <v>165.44925021298701</v>
      </c>
      <c r="X459">
        <v>163.77666752069399</v>
      </c>
      <c r="Y459">
        <v>363.81202184446101</v>
      </c>
      <c r="Z459">
        <v>175.83891535074901</v>
      </c>
      <c r="AA459">
        <v>359.67490481522799</v>
      </c>
      <c r="AB459">
        <v>352.76260138316297</v>
      </c>
      <c r="AC459">
        <v>452.94147149471399</v>
      </c>
      <c r="AD459">
        <v>260.79483421991802</v>
      </c>
      <c r="AE459">
        <v>528.06515875978403</v>
      </c>
      <c r="AF459">
        <v>381.04036867031198</v>
      </c>
      <c r="AG459">
        <v>350.55162790826398</v>
      </c>
    </row>
    <row r="460" spans="1:33" x14ac:dyDescent="0.25">
      <c r="A460" s="1">
        <v>44511</v>
      </c>
      <c r="B460">
        <v>3714.9949358982099</v>
      </c>
      <c r="C460">
        <v>3207.5704646427398</v>
      </c>
      <c r="D460">
        <v>2209.8524119936301</v>
      </c>
      <c r="E460">
        <v>3909.2216366613002</v>
      </c>
      <c r="F460">
        <v>6527.5789328513501</v>
      </c>
      <c r="G460">
        <v>5292.5003629726198</v>
      </c>
      <c r="H460">
        <v>16612.1025408854</v>
      </c>
      <c r="I460">
        <v>8231.6330822338005</v>
      </c>
      <c r="J460">
        <v>402.50937435690099</v>
      </c>
      <c r="K460">
        <v>419.63722937147298</v>
      </c>
      <c r="L460">
        <v>273.38711779102903</v>
      </c>
      <c r="M460">
        <v>4373.7386695253999</v>
      </c>
      <c r="N460">
        <v>665.30524606049198</v>
      </c>
      <c r="O460">
        <v>231.39396358921701</v>
      </c>
      <c r="P460">
        <v>390.27539722218501</v>
      </c>
      <c r="Q460">
        <v>2951.8344913511401</v>
      </c>
      <c r="R460">
        <v>270.80831867850497</v>
      </c>
      <c r="S460">
        <v>261.57790395335098</v>
      </c>
      <c r="T460">
        <v>178.793352017057</v>
      </c>
      <c r="U460">
        <v>166.490954697181</v>
      </c>
      <c r="V460">
        <v>175.44240309586399</v>
      </c>
      <c r="W460">
        <v>168.68702491222001</v>
      </c>
      <c r="X460">
        <v>165.40828969504599</v>
      </c>
      <c r="Y460">
        <v>365.78679145540099</v>
      </c>
      <c r="Z460">
        <v>173.23180876362301</v>
      </c>
      <c r="AA460">
        <v>368.15956137921</v>
      </c>
      <c r="AB460">
        <v>345.92060436928102</v>
      </c>
      <c r="AC460">
        <v>477.15202005119301</v>
      </c>
      <c r="AD460">
        <v>256.187748582621</v>
      </c>
      <c r="AE460">
        <v>452.44743888586299</v>
      </c>
      <c r="AF460">
        <v>378.42479857207002</v>
      </c>
      <c r="AG460">
        <v>346.30714038097398</v>
      </c>
    </row>
    <row r="461" spans="1:33" x14ac:dyDescent="0.25">
      <c r="A461" s="1">
        <v>44512</v>
      </c>
      <c r="B461">
        <v>3655.03437133129</v>
      </c>
      <c r="C461">
        <v>3026.6711000555601</v>
      </c>
      <c r="D461">
        <v>2481.46021140432</v>
      </c>
      <c r="E461">
        <v>4108.2432310168297</v>
      </c>
      <c r="F461">
        <v>6464.9511660706203</v>
      </c>
      <c r="G461">
        <v>5335.2784155607596</v>
      </c>
      <c r="H461">
        <v>16963.4087716754</v>
      </c>
      <c r="I461">
        <v>8242.6542477555504</v>
      </c>
      <c r="J461">
        <v>406.118791236795</v>
      </c>
      <c r="K461">
        <v>416.79101701082601</v>
      </c>
      <c r="L461">
        <v>269.16430507569697</v>
      </c>
      <c r="M461">
        <v>4327.2059758287196</v>
      </c>
      <c r="N461">
        <v>622.74947913725202</v>
      </c>
      <c r="O461">
        <v>226.12157255126601</v>
      </c>
      <c r="P461">
        <v>408.14455230803298</v>
      </c>
      <c r="Q461">
        <v>2835.1470181669301</v>
      </c>
      <c r="R461">
        <v>269.80085583716198</v>
      </c>
      <c r="S461">
        <v>257.68041466329697</v>
      </c>
      <c r="T461">
        <v>178.50196165573499</v>
      </c>
      <c r="U461">
        <v>172.714905979653</v>
      </c>
      <c r="V461">
        <v>173.39281679184799</v>
      </c>
      <c r="W461">
        <v>170.657487032967</v>
      </c>
      <c r="X461">
        <v>168.45062012201001</v>
      </c>
      <c r="Y461">
        <v>353.03075742340798</v>
      </c>
      <c r="Z461">
        <v>171.41629442750499</v>
      </c>
      <c r="AA461">
        <v>351.28335827151</v>
      </c>
      <c r="AB461">
        <v>332.67485376955301</v>
      </c>
      <c r="AC461">
        <v>485.73353594859299</v>
      </c>
      <c r="AD461">
        <v>252.75764650193901</v>
      </c>
      <c r="AE461">
        <v>442.65560298312602</v>
      </c>
      <c r="AF461">
        <v>377.97431757283903</v>
      </c>
      <c r="AG461">
        <v>345.55887466840602</v>
      </c>
    </row>
    <row r="462" spans="1:33" x14ac:dyDescent="0.25">
      <c r="A462" s="1">
        <v>44513</v>
      </c>
      <c r="B462">
        <v>3772.45185907111</v>
      </c>
      <c r="C462">
        <v>2967.6620372506</v>
      </c>
      <c r="D462">
        <v>2733.8478405065298</v>
      </c>
      <c r="E462">
        <v>4335.8274092483598</v>
      </c>
      <c r="F462">
        <v>6472.0874118880301</v>
      </c>
      <c r="G462">
        <v>5319.8813911465304</v>
      </c>
      <c r="H462">
        <v>17352.859510062299</v>
      </c>
      <c r="I462">
        <v>8271.9818106886105</v>
      </c>
      <c r="J462">
        <v>410.14129889335601</v>
      </c>
      <c r="K462">
        <v>409.774344126252</v>
      </c>
      <c r="L462">
        <v>265.10633723707599</v>
      </c>
      <c r="M462">
        <v>4320.50674640338</v>
      </c>
      <c r="N462">
        <v>555.66509286826999</v>
      </c>
      <c r="O462">
        <v>227.842675446838</v>
      </c>
      <c r="P462">
        <v>420.31993764826802</v>
      </c>
      <c r="Q462">
        <v>2740.7951462750998</v>
      </c>
      <c r="R462">
        <v>269.63281910188402</v>
      </c>
      <c r="S462">
        <v>254.09719401424701</v>
      </c>
      <c r="T462">
        <v>178.388758897836</v>
      </c>
      <c r="U462">
        <v>163.55174917168901</v>
      </c>
      <c r="V462">
        <v>172.650454641777</v>
      </c>
      <c r="W462">
        <v>165.80644667385101</v>
      </c>
      <c r="X462">
        <v>172.35469058259301</v>
      </c>
      <c r="Y462">
        <v>364.56391555043302</v>
      </c>
      <c r="Z462">
        <v>168.80556992171901</v>
      </c>
      <c r="AA462">
        <v>342.90871454758201</v>
      </c>
      <c r="AB462">
        <v>329.94463223313801</v>
      </c>
      <c r="AC462">
        <v>488.31354565418098</v>
      </c>
      <c r="AD462">
        <v>248.88640188797299</v>
      </c>
      <c r="AE462">
        <v>443.48623380332401</v>
      </c>
      <c r="AF462">
        <v>378.57762097264703</v>
      </c>
      <c r="AG462">
        <v>329.84481436452802</v>
      </c>
    </row>
    <row r="463" spans="1:33" x14ac:dyDescent="0.25">
      <c r="A463" s="1">
        <v>44514</v>
      </c>
      <c r="B463">
        <v>4091.6092960742799</v>
      </c>
      <c r="C463">
        <v>2942.50653628704</v>
      </c>
      <c r="D463">
        <v>2970.8039444941701</v>
      </c>
      <c r="E463">
        <v>4622.0398318522402</v>
      </c>
      <c r="F463">
        <v>6603.7622977684596</v>
      </c>
      <c r="G463">
        <v>5449.8882324435699</v>
      </c>
      <c r="H463">
        <v>17580.2310906727</v>
      </c>
      <c r="I463">
        <v>8365.7979756585992</v>
      </c>
      <c r="J463">
        <v>414.96681459323901</v>
      </c>
      <c r="K463">
        <v>411.80543353865198</v>
      </c>
      <c r="L463">
        <v>266.87082560344697</v>
      </c>
      <c r="M463">
        <v>4513.1916883923604</v>
      </c>
      <c r="N463">
        <v>487.45171327391103</v>
      </c>
      <c r="O463">
        <v>247.24492006789299</v>
      </c>
      <c r="P463">
        <v>437.576929727155</v>
      </c>
      <c r="Q463">
        <v>2774.4135570141598</v>
      </c>
      <c r="R463">
        <v>282.45039258609398</v>
      </c>
      <c r="S463">
        <v>248.36800501271901</v>
      </c>
      <c r="T463">
        <v>176.700924020522</v>
      </c>
      <c r="U463">
        <v>163.163248530186</v>
      </c>
      <c r="V463">
        <v>164.918439924149</v>
      </c>
      <c r="W463">
        <v>162.88455439384799</v>
      </c>
      <c r="X463">
        <v>163.63684296340301</v>
      </c>
      <c r="Y463">
        <v>386.94498001986398</v>
      </c>
      <c r="Z463">
        <v>170.800095316317</v>
      </c>
      <c r="AA463">
        <v>334.62417528843798</v>
      </c>
      <c r="AB463">
        <v>319.84384294866601</v>
      </c>
      <c r="AC463">
        <v>488.62017532769499</v>
      </c>
      <c r="AD463">
        <v>249.90874572698999</v>
      </c>
      <c r="AE463">
        <v>454.802267377134</v>
      </c>
      <c r="AF463">
        <v>379.86686739562799</v>
      </c>
      <c r="AG463">
        <v>318.90801797647998</v>
      </c>
    </row>
    <row r="464" spans="1:33" x14ac:dyDescent="0.25">
      <c r="A464" s="1">
        <v>44515</v>
      </c>
      <c r="B464">
        <v>4496.28526454446</v>
      </c>
      <c r="C464">
        <v>2939.6058296675301</v>
      </c>
      <c r="D464">
        <v>3422.56633173625</v>
      </c>
      <c r="E464">
        <v>5085.2917343724403</v>
      </c>
      <c r="F464">
        <v>7030.2146704076704</v>
      </c>
      <c r="G464">
        <v>6455.4985911590002</v>
      </c>
      <c r="H464">
        <v>19422.8280800537</v>
      </c>
      <c r="I464">
        <v>8579.4400576362405</v>
      </c>
      <c r="J464">
        <v>425.588167977154</v>
      </c>
      <c r="K464">
        <v>410.71706909921301</v>
      </c>
      <c r="L464">
        <v>277.43206763308001</v>
      </c>
      <c r="M464">
        <v>5237.7396686600496</v>
      </c>
      <c r="N464">
        <v>561.14934073178199</v>
      </c>
      <c r="O464">
        <v>270.54568475353</v>
      </c>
      <c r="P464">
        <v>477.70746636216899</v>
      </c>
      <c r="Q464">
        <v>3436.49765796473</v>
      </c>
      <c r="R464">
        <v>303.08260581120697</v>
      </c>
      <c r="S464">
        <v>240.121653407845</v>
      </c>
      <c r="T464">
        <v>175.734104408641</v>
      </c>
      <c r="U464">
        <v>166.52108016790999</v>
      </c>
      <c r="V464">
        <v>170.37882732006801</v>
      </c>
      <c r="W464">
        <v>156.30592867227799</v>
      </c>
      <c r="X464">
        <v>166.635070522288</v>
      </c>
      <c r="Y464">
        <v>380.58307425799001</v>
      </c>
      <c r="Z464">
        <v>172.03970468806</v>
      </c>
      <c r="AA464">
        <v>322.44039709161598</v>
      </c>
      <c r="AB464">
        <v>313.45543345005001</v>
      </c>
      <c r="AC464">
        <v>485.49888886275897</v>
      </c>
      <c r="AD464">
        <v>258.42884181507702</v>
      </c>
      <c r="AE464">
        <v>482.10709959467903</v>
      </c>
      <c r="AF464">
        <v>382.43304296813699</v>
      </c>
      <c r="AG464">
        <v>312.58919725330799</v>
      </c>
    </row>
    <row r="465" spans="1:33" x14ac:dyDescent="0.25">
      <c r="A465" s="1">
        <v>44516</v>
      </c>
      <c r="B465">
        <v>4916.5203820629104</v>
      </c>
      <c r="C465">
        <v>2952.6990401399398</v>
      </c>
      <c r="D465">
        <v>3797.8533496712898</v>
      </c>
      <c r="E465">
        <v>5477.5641694118503</v>
      </c>
      <c r="F465">
        <v>7975.3528212993097</v>
      </c>
      <c r="G465">
        <v>7449.2025869365198</v>
      </c>
      <c r="H465">
        <v>20342.430438028401</v>
      </c>
      <c r="I465">
        <v>8956.2347293778093</v>
      </c>
      <c r="J465">
        <v>442.40868172554099</v>
      </c>
      <c r="K465">
        <v>410.06771879946598</v>
      </c>
      <c r="L465">
        <v>291.47027196187901</v>
      </c>
      <c r="M465">
        <v>6014.9200404600597</v>
      </c>
      <c r="N465">
        <v>681.95767415460398</v>
      </c>
      <c r="O465">
        <v>290.13114026901297</v>
      </c>
      <c r="P465">
        <v>519.14143783203099</v>
      </c>
      <c r="Q465">
        <v>4176.3844184003601</v>
      </c>
      <c r="R465">
        <v>322.37085228960501</v>
      </c>
      <c r="S465">
        <v>233.203718933922</v>
      </c>
      <c r="T465">
        <v>174.54862849521899</v>
      </c>
      <c r="U465">
        <v>165.485614940521</v>
      </c>
      <c r="V465">
        <v>165.68523482709901</v>
      </c>
      <c r="W465">
        <v>156.668296005641</v>
      </c>
      <c r="X465">
        <v>161.567586783395</v>
      </c>
      <c r="Y465">
        <v>363.83975700980301</v>
      </c>
      <c r="Z465">
        <v>173.76074457700301</v>
      </c>
      <c r="AA465">
        <v>313.20224702153001</v>
      </c>
      <c r="AB465">
        <v>308.03449127694199</v>
      </c>
      <c r="AC465">
        <v>477.24210976383898</v>
      </c>
      <c r="AD465">
        <v>269.88767114674903</v>
      </c>
      <c r="AE465">
        <v>490.49820356208897</v>
      </c>
      <c r="AF465">
        <v>386.30753721095903</v>
      </c>
      <c r="AG465">
        <v>304.793310730862</v>
      </c>
    </row>
    <row r="466" spans="1:33" x14ac:dyDescent="0.25">
      <c r="A466" s="1">
        <v>44517</v>
      </c>
      <c r="B466">
        <v>5255.7632971912499</v>
      </c>
      <c r="C466">
        <v>3040.5504355797302</v>
      </c>
      <c r="D466">
        <v>4180.9451930397199</v>
      </c>
      <c r="E466">
        <v>5903.5122330357699</v>
      </c>
      <c r="F466">
        <v>8698.1964908745504</v>
      </c>
      <c r="G466">
        <v>8239.8591614403504</v>
      </c>
      <c r="H466">
        <v>20850.776015723</v>
      </c>
      <c r="I466">
        <v>9533.4153994500994</v>
      </c>
      <c r="J466">
        <v>459.25838549106697</v>
      </c>
      <c r="K466">
        <v>412.06881735740501</v>
      </c>
      <c r="L466">
        <v>300.19295577973099</v>
      </c>
      <c r="M466">
        <v>6725.2770681326401</v>
      </c>
      <c r="N466">
        <v>883.568129681649</v>
      </c>
      <c r="O466">
        <v>300.14267791238302</v>
      </c>
      <c r="P466">
        <v>555.96559654248699</v>
      </c>
      <c r="Q466">
        <v>4837.4579920361302</v>
      </c>
      <c r="R466">
        <v>335.065056812725</v>
      </c>
      <c r="S466">
        <v>228.31933583031</v>
      </c>
      <c r="T466">
        <v>174.10971136874801</v>
      </c>
      <c r="U466">
        <v>169.12335859294299</v>
      </c>
      <c r="V466">
        <v>165.09634106100901</v>
      </c>
      <c r="W466">
        <v>145.56327839731699</v>
      </c>
      <c r="X466">
        <v>155.476312708043</v>
      </c>
      <c r="Y466">
        <v>358.02585899698602</v>
      </c>
      <c r="Z466">
        <v>174.621312648029</v>
      </c>
      <c r="AA466">
        <v>301.27462657729097</v>
      </c>
      <c r="AB466">
        <v>309.21628688366002</v>
      </c>
      <c r="AC466">
        <v>473.11847957161399</v>
      </c>
      <c r="AD466">
        <v>278.43475873997602</v>
      </c>
      <c r="AE466">
        <v>501.92867630229199</v>
      </c>
      <c r="AF466">
        <v>388.35083351943803</v>
      </c>
      <c r="AG466">
        <v>300.40159013719699</v>
      </c>
    </row>
    <row r="467" spans="1:33" x14ac:dyDescent="0.25">
      <c r="A467" s="1">
        <v>44518</v>
      </c>
      <c r="B467">
        <v>5608.72386347871</v>
      </c>
      <c r="C467">
        <v>3227.36262389793</v>
      </c>
      <c r="D467">
        <v>4595.4609720610097</v>
      </c>
      <c r="E467">
        <v>6429.2985515366499</v>
      </c>
      <c r="F467">
        <v>9297.7053822732996</v>
      </c>
      <c r="G467">
        <v>8967.1236685773692</v>
      </c>
      <c r="H467">
        <v>21768.128922713498</v>
      </c>
      <c r="I467">
        <v>10171.1512676004</v>
      </c>
      <c r="J467">
        <v>478.01277811140102</v>
      </c>
      <c r="K467">
        <v>416.32377714945699</v>
      </c>
      <c r="L467">
        <v>308.40492852248798</v>
      </c>
      <c r="M467">
        <v>7389.9934294937902</v>
      </c>
      <c r="N467">
        <v>1191.19884038848</v>
      </c>
      <c r="O467">
        <v>312.039248030181</v>
      </c>
      <c r="P467">
        <v>604.72045861783704</v>
      </c>
      <c r="Q467">
        <v>5553.7853263978895</v>
      </c>
      <c r="R467">
        <v>346.89210879460398</v>
      </c>
      <c r="S467">
        <v>223.30509533533001</v>
      </c>
      <c r="T467">
        <v>177.13670284559601</v>
      </c>
      <c r="U467">
        <v>169.201212144263</v>
      </c>
      <c r="V467">
        <v>175.26107227936501</v>
      </c>
      <c r="W467">
        <v>147.485298215667</v>
      </c>
      <c r="X467">
        <v>158.37007978747499</v>
      </c>
      <c r="Y467">
        <v>348.91414611394202</v>
      </c>
      <c r="Z467">
        <v>174.680296044633</v>
      </c>
      <c r="AA467">
        <v>292.769856836087</v>
      </c>
      <c r="AB467">
        <v>314.156823887109</v>
      </c>
      <c r="AC467">
        <v>472.522701832888</v>
      </c>
      <c r="AD467">
        <v>286.53455885786002</v>
      </c>
      <c r="AE467">
        <v>518.63920049439298</v>
      </c>
      <c r="AF467">
        <v>390.60131775683402</v>
      </c>
      <c r="AG467">
        <v>296.99477412767902</v>
      </c>
    </row>
    <row r="468" spans="1:33" x14ac:dyDescent="0.25">
      <c r="A468" s="1">
        <v>44519</v>
      </c>
      <c r="B468">
        <v>5996.85480200855</v>
      </c>
      <c r="C468">
        <v>3480.1614439291202</v>
      </c>
      <c r="D468">
        <v>4947.6354059171299</v>
      </c>
      <c r="E468">
        <v>6931.48645042522</v>
      </c>
      <c r="F468">
        <v>9907.4945994541995</v>
      </c>
      <c r="G468">
        <v>9418.9759161403708</v>
      </c>
      <c r="H468">
        <v>22203.688320494301</v>
      </c>
      <c r="I468">
        <v>10730.160392628401</v>
      </c>
      <c r="J468">
        <v>496.20811328239103</v>
      </c>
      <c r="K468">
        <v>418.16370098313399</v>
      </c>
      <c r="L468">
        <v>317.79164485293501</v>
      </c>
      <c r="M468">
        <v>7908.4236674725198</v>
      </c>
      <c r="N468">
        <v>1492.6477389343399</v>
      </c>
      <c r="O468">
        <v>318.89530552555601</v>
      </c>
      <c r="P468">
        <v>654.15095692603302</v>
      </c>
      <c r="Q468">
        <v>6161.8119072935397</v>
      </c>
      <c r="R468">
        <v>359.87809990238401</v>
      </c>
      <c r="S468">
        <v>219.02106700574799</v>
      </c>
      <c r="T468">
        <v>182.82099175527901</v>
      </c>
      <c r="U468">
        <v>159.30036402708799</v>
      </c>
      <c r="V468">
        <v>186.39744059169101</v>
      </c>
      <c r="W468">
        <v>160.84102655099201</v>
      </c>
      <c r="X468">
        <v>155.159611073012</v>
      </c>
      <c r="Y468">
        <v>341.87532101238202</v>
      </c>
      <c r="Z468">
        <v>174.11836044113801</v>
      </c>
      <c r="AA468">
        <v>287.556220710844</v>
      </c>
      <c r="AB468">
        <v>315.63843264340301</v>
      </c>
      <c r="AC468">
        <v>472.82764344227797</v>
      </c>
      <c r="AD468">
        <v>294.35114411777101</v>
      </c>
      <c r="AE468">
        <v>527.20934684503595</v>
      </c>
      <c r="AF468">
        <v>392.59170780267402</v>
      </c>
      <c r="AG468">
        <v>293.68989099557598</v>
      </c>
    </row>
    <row r="469" spans="1:33" x14ac:dyDescent="0.25">
      <c r="A469" s="1">
        <v>44520</v>
      </c>
      <c r="B469">
        <v>6303.4715454344796</v>
      </c>
      <c r="C469">
        <v>3915.83116451449</v>
      </c>
      <c r="D469">
        <v>5051.0202784753801</v>
      </c>
      <c r="E469">
        <v>7199.7398649443303</v>
      </c>
      <c r="F469">
        <v>10035.552703442099</v>
      </c>
      <c r="G469">
        <v>9121.8696716586401</v>
      </c>
      <c r="H469">
        <v>21345.764982133001</v>
      </c>
      <c r="I469">
        <v>11268.0753615389</v>
      </c>
      <c r="J469">
        <v>507.85874854405699</v>
      </c>
      <c r="K469">
        <v>417.07998029183199</v>
      </c>
      <c r="L469">
        <v>317.69767023956399</v>
      </c>
      <c r="M469">
        <v>7736.9633261911504</v>
      </c>
      <c r="N469">
        <v>1486.8738727402199</v>
      </c>
      <c r="O469">
        <v>305.27052072389898</v>
      </c>
      <c r="P469">
        <v>650.67974379139798</v>
      </c>
      <c r="Q469">
        <v>5971.2046340882398</v>
      </c>
      <c r="R469">
        <v>355.91274536462299</v>
      </c>
      <c r="S469">
        <v>218.00104585628301</v>
      </c>
      <c r="T469">
        <v>187.47921789428599</v>
      </c>
      <c r="U469">
        <v>161.76659988602501</v>
      </c>
      <c r="V469">
        <v>199.64116609786399</v>
      </c>
      <c r="W469">
        <v>161.96497559158701</v>
      </c>
      <c r="X469">
        <v>161.57060342523801</v>
      </c>
      <c r="Y469">
        <v>346.23802928313</v>
      </c>
      <c r="Z469">
        <v>171.89174131495</v>
      </c>
      <c r="AA469">
        <v>284.25233132702499</v>
      </c>
      <c r="AB469">
        <v>319.10691468049799</v>
      </c>
      <c r="AC469">
        <v>476.331275689574</v>
      </c>
      <c r="AD469">
        <v>292.00803684365502</v>
      </c>
      <c r="AE469">
        <v>539.57469658111404</v>
      </c>
      <c r="AF469">
        <v>392.612285267282</v>
      </c>
      <c r="AG469">
        <v>290.40868316762601</v>
      </c>
    </row>
    <row r="470" spans="1:33" x14ac:dyDescent="0.25">
      <c r="A470" s="1">
        <v>44521</v>
      </c>
      <c r="B470">
        <v>6555.8341918201704</v>
      </c>
      <c r="C470">
        <v>4367.4255219295101</v>
      </c>
      <c r="D470">
        <v>5247.0037289031097</v>
      </c>
      <c r="E470">
        <v>7432.4336102117704</v>
      </c>
      <c r="F470">
        <v>9872.2328746251806</v>
      </c>
      <c r="G470">
        <v>8978.7477748405399</v>
      </c>
      <c r="H470">
        <v>20722.237160006502</v>
      </c>
      <c r="I470">
        <v>11552.8645579803</v>
      </c>
      <c r="J470">
        <v>515.15907656589104</v>
      </c>
      <c r="K470">
        <v>425.27116296827302</v>
      </c>
      <c r="L470">
        <v>313.15746511012298</v>
      </c>
      <c r="M470">
        <v>7679.4714319971999</v>
      </c>
      <c r="N470">
        <v>1529.2957671674201</v>
      </c>
      <c r="O470">
        <v>290.47435252517698</v>
      </c>
      <c r="P470">
        <v>651.59669591249497</v>
      </c>
      <c r="Q470">
        <v>5738.7310148693396</v>
      </c>
      <c r="R470">
        <v>348.42297640415597</v>
      </c>
      <c r="S470">
        <v>216.566119106461</v>
      </c>
      <c r="T470">
        <v>190.014316825338</v>
      </c>
      <c r="U470">
        <v>163.04173844268001</v>
      </c>
      <c r="V470">
        <v>206.086810550992</v>
      </c>
      <c r="W470">
        <v>163.69132087333199</v>
      </c>
      <c r="X470">
        <v>169.075345453225</v>
      </c>
      <c r="Y470">
        <v>347.26154686979601</v>
      </c>
      <c r="Z470">
        <v>169.76750837083</v>
      </c>
      <c r="AA470">
        <v>281.949146788424</v>
      </c>
      <c r="AB470">
        <v>321.54038400951401</v>
      </c>
      <c r="AC470">
        <v>480.69660819436001</v>
      </c>
      <c r="AD470">
        <v>287.810814067053</v>
      </c>
      <c r="AE470">
        <v>542.96270611121201</v>
      </c>
      <c r="AF470">
        <v>392.41008976786202</v>
      </c>
      <c r="AG470">
        <v>287.65580481713198</v>
      </c>
    </row>
    <row r="471" spans="1:33" x14ac:dyDescent="0.25">
      <c r="A471" s="1">
        <v>44522</v>
      </c>
      <c r="B471">
        <v>6824.5383903375796</v>
      </c>
      <c r="C471">
        <v>4825.7961455790501</v>
      </c>
      <c r="D471">
        <v>5702.1948044433402</v>
      </c>
      <c r="E471">
        <v>7997.3855215333997</v>
      </c>
      <c r="F471">
        <v>9810.5552340272006</v>
      </c>
      <c r="G471">
        <v>9583.8492675415</v>
      </c>
      <c r="H471">
        <v>22141.396052896602</v>
      </c>
      <c r="I471">
        <v>11763.810416787001</v>
      </c>
      <c r="J471">
        <v>527.100684806088</v>
      </c>
      <c r="K471">
        <v>437.31881283029298</v>
      </c>
      <c r="L471">
        <v>317.27228072298601</v>
      </c>
      <c r="M471">
        <v>8289.5579072182099</v>
      </c>
      <c r="N471">
        <v>1799.16447409641</v>
      </c>
      <c r="O471">
        <v>297.27867886903499</v>
      </c>
      <c r="P471">
        <v>725.466251871753</v>
      </c>
      <c r="Q471">
        <v>6315.0211503834198</v>
      </c>
      <c r="R471">
        <v>357.810712023615</v>
      </c>
      <c r="S471">
        <v>213.83713772726901</v>
      </c>
      <c r="T471">
        <v>211.32191548572499</v>
      </c>
      <c r="U471">
        <v>162.77481208007899</v>
      </c>
      <c r="V471">
        <v>246.66914170199499</v>
      </c>
      <c r="W471">
        <v>163.18607922477801</v>
      </c>
      <c r="X471">
        <v>187.441503663384</v>
      </c>
      <c r="Y471">
        <v>348.43968868317103</v>
      </c>
      <c r="Z471">
        <v>167.016742148059</v>
      </c>
      <c r="AA471">
        <v>281.28578361646902</v>
      </c>
      <c r="AB471">
        <v>325.84204446221099</v>
      </c>
      <c r="AC471">
        <v>481.71488400716299</v>
      </c>
      <c r="AD471">
        <v>293.672657511419</v>
      </c>
      <c r="AE471">
        <v>557.84453120507101</v>
      </c>
      <c r="AF471">
        <v>393.65288254355102</v>
      </c>
      <c r="AG471">
        <v>285.23043460397798</v>
      </c>
    </row>
    <row r="472" spans="1:33" x14ac:dyDescent="0.25">
      <c r="A472" s="1">
        <v>44523</v>
      </c>
      <c r="B472">
        <v>7203.5648126361002</v>
      </c>
      <c r="C472">
        <v>5192.9384699082802</v>
      </c>
      <c r="D472">
        <v>6007.24281870306</v>
      </c>
      <c r="E472">
        <v>8395.0027287727007</v>
      </c>
      <c r="F472">
        <v>10331.3244510229</v>
      </c>
      <c r="G472">
        <v>10150.310043223</v>
      </c>
      <c r="H472">
        <v>23234.3087502913</v>
      </c>
      <c r="I472">
        <v>11973.376688398101</v>
      </c>
      <c r="J472">
        <v>547.06772443813702</v>
      </c>
      <c r="K472">
        <v>444.93720096719397</v>
      </c>
      <c r="L472">
        <v>324.099824745516</v>
      </c>
      <c r="M472">
        <v>8823.9990848027301</v>
      </c>
      <c r="N472">
        <v>1983.7335378811399</v>
      </c>
      <c r="O472">
        <v>316.80694225551099</v>
      </c>
      <c r="P472">
        <v>768.42409748251703</v>
      </c>
      <c r="Q472">
        <v>6758.2841097430601</v>
      </c>
      <c r="R472">
        <v>380.265994122753</v>
      </c>
      <c r="S472">
        <v>210.30833071247801</v>
      </c>
      <c r="T472">
        <v>227.261966451782</v>
      </c>
      <c r="U472">
        <v>162.78630870203801</v>
      </c>
      <c r="V472">
        <v>251.08008834533501</v>
      </c>
      <c r="W472">
        <v>174.80599839122499</v>
      </c>
      <c r="X472">
        <v>184.18160146886899</v>
      </c>
      <c r="Y472">
        <v>340.62786467310502</v>
      </c>
      <c r="Z472">
        <v>164.66289348935399</v>
      </c>
      <c r="AA472">
        <v>280.43748206657102</v>
      </c>
      <c r="AB472">
        <v>314.39012143600502</v>
      </c>
      <c r="AC472">
        <v>482.32293550861999</v>
      </c>
      <c r="AD472">
        <v>298.18278977990002</v>
      </c>
      <c r="AE472">
        <v>578.52327778168399</v>
      </c>
      <c r="AF472">
        <v>395.098040181199</v>
      </c>
      <c r="AG472">
        <v>282.87142943811801</v>
      </c>
    </row>
    <row r="473" spans="1:33" x14ac:dyDescent="0.25">
      <c r="A473" s="1">
        <v>44524</v>
      </c>
      <c r="B473">
        <v>7418.5958460829397</v>
      </c>
      <c r="C473">
        <v>5597.3042377582296</v>
      </c>
      <c r="D473">
        <v>5904.9529168716799</v>
      </c>
      <c r="E473">
        <v>8390.5779339663295</v>
      </c>
      <c r="F473">
        <v>10382.1228642193</v>
      </c>
      <c r="G473">
        <v>9551.4985884170292</v>
      </c>
      <c r="H473">
        <v>22480.278014760501</v>
      </c>
      <c r="I473">
        <v>12459.3697452258</v>
      </c>
      <c r="J473">
        <v>552.95997473729699</v>
      </c>
      <c r="K473">
        <v>447.791298047797</v>
      </c>
      <c r="L473">
        <v>323.73938311741199</v>
      </c>
      <c r="M473">
        <v>8225.8326386447698</v>
      </c>
      <c r="N473">
        <v>1681.4877909838499</v>
      </c>
      <c r="O473">
        <v>315.46468688526897</v>
      </c>
      <c r="P473">
        <v>781.02888330114797</v>
      </c>
      <c r="Q473">
        <v>6321.6868892057</v>
      </c>
      <c r="R473">
        <v>379.47241735461103</v>
      </c>
      <c r="S473">
        <v>207.183722787779</v>
      </c>
      <c r="T473">
        <v>215.107273751572</v>
      </c>
      <c r="U473">
        <v>162.298008101579</v>
      </c>
      <c r="V473">
        <v>189.57557006572199</v>
      </c>
      <c r="W473">
        <v>179.143517344072</v>
      </c>
      <c r="X473">
        <v>165.869186137854</v>
      </c>
      <c r="Y473">
        <v>348.372480757554</v>
      </c>
      <c r="Z473">
        <v>162.57762242051601</v>
      </c>
      <c r="AA473">
        <v>279.30575144858699</v>
      </c>
      <c r="AB473">
        <v>320.691897728828</v>
      </c>
      <c r="AC473">
        <v>486.352279023243</v>
      </c>
      <c r="AD473">
        <v>297.45888215575098</v>
      </c>
      <c r="AE473">
        <v>594.20268986322503</v>
      </c>
      <c r="AF473">
        <v>394.67497098474797</v>
      </c>
      <c r="AG473">
        <v>282.03171005848498</v>
      </c>
    </row>
    <row r="474" spans="1:33" x14ac:dyDescent="0.25">
      <c r="A474" s="1">
        <v>44525</v>
      </c>
      <c r="B474">
        <v>7593.0906319881196</v>
      </c>
      <c r="C474">
        <v>6004.1365363068498</v>
      </c>
      <c r="D474">
        <v>5804.3793702836701</v>
      </c>
      <c r="E474">
        <v>8304.77878861108</v>
      </c>
      <c r="F474">
        <v>9828.0440083612903</v>
      </c>
      <c r="G474">
        <v>9087.6456588099409</v>
      </c>
      <c r="H474">
        <v>21976.2450199179</v>
      </c>
      <c r="I474">
        <v>12565.6921760354</v>
      </c>
      <c r="J474">
        <v>555.40146765354802</v>
      </c>
      <c r="K474">
        <v>475.94753710339199</v>
      </c>
      <c r="L474">
        <v>322.34694831411798</v>
      </c>
      <c r="M474">
        <v>7770.3393683083104</v>
      </c>
      <c r="N474">
        <v>1435.1346894186599</v>
      </c>
      <c r="O474">
        <v>310.954669925487</v>
      </c>
      <c r="P474">
        <v>743.02696201532206</v>
      </c>
      <c r="Q474">
        <v>5689.2909506284705</v>
      </c>
      <c r="R474">
        <v>372.55800537769198</v>
      </c>
      <c r="S474">
        <v>208.51252228218701</v>
      </c>
      <c r="T474">
        <v>197.83230859081499</v>
      </c>
      <c r="U474">
        <v>162.653415296726</v>
      </c>
      <c r="V474">
        <v>182.15336089596701</v>
      </c>
      <c r="W474">
        <v>177.10737732153501</v>
      </c>
      <c r="X474">
        <v>174.07741074723299</v>
      </c>
      <c r="Y474">
        <v>364.832695408728</v>
      </c>
      <c r="Z474">
        <v>162.894248011961</v>
      </c>
      <c r="AA474">
        <v>279.24985656625603</v>
      </c>
      <c r="AB474">
        <v>338.61096692203398</v>
      </c>
      <c r="AC474">
        <v>491.27313532084901</v>
      </c>
      <c r="AD474">
        <v>297.40999886517801</v>
      </c>
      <c r="AE474">
        <v>585.39129670357204</v>
      </c>
      <c r="AF474">
        <v>394.50449426632701</v>
      </c>
      <c r="AG474">
        <v>282.24763124325301</v>
      </c>
    </row>
    <row r="475" spans="1:33" x14ac:dyDescent="0.25">
      <c r="A475" s="1">
        <v>44526</v>
      </c>
      <c r="B475">
        <v>7874.3860406760195</v>
      </c>
      <c r="C475">
        <v>6230.0092069656503</v>
      </c>
      <c r="D475">
        <v>6080.4708279367796</v>
      </c>
      <c r="E475">
        <v>8574.0199668450205</v>
      </c>
      <c r="F475">
        <v>9556.4238496318303</v>
      </c>
      <c r="G475">
        <v>9208.2007780333097</v>
      </c>
      <c r="H475">
        <v>22861.252740475698</v>
      </c>
      <c r="I475">
        <v>12457.0427146777</v>
      </c>
      <c r="J475">
        <v>562.88929437481795</v>
      </c>
      <c r="K475">
        <v>478.51919248302602</v>
      </c>
      <c r="L475">
        <v>326.89637244917299</v>
      </c>
      <c r="M475">
        <v>7854.9566515190199</v>
      </c>
      <c r="N475">
        <v>1415.7165940554</v>
      </c>
      <c r="O475">
        <v>317.21111805955502</v>
      </c>
      <c r="P475">
        <v>743.44466267630298</v>
      </c>
      <c r="Q475">
        <v>5740.0353994101397</v>
      </c>
      <c r="R475">
        <v>376.68421081726399</v>
      </c>
      <c r="S475">
        <v>206.681134369033</v>
      </c>
      <c r="T475">
        <v>199.089727281573</v>
      </c>
      <c r="U475">
        <v>169.91419495245799</v>
      </c>
      <c r="V475">
        <v>211.81515835644601</v>
      </c>
      <c r="W475">
        <v>186.419099015949</v>
      </c>
      <c r="X475">
        <v>181.138366989383</v>
      </c>
      <c r="Y475">
        <v>364.34685371342601</v>
      </c>
      <c r="Z475">
        <v>163.73593264583599</v>
      </c>
      <c r="AA475">
        <v>280.34553558967002</v>
      </c>
      <c r="AB475">
        <v>336.98291553920501</v>
      </c>
      <c r="AC475">
        <v>497.28187486623398</v>
      </c>
      <c r="AD475">
        <v>300.396745591149</v>
      </c>
      <c r="AE475">
        <v>589.90898781435601</v>
      </c>
      <c r="AF475">
        <v>395.05678720358998</v>
      </c>
      <c r="AG475">
        <v>282.45009215106398</v>
      </c>
    </row>
    <row r="476" spans="1:33" x14ac:dyDescent="0.25">
      <c r="A476" s="1">
        <v>44527</v>
      </c>
      <c r="B476">
        <v>8271.2780209082302</v>
      </c>
      <c r="C476">
        <v>6191.65324456697</v>
      </c>
      <c r="D476">
        <v>6385.1837632676898</v>
      </c>
      <c r="E476">
        <v>8765.6202035147307</v>
      </c>
      <c r="F476">
        <v>10045.6838531923</v>
      </c>
      <c r="G476">
        <v>9720.3111370452607</v>
      </c>
      <c r="H476">
        <v>23345.131435597101</v>
      </c>
      <c r="I476">
        <v>12446.721047872299</v>
      </c>
      <c r="J476">
        <v>571.72195055129203</v>
      </c>
      <c r="K476">
        <v>489.91569446720399</v>
      </c>
      <c r="L476">
        <v>327.92149589126302</v>
      </c>
      <c r="M476">
        <v>8032.2765209140398</v>
      </c>
      <c r="N476">
        <v>1453.3055738722201</v>
      </c>
      <c r="O476">
        <v>314.30816293049497</v>
      </c>
      <c r="P476">
        <v>750.96484224510903</v>
      </c>
      <c r="Q476">
        <v>6102.0816351736903</v>
      </c>
      <c r="R476">
        <v>378.23852675007402</v>
      </c>
      <c r="S476">
        <v>203.35914249291801</v>
      </c>
      <c r="T476">
        <v>202.129773239103</v>
      </c>
      <c r="U476">
        <v>185.26000010059599</v>
      </c>
      <c r="V476">
        <v>226.354227056252</v>
      </c>
      <c r="W476">
        <v>180.52180038877501</v>
      </c>
      <c r="X476">
        <v>190.38617426272501</v>
      </c>
      <c r="Y476">
        <v>362.93827084427198</v>
      </c>
      <c r="Z476">
        <v>164.91700380228701</v>
      </c>
      <c r="AA476">
        <v>281.808181115482</v>
      </c>
      <c r="AB476">
        <v>333.60333371566702</v>
      </c>
      <c r="AC476">
        <v>504.03149250218098</v>
      </c>
      <c r="AD476">
        <v>299.43513400519902</v>
      </c>
      <c r="AE476">
        <v>588.67494592125195</v>
      </c>
      <c r="AF476">
        <v>395.73823850776802</v>
      </c>
      <c r="AG476">
        <v>282.910477618757</v>
      </c>
    </row>
    <row r="477" spans="1:33" x14ac:dyDescent="0.25">
      <c r="A477" s="1">
        <v>44528</v>
      </c>
      <c r="B477">
        <v>8547.0175034491695</v>
      </c>
      <c r="C477">
        <v>6077.7431005079497</v>
      </c>
      <c r="D477">
        <v>6394.3056054164799</v>
      </c>
      <c r="E477">
        <v>8727.8600083427591</v>
      </c>
      <c r="F477">
        <v>10316.349589125701</v>
      </c>
      <c r="G477">
        <v>9587.4368842093809</v>
      </c>
      <c r="H477">
        <v>22599.631895868701</v>
      </c>
      <c r="I477">
        <v>12537.6430484795</v>
      </c>
      <c r="J477">
        <v>571.89384244387497</v>
      </c>
      <c r="K477">
        <v>495.75773736066998</v>
      </c>
      <c r="L477">
        <v>322.41293582995502</v>
      </c>
      <c r="M477">
        <v>7921.8421200089297</v>
      </c>
      <c r="N477">
        <v>1345.5097508321901</v>
      </c>
      <c r="O477">
        <v>293.82323003901598</v>
      </c>
      <c r="P477">
        <v>723.12495840533995</v>
      </c>
      <c r="Q477">
        <v>5941.44619001721</v>
      </c>
      <c r="R477">
        <v>364.97602836928098</v>
      </c>
      <c r="S477">
        <v>201.96602704734499</v>
      </c>
      <c r="T477">
        <v>200.49379313092601</v>
      </c>
      <c r="U477">
        <v>181.86273222103</v>
      </c>
      <c r="V477">
        <v>218.18332000480501</v>
      </c>
      <c r="W477">
        <v>187.05044028662201</v>
      </c>
      <c r="X477">
        <v>189.25385801390101</v>
      </c>
      <c r="Y477">
        <v>375.49400043062701</v>
      </c>
      <c r="Z477">
        <v>165.91887819566401</v>
      </c>
      <c r="AA477">
        <v>281.838201334053</v>
      </c>
      <c r="AB477">
        <v>334.03390679148202</v>
      </c>
      <c r="AC477">
        <v>516.42688655131496</v>
      </c>
      <c r="AD477">
        <v>294.654907972996</v>
      </c>
      <c r="AE477">
        <v>600.30971001011903</v>
      </c>
      <c r="AF477">
        <v>396.69317480933699</v>
      </c>
      <c r="AG477">
        <v>283.48021008984199</v>
      </c>
    </row>
    <row r="478" spans="1:33" x14ac:dyDescent="0.25">
      <c r="A478" s="1">
        <v>44529</v>
      </c>
      <c r="B478">
        <v>8860.9235756128601</v>
      </c>
      <c r="C478">
        <v>6026.1565848273603</v>
      </c>
      <c r="D478">
        <v>6639.0216396788201</v>
      </c>
      <c r="E478">
        <v>8976.0654723691496</v>
      </c>
      <c r="F478">
        <v>10622.354206350899</v>
      </c>
      <c r="G478">
        <v>10111.605655623</v>
      </c>
      <c r="H478">
        <v>23261.549511015801</v>
      </c>
      <c r="I478">
        <v>12705.371022175301</v>
      </c>
      <c r="J478">
        <v>581.20742417823203</v>
      </c>
      <c r="K478">
        <v>499.28897929128198</v>
      </c>
      <c r="L478">
        <v>321.83598093401201</v>
      </c>
      <c r="M478">
        <v>8321.0522451446595</v>
      </c>
      <c r="N478">
        <v>1498.2093728856801</v>
      </c>
      <c r="O478">
        <v>296.49662541204299</v>
      </c>
      <c r="P478">
        <v>726.65496600136703</v>
      </c>
      <c r="Q478">
        <v>6218.7223886273796</v>
      </c>
      <c r="R478">
        <v>363.923216493513</v>
      </c>
      <c r="S478">
        <v>200.220061947516</v>
      </c>
      <c r="T478">
        <v>205.32243692426701</v>
      </c>
      <c r="U478">
        <v>188.463885880124</v>
      </c>
      <c r="V478">
        <v>232.95447399846401</v>
      </c>
      <c r="W478">
        <v>187.67029404788499</v>
      </c>
      <c r="X478">
        <v>197.10141178881301</v>
      </c>
      <c r="Y478">
        <v>374.527034464194</v>
      </c>
      <c r="Z478">
        <v>166.91841204455099</v>
      </c>
      <c r="AA478">
        <v>282.46624939266599</v>
      </c>
      <c r="AB478">
        <v>330.40024299050401</v>
      </c>
      <c r="AC478">
        <v>525.60444061405803</v>
      </c>
      <c r="AD478">
        <v>294.64877898854502</v>
      </c>
      <c r="AE478">
        <v>607.84180155181002</v>
      </c>
      <c r="AF478">
        <v>397.79604369834101</v>
      </c>
      <c r="AG478">
        <v>283.27079462197702</v>
      </c>
    </row>
    <row r="479" spans="1:33" x14ac:dyDescent="0.25">
      <c r="A479" s="1">
        <v>44530</v>
      </c>
      <c r="B479">
        <v>9108.8490719311994</v>
      </c>
      <c r="C479">
        <v>6510.2373240632896</v>
      </c>
      <c r="D479">
        <v>6188.0044630499397</v>
      </c>
      <c r="E479">
        <v>9174.8764655768191</v>
      </c>
      <c r="F479">
        <v>11286.2362746327</v>
      </c>
      <c r="G479">
        <v>10869.155242015901</v>
      </c>
      <c r="H479">
        <v>23617.500347190999</v>
      </c>
      <c r="I479">
        <v>12993.859517967399</v>
      </c>
      <c r="J479">
        <v>597.61478453315499</v>
      </c>
      <c r="K479">
        <v>501.04922058840299</v>
      </c>
      <c r="L479">
        <v>326.83770865982598</v>
      </c>
      <c r="M479">
        <v>9027.6300493645904</v>
      </c>
      <c r="N479">
        <v>1837.5136707152301</v>
      </c>
      <c r="O479">
        <v>312.28081461189601</v>
      </c>
      <c r="P479">
        <v>763.99620992722998</v>
      </c>
      <c r="Q479">
        <v>6811.0595270377098</v>
      </c>
      <c r="R479">
        <v>376.375468785225</v>
      </c>
      <c r="S479">
        <v>198.034520645111</v>
      </c>
      <c r="T479">
        <v>217.902017281529</v>
      </c>
      <c r="U479">
        <v>185.49552960825599</v>
      </c>
      <c r="V479">
        <v>247.83457347422001</v>
      </c>
      <c r="W479">
        <v>178.31913320542901</v>
      </c>
      <c r="X479">
        <v>200.623031065313</v>
      </c>
      <c r="Y479">
        <v>365.24927900644201</v>
      </c>
      <c r="Z479">
        <v>166.587341989067</v>
      </c>
      <c r="AA479">
        <v>283.61372561179599</v>
      </c>
      <c r="AB479">
        <v>323.02515052155502</v>
      </c>
      <c r="AC479">
        <v>531.53428870109803</v>
      </c>
      <c r="AD479">
        <v>299.04952234564303</v>
      </c>
      <c r="AE479">
        <v>614.42960620296606</v>
      </c>
      <c r="AF479">
        <v>398.91966897221602</v>
      </c>
      <c r="AG479">
        <v>283.04403726653499</v>
      </c>
    </row>
    <row r="480" spans="1:33" x14ac:dyDescent="0.25">
      <c r="A480" s="1">
        <v>44531</v>
      </c>
      <c r="B480">
        <v>8992.8102825570095</v>
      </c>
      <c r="C480">
        <v>6595.1721332003399</v>
      </c>
      <c r="D480">
        <v>5884.0932509074901</v>
      </c>
      <c r="E480">
        <v>9127.8751508906698</v>
      </c>
      <c r="F480">
        <v>11935.275392445301</v>
      </c>
      <c r="G480">
        <v>11449.712805074199</v>
      </c>
      <c r="H480">
        <v>23672.370319655201</v>
      </c>
      <c r="I480">
        <v>13480.3399225662</v>
      </c>
      <c r="J480">
        <v>620.53200484018498</v>
      </c>
      <c r="K480">
        <v>512.27824855696099</v>
      </c>
      <c r="L480">
        <v>334.86881442872499</v>
      </c>
      <c r="M480">
        <v>9609.7325550034602</v>
      </c>
      <c r="N480">
        <v>2102.8011541024998</v>
      </c>
      <c r="O480">
        <v>341.36802036336599</v>
      </c>
      <c r="P480">
        <v>816.61726441694998</v>
      </c>
      <c r="Q480">
        <v>7466.23591156978</v>
      </c>
      <c r="R480">
        <v>396.33996029923799</v>
      </c>
      <c r="S480">
        <v>196.418200858592</v>
      </c>
      <c r="T480">
        <v>230.42128855403899</v>
      </c>
      <c r="U480">
        <v>182.66936288925001</v>
      </c>
      <c r="V480">
        <v>255.62057408572301</v>
      </c>
      <c r="W480">
        <v>175.81362037558799</v>
      </c>
      <c r="X480">
        <v>199.150369802021</v>
      </c>
      <c r="Y480">
        <v>367.35598279326501</v>
      </c>
      <c r="Z480">
        <v>167.005755794408</v>
      </c>
      <c r="AA480">
        <v>284.343461558841</v>
      </c>
      <c r="AB480">
        <v>318.16507184452001</v>
      </c>
      <c r="AC480">
        <v>536.64212075677597</v>
      </c>
      <c r="AD480">
        <v>306.17291600410698</v>
      </c>
      <c r="AE480">
        <v>594.128631063375</v>
      </c>
      <c r="AF480">
        <v>400.24763271150903</v>
      </c>
      <c r="AG480">
        <v>283.63386584842601</v>
      </c>
    </row>
    <row r="481" spans="1:33" x14ac:dyDescent="0.25">
      <c r="A481" s="1">
        <v>44532</v>
      </c>
      <c r="B481">
        <v>8771.8011117138503</v>
      </c>
      <c r="C481">
        <v>6840.4262337658702</v>
      </c>
      <c r="D481">
        <v>6102.0910811117101</v>
      </c>
      <c r="E481">
        <v>9027.6196518090892</v>
      </c>
      <c r="F481">
        <v>12669.940713293099</v>
      </c>
      <c r="G481">
        <v>12795.447252776199</v>
      </c>
      <c r="H481">
        <v>24783.492924481299</v>
      </c>
      <c r="I481">
        <v>14116.250943323899</v>
      </c>
      <c r="J481">
        <v>660.04555976322104</v>
      </c>
      <c r="K481">
        <v>520.80041813611695</v>
      </c>
      <c r="L481">
        <v>356.91133245101997</v>
      </c>
      <c r="M481">
        <v>10796.949868857</v>
      </c>
      <c r="N481">
        <v>2774.6650910725498</v>
      </c>
      <c r="O481">
        <v>382.79109263819498</v>
      </c>
      <c r="P481">
        <v>971.29581114564598</v>
      </c>
      <c r="Q481">
        <v>8804.1640959588894</v>
      </c>
      <c r="R481">
        <v>439.37448391336898</v>
      </c>
      <c r="S481">
        <v>194.65397231418601</v>
      </c>
      <c r="T481">
        <v>277.575156291263</v>
      </c>
      <c r="U481">
        <v>182.86395698617201</v>
      </c>
      <c r="V481">
        <v>311.05878635516899</v>
      </c>
      <c r="W481">
        <v>175.661657564742</v>
      </c>
      <c r="X481">
        <v>218.276433909643</v>
      </c>
      <c r="Y481">
        <v>359.38602367417201</v>
      </c>
      <c r="Z481">
        <v>170.38772992422</v>
      </c>
      <c r="AA481">
        <v>285.85067539001199</v>
      </c>
      <c r="AB481">
        <v>317.89838235274101</v>
      </c>
      <c r="AC481">
        <v>538.295758811621</v>
      </c>
      <c r="AD481">
        <v>327.47704280532599</v>
      </c>
      <c r="AE481">
        <v>562.69321696162103</v>
      </c>
      <c r="AF481">
        <v>401.27934449176098</v>
      </c>
      <c r="AG481">
        <v>284.72413711795298</v>
      </c>
    </row>
    <row r="482" spans="1:33" x14ac:dyDescent="0.25">
      <c r="A482" s="1">
        <v>44533</v>
      </c>
      <c r="B482">
        <v>8477.4296193170994</v>
      </c>
      <c r="C482">
        <v>7731.0422070503701</v>
      </c>
      <c r="D482">
        <v>6367.1866558555703</v>
      </c>
      <c r="E482">
        <v>9047.6066239635693</v>
      </c>
      <c r="F482">
        <v>13845.197702236899</v>
      </c>
      <c r="G482">
        <v>14067.7376348137</v>
      </c>
      <c r="H482">
        <v>26324.415602070101</v>
      </c>
      <c r="I482">
        <v>14703.7955578484</v>
      </c>
      <c r="J482">
        <v>730.18526269898405</v>
      </c>
      <c r="K482">
        <v>524.52277022138003</v>
      </c>
      <c r="L482">
        <v>392.52702475203898</v>
      </c>
      <c r="M482">
        <v>12095.8465351136</v>
      </c>
      <c r="N482">
        <v>3709.88759384368</v>
      </c>
      <c r="O482">
        <v>434.53086466408303</v>
      </c>
      <c r="P482">
        <v>1202.4084645006701</v>
      </c>
      <c r="Q482">
        <v>10176.7218581201</v>
      </c>
      <c r="R482">
        <v>499.84885015925801</v>
      </c>
      <c r="S482">
        <v>193.748372379454</v>
      </c>
      <c r="T482">
        <v>390.65975161878703</v>
      </c>
      <c r="U482">
        <v>182.94554613775699</v>
      </c>
      <c r="V482">
        <v>411.12544162525199</v>
      </c>
      <c r="W482">
        <v>176.36013280887801</v>
      </c>
      <c r="X482">
        <v>260.89274122050199</v>
      </c>
      <c r="Y482">
        <v>354.292086744355</v>
      </c>
      <c r="Z482">
        <v>175.386199276306</v>
      </c>
      <c r="AA482">
        <v>286.50509695078</v>
      </c>
      <c r="AB482">
        <v>321.23941440572798</v>
      </c>
      <c r="AC482">
        <v>538.19543450404399</v>
      </c>
      <c r="AD482">
        <v>358.93678580068899</v>
      </c>
      <c r="AE482">
        <v>556.44636331902598</v>
      </c>
      <c r="AF482">
        <v>402.01140308450499</v>
      </c>
      <c r="AG482">
        <v>286.67104408292801</v>
      </c>
    </row>
    <row r="483" spans="1:33" x14ac:dyDescent="0.25">
      <c r="A483" s="1">
        <v>44534</v>
      </c>
      <c r="B483">
        <v>8321.7489454144197</v>
      </c>
      <c r="C483">
        <v>9035.3923130654402</v>
      </c>
      <c r="D483">
        <v>6656.0462638721801</v>
      </c>
      <c r="E483">
        <v>9066.6888475551805</v>
      </c>
      <c r="F483">
        <v>14398.226419975501</v>
      </c>
      <c r="G483">
        <v>13926.195281800499</v>
      </c>
      <c r="H483">
        <v>25889.192038087302</v>
      </c>
      <c r="I483">
        <v>15507.138735549001</v>
      </c>
      <c r="J483">
        <v>780.60739475685898</v>
      </c>
      <c r="K483">
        <v>536.61064144948398</v>
      </c>
      <c r="L483">
        <v>412.37383293563198</v>
      </c>
      <c r="M483">
        <v>12207.952539951501</v>
      </c>
      <c r="N483">
        <v>3943.0676786006702</v>
      </c>
      <c r="O483">
        <v>455.30609849190103</v>
      </c>
      <c r="P483">
        <v>1297.9167655341901</v>
      </c>
      <c r="Q483">
        <v>10357.2205371706</v>
      </c>
      <c r="R483">
        <v>524.26860862556396</v>
      </c>
      <c r="S483">
        <v>194.12575516121899</v>
      </c>
      <c r="T483">
        <v>425.001289291658</v>
      </c>
      <c r="U483">
        <v>183.09806775068699</v>
      </c>
      <c r="V483">
        <v>415.62778520101602</v>
      </c>
      <c r="W483">
        <v>167.73592214601101</v>
      </c>
      <c r="X483">
        <v>251.98532614561699</v>
      </c>
      <c r="Y483">
        <v>358.42368521419598</v>
      </c>
      <c r="Z483">
        <v>180.410467192558</v>
      </c>
      <c r="AA483">
        <v>285.63624142272698</v>
      </c>
      <c r="AB483">
        <v>322.51211152434797</v>
      </c>
      <c r="AC483">
        <v>543.24536450919095</v>
      </c>
      <c r="AD483">
        <v>373.87065043495699</v>
      </c>
      <c r="AE483">
        <v>551.63864392036703</v>
      </c>
      <c r="AF483">
        <v>403.35452912977098</v>
      </c>
      <c r="AG483">
        <v>289.10649178069099</v>
      </c>
    </row>
    <row r="484" spans="1:33" x14ac:dyDescent="0.25">
      <c r="A484" s="1">
        <v>44535</v>
      </c>
      <c r="B484">
        <v>8162.1849273007701</v>
      </c>
      <c r="C484">
        <v>8924.5387370165208</v>
      </c>
      <c r="D484">
        <v>7083.4507484282103</v>
      </c>
      <c r="E484">
        <v>9069.7198664639</v>
      </c>
      <c r="F484">
        <v>13828.3400728618</v>
      </c>
      <c r="G484">
        <v>13068.675262659801</v>
      </c>
      <c r="H484">
        <v>24642.8933544151</v>
      </c>
      <c r="I484">
        <v>16072.2708018175</v>
      </c>
      <c r="J484">
        <v>805.84059786601699</v>
      </c>
      <c r="K484">
        <v>576.960485862307</v>
      </c>
      <c r="L484">
        <v>411.457905576987</v>
      </c>
      <c r="M484">
        <v>11468.0454132005</v>
      </c>
      <c r="N484">
        <v>3513.7865200525398</v>
      </c>
      <c r="O484">
        <v>440.018917187726</v>
      </c>
      <c r="P484">
        <v>1273.9372037944499</v>
      </c>
      <c r="Q484">
        <v>9570.7564177084296</v>
      </c>
      <c r="R484">
        <v>514.60493430618396</v>
      </c>
      <c r="S484">
        <v>195.10737492329901</v>
      </c>
      <c r="T484">
        <v>389.147770132723</v>
      </c>
      <c r="U484">
        <v>183.08623469636601</v>
      </c>
      <c r="V484">
        <v>382.19407261242401</v>
      </c>
      <c r="W484">
        <v>169.87163450564501</v>
      </c>
      <c r="X484">
        <v>241.72032996975699</v>
      </c>
      <c r="Y484">
        <v>388.82023582026602</v>
      </c>
      <c r="Z484">
        <v>184.44478886622801</v>
      </c>
      <c r="AA484">
        <v>286.13581881334801</v>
      </c>
      <c r="AB484">
        <v>339.96888409439401</v>
      </c>
      <c r="AC484">
        <v>548.39836055409296</v>
      </c>
      <c r="AD484">
        <v>372.85524039485199</v>
      </c>
      <c r="AE484">
        <v>560.98762383228404</v>
      </c>
      <c r="AF484">
        <v>406.710413431635</v>
      </c>
      <c r="AG484">
        <v>292.23957006236299</v>
      </c>
    </row>
    <row r="485" spans="1:33" x14ac:dyDescent="0.25">
      <c r="A485" s="1">
        <v>44536</v>
      </c>
      <c r="B485">
        <v>8227.4355544881801</v>
      </c>
      <c r="C485">
        <v>8160.4379423024202</v>
      </c>
      <c r="D485">
        <v>7619.5637702715903</v>
      </c>
      <c r="E485">
        <v>9342.2290632858003</v>
      </c>
      <c r="F485">
        <v>13311.8413940625</v>
      </c>
      <c r="G485">
        <v>12707.9329318374</v>
      </c>
      <c r="H485">
        <v>24281.8010087189</v>
      </c>
      <c r="I485">
        <v>16086.485981137501</v>
      </c>
      <c r="J485">
        <v>829.01969535718399</v>
      </c>
      <c r="K485">
        <v>612.46869638083194</v>
      </c>
      <c r="L485">
        <v>418.98167647221197</v>
      </c>
      <c r="M485">
        <v>11175.8952296192</v>
      </c>
      <c r="N485">
        <v>3319.1066378291298</v>
      </c>
      <c r="O485">
        <v>440.22360776813298</v>
      </c>
      <c r="P485">
        <v>1294.2484978098801</v>
      </c>
      <c r="Q485">
        <v>9174.9411139875101</v>
      </c>
      <c r="R485">
        <v>520.01580584687201</v>
      </c>
      <c r="S485">
        <v>196.07673319242301</v>
      </c>
      <c r="T485">
        <v>382.77052583634298</v>
      </c>
      <c r="U485">
        <v>180.13735054083901</v>
      </c>
      <c r="V485">
        <v>375.40297494996298</v>
      </c>
      <c r="W485">
        <v>176.41190325475199</v>
      </c>
      <c r="X485">
        <v>231.469044351359</v>
      </c>
      <c r="Y485">
        <v>403.32291699285702</v>
      </c>
      <c r="Z485">
        <v>187.38377133137399</v>
      </c>
      <c r="AA485">
        <v>287.72722549066702</v>
      </c>
      <c r="AB485">
        <v>352.72779213760901</v>
      </c>
      <c r="AC485">
        <v>544.86336944743596</v>
      </c>
      <c r="AD485">
        <v>380.17676961414099</v>
      </c>
      <c r="AE485">
        <v>577.20421122820096</v>
      </c>
      <c r="AF485">
        <v>409.769559266295</v>
      </c>
      <c r="AG485">
        <v>295.78510468154798</v>
      </c>
    </row>
    <row r="486" spans="1:33" x14ac:dyDescent="0.25">
      <c r="A486" s="1">
        <v>44537</v>
      </c>
      <c r="B486">
        <v>8457.1937874899395</v>
      </c>
      <c r="C486">
        <v>8000.4061330337099</v>
      </c>
      <c r="D486">
        <v>8002.50534984979</v>
      </c>
      <c r="E486">
        <v>9721.1587236998002</v>
      </c>
      <c r="F486">
        <v>13389.0478815325</v>
      </c>
      <c r="G486">
        <v>12956.531370381201</v>
      </c>
      <c r="H486">
        <v>24645.991164103001</v>
      </c>
      <c r="I486">
        <v>16087.1676307369</v>
      </c>
      <c r="J486">
        <v>861.00190182505401</v>
      </c>
      <c r="K486">
        <v>628.466817492058</v>
      </c>
      <c r="L486">
        <v>438.82957751753798</v>
      </c>
      <c r="M486">
        <v>11412.8597726564</v>
      </c>
      <c r="N486">
        <v>3395.5050384210599</v>
      </c>
      <c r="O486">
        <v>461.12293873393998</v>
      </c>
      <c r="P486">
        <v>1368.8110038488001</v>
      </c>
      <c r="Q486">
        <v>9338.0146556313503</v>
      </c>
      <c r="R486">
        <v>548.53998510197698</v>
      </c>
      <c r="S486">
        <v>196.41240427355501</v>
      </c>
      <c r="T486">
        <v>395.51996574748</v>
      </c>
      <c r="U486">
        <v>179.66851795145701</v>
      </c>
      <c r="V486">
        <v>384.19251973518197</v>
      </c>
      <c r="W486">
        <v>172.50103415981101</v>
      </c>
      <c r="X486">
        <v>224.036757533247</v>
      </c>
      <c r="Y486">
        <v>395.99847262998702</v>
      </c>
      <c r="Z486">
        <v>189.985941489954</v>
      </c>
      <c r="AA486">
        <v>289.48489806162002</v>
      </c>
      <c r="AB486">
        <v>354.72345107146498</v>
      </c>
      <c r="AC486">
        <v>537.58062404279701</v>
      </c>
      <c r="AD486">
        <v>394.99603864542797</v>
      </c>
      <c r="AE486">
        <v>581.40000903196903</v>
      </c>
      <c r="AF486">
        <v>411.72620420822301</v>
      </c>
      <c r="AG486">
        <v>298.72981030599601</v>
      </c>
    </row>
    <row r="487" spans="1:33" x14ac:dyDescent="0.25">
      <c r="A487" s="1">
        <v>44538</v>
      </c>
      <c r="B487">
        <v>8735.4365360959091</v>
      </c>
      <c r="C487">
        <v>8218.4527141434901</v>
      </c>
      <c r="D487">
        <v>8121.3067381167102</v>
      </c>
      <c r="E487">
        <v>9929.8457975258007</v>
      </c>
      <c r="F487">
        <v>13513.215779651</v>
      </c>
      <c r="G487">
        <v>13049.576822585201</v>
      </c>
      <c r="H487">
        <v>25109.951974281099</v>
      </c>
      <c r="I487">
        <v>16162.604544423401</v>
      </c>
      <c r="J487">
        <v>891.65074492951203</v>
      </c>
      <c r="K487">
        <v>653.38141165985496</v>
      </c>
      <c r="L487">
        <v>454.40270909650599</v>
      </c>
      <c r="M487">
        <v>11508.494591697399</v>
      </c>
      <c r="N487">
        <v>3381.0222673421299</v>
      </c>
      <c r="O487">
        <v>475.82434888285098</v>
      </c>
      <c r="P487">
        <v>1401.1039209605401</v>
      </c>
      <c r="Q487">
        <v>9336.5234084033491</v>
      </c>
      <c r="R487">
        <v>571.90694657421295</v>
      </c>
      <c r="S487">
        <v>197.67606153637701</v>
      </c>
      <c r="T487">
        <v>385.354878057218</v>
      </c>
      <c r="U487">
        <v>177.267325813117</v>
      </c>
      <c r="V487">
        <v>363.98987220936402</v>
      </c>
      <c r="W487">
        <v>166.025615937906</v>
      </c>
      <c r="X487">
        <v>206.20763176380899</v>
      </c>
      <c r="Y487">
        <v>399.00582139706</v>
      </c>
      <c r="Z487">
        <v>190.76640522103401</v>
      </c>
      <c r="AA487">
        <v>291.02921767016102</v>
      </c>
      <c r="AB487">
        <v>355.869064780494</v>
      </c>
      <c r="AC487">
        <v>529.88432676530795</v>
      </c>
      <c r="AD487">
        <v>404.50553454894703</v>
      </c>
      <c r="AE487">
        <v>575.25418294398696</v>
      </c>
      <c r="AF487">
        <v>414.020957167988</v>
      </c>
      <c r="AG487">
        <v>302.02198681390303</v>
      </c>
    </row>
    <row r="488" spans="1:33" x14ac:dyDescent="0.25">
      <c r="A488" s="1">
        <v>44539</v>
      </c>
      <c r="B488">
        <v>8962.6114704633401</v>
      </c>
      <c r="C488">
        <v>8435.7009540004201</v>
      </c>
      <c r="D488">
        <v>7996.8409528676202</v>
      </c>
      <c r="E488">
        <v>9663.4158730184408</v>
      </c>
      <c r="F488">
        <v>13540.341297093501</v>
      </c>
      <c r="G488">
        <v>12677.8266451619</v>
      </c>
      <c r="H488">
        <v>24741.304276889001</v>
      </c>
      <c r="I488">
        <v>16167.4226135559</v>
      </c>
      <c r="J488">
        <v>905.84725890657103</v>
      </c>
      <c r="K488">
        <v>660.42930645550803</v>
      </c>
      <c r="L488">
        <v>453.94518657895799</v>
      </c>
      <c r="M488">
        <v>10923.459760715299</v>
      </c>
      <c r="N488">
        <v>2929.4451327844399</v>
      </c>
      <c r="O488">
        <v>478.85562037929498</v>
      </c>
      <c r="P488">
        <v>1311.7772955363901</v>
      </c>
      <c r="Q488">
        <v>8812.6587131892902</v>
      </c>
      <c r="R488">
        <v>573.56566577660897</v>
      </c>
      <c r="S488">
        <v>198.73663267414599</v>
      </c>
      <c r="T488">
        <v>330.39769289933798</v>
      </c>
      <c r="U488">
        <v>178.78781282236</v>
      </c>
      <c r="V488">
        <v>267.34028471997999</v>
      </c>
      <c r="W488">
        <v>159.00190207309299</v>
      </c>
      <c r="X488">
        <v>180.565404470121</v>
      </c>
      <c r="Y488">
        <v>404.03970543558302</v>
      </c>
      <c r="Z488">
        <v>189.65178714896001</v>
      </c>
      <c r="AA488">
        <v>292.25373352864801</v>
      </c>
      <c r="AB488">
        <v>361.18226426861901</v>
      </c>
      <c r="AC488">
        <v>523.45425257956401</v>
      </c>
      <c r="AD488">
        <v>400.92027077419402</v>
      </c>
      <c r="AE488">
        <v>566.92144460273801</v>
      </c>
      <c r="AF488">
        <v>417.42175300254303</v>
      </c>
      <c r="AG488">
        <v>306.55697039685299</v>
      </c>
    </row>
    <row r="489" spans="1:33" x14ac:dyDescent="0.25">
      <c r="A489" s="1">
        <v>44540</v>
      </c>
      <c r="B489">
        <v>9047.1035052945408</v>
      </c>
      <c r="C489">
        <v>8546.0161723749807</v>
      </c>
      <c r="D489">
        <v>7946.8703870966501</v>
      </c>
      <c r="E489">
        <v>9414.1645827349203</v>
      </c>
      <c r="F489">
        <v>12494.5297707349</v>
      </c>
      <c r="G489">
        <v>11130.270047370001</v>
      </c>
      <c r="H489">
        <v>22500.385853461299</v>
      </c>
      <c r="I489">
        <v>15967.705679005599</v>
      </c>
      <c r="J489">
        <v>868.91397890785197</v>
      </c>
      <c r="K489">
        <v>663.02000910410595</v>
      </c>
      <c r="L489">
        <v>427.57221830762097</v>
      </c>
      <c r="M489">
        <v>9450.0280975874393</v>
      </c>
      <c r="N489">
        <v>2077.8210384496801</v>
      </c>
      <c r="O489">
        <v>430.90926607302799</v>
      </c>
      <c r="P489">
        <v>1144.87151643627</v>
      </c>
      <c r="Q489">
        <v>7363.4118712434602</v>
      </c>
      <c r="R489">
        <v>520.884705500726</v>
      </c>
      <c r="S489">
        <v>199.58470295290499</v>
      </c>
      <c r="T489">
        <v>271.61190745982498</v>
      </c>
      <c r="U489">
        <v>178.87842612563</v>
      </c>
      <c r="V489">
        <v>213.163362868566</v>
      </c>
      <c r="W489">
        <v>156.952520403753</v>
      </c>
      <c r="X489">
        <v>169.85247536682999</v>
      </c>
      <c r="Y489">
        <v>441.79402510439701</v>
      </c>
      <c r="Z489">
        <v>189.06868365232401</v>
      </c>
      <c r="AA489">
        <v>294.498871272793</v>
      </c>
      <c r="AB489">
        <v>385.623208745726</v>
      </c>
      <c r="AC489">
        <v>522.94917836062496</v>
      </c>
      <c r="AD489">
        <v>380.228462081168</v>
      </c>
      <c r="AE489">
        <v>581.11101414370103</v>
      </c>
      <c r="AF489">
        <v>423.423606758814</v>
      </c>
      <c r="AG489">
        <v>313.74482292535998</v>
      </c>
    </row>
    <row r="490" spans="1:33" x14ac:dyDescent="0.25">
      <c r="A490" s="1">
        <v>44541</v>
      </c>
      <c r="B490">
        <v>9122.9796035282998</v>
      </c>
      <c r="C490">
        <v>7199.5098465745796</v>
      </c>
      <c r="D490">
        <v>8048.8890339538102</v>
      </c>
      <c r="E490">
        <v>9491.5186940789499</v>
      </c>
      <c r="F490">
        <v>11913.377404381299</v>
      </c>
      <c r="G490">
        <v>10747.0185793121</v>
      </c>
      <c r="H490">
        <v>22507.009161974202</v>
      </c>
      <c r="I490">
        <v>15710.301767193099</v>
      </c>
      <c r="J490">
        <v>857.80620369538099</v>
      </c>
      <c r="K490">
        <v>716.066078235703</v>
      </c>
      <c r="L490">
        <v>419.96838621059197</v>
      </c>
      <c r="M490">
        <v>9156.6442121629007</v>
      </c>
      <c r="N490">
        <v>1858.5209945071699</v>
      </c>
      <c r="O490">
        <v>418.02538102717301</v>
      </c>
      <c r="P490">
        <v>1110.51988822661</v>
      </c>
      <c r="Q490">
        <v>7000.5467058820695</v>
      </c>
      <c r="R490">
        <v>504.49035226513001</v>
      </c>
      <c r="S490">
        <v>202.140228916674</v>
      </c>
      <c r="T490">
        <v>253.076591488639</v>
      </c>
      <c r="U490">
        <v>176.013002110972</v>
      </c>
      <c r="V490">
        <v>219.95280002417701</v>
      </c>
      <c r="W490">
        <v>168.586455488372</v>
      </c>
      <c r="X490">
        <v>169.80752721382601</v>
      </c>
      <c r="Y490">
        <v>447.809845184582</v>
      </c>
      <c r="Z490">
        <v>189.57581672448001</v>
      </c>
      <c r="AA490">
        <v>296.57963742322301</v>
      </c>
      <c r="AB490">
        <v>391.13914779539601</v>
      </c>
      <c r="AC490">
        <v>530.762482570727</v>
      </c>
      <c r="AD490">
        <v>378.579816597334</v>
      </c>
      <c r="AE490">
        <v>581.77913811510598</v>
      </c>
      <c r="AF490">
        <v>430.122503797702</v>
      </c>
      <c r="AG490">
        <v>317.91628437824397</v>
      </c>
    </row>
    <row r="491" spans="1:33" x14ac:dyDescent="0.25">
      <c r="A491" s="1">
        <v>44542</v>
      </c>
      <c r="B491">
        <v>9269.3795812222797</v>
      </c>
      <c r="C491">
        <v>6721.60110538756</v>
      </c>
      <c r="D491">
        <v>8263.5943995104808</v>
      </c>
      <c r="E491">
        <v>10057.6418470882</v>
      </c>
      <c r="F491">
        <v>12606.655877925101</v>
      </c>
      <c r="G491">
        <v>12588.1265717317</v>
      </c>
      <c r="H491">
        <v>25231.5936197357</v>
      </c>
      <c r="I491">
        <v>15442.0585164769</v>
      </c>
      <c r="J491">
        <v>909.48994022730403</v>
      </c>
      <c r="K491">
        <v>732.19728755759695</v>
      </c>
      <c r="L491">
        <v>453.84927409574902</v>
      </c>
      <c r="M491">
        <v>11006.7064176353</v>
      </c>
      <c r="N491">
        <v>2729.7623929923302</v>
      </c>
      <c r="O491">
        <v>477.90502388332698</v>
      </c>
      <c r="P491">
        <v>1293.9301847346101</v>
      </c>
      <c r="Q491">
        <v>8577.0898562673501</v>
      </c>
      <c r="R491">
        <v>565.51730839693698</v>
      </c>
      <c r="S491">
        <v>209.14070372379899</v>
      </c>
      <c r="T491">
        <v>286.03061643068298</v>
      </c>
      <c r="U491">
        <v>175.92366585714601</v>
      </c>
      <c r="V491">
        <v>291.55746340995898</v>
      </c>
      <c r="W491">
        <v>167.496703190543</v>
      </c>
      <c r="X491">
        <v>208.59216043755401</v>
      </c>
      <c r="Y491">
        <v>418.25850646592897</v>
      </c>
      <c r="Z491">
        <v>194.75701365175101</v>
      </c>
      <c r="AA491">
        <v>300.68729424740297</v>
      </c>
      <c r="AB491">
        <v>377.57788742303097</v>
      </c>
      <c r="AC491">
        <v>535.33483448770596</v>
      </c>
      <c r="AD491">
        <v>415.96569491392597</v>
      </c>
      <c r="AE491">
        <v>616.19026581242804</v>
      </c>
      <c r="AF491">
        <v>432.179540148939</v>
      </c>
      <c r="AG491">
        <v>325.87087679298003</v>
      </c>
    </row>
    <row r="492" spans="1:33" x14ac:dyDescent="0.25">
      <c r="A492" s="1">
        <v>44543</v>
      </c>
      <c r="B492">
        <v>8981.6808276434804</v>
      </c>
      <c r="C492">
        <v>7833.1255140294197</v>
      </c>
      <c r="D492">
        <v>8040.6933800186198</v>
      </c>
      <c r="E492">
        <v>10129.9935690278</v>
      </c>
      <c r="F492">
        <v>13820.706172484</v>
      </c>
      <c r="G492">
        <v>13803.1695017069</v>
      </c>
      <c r="H492">
        <v>25847.971098236801</v>
      </c>
      <c r="I492">
        <v>15571.679063797401</v>
      </c>
      <c r="J492">
        <v>965.72425416119302</v>
      </c>
      <c r="K492">
        <v>728.20065112407599</v>
      </c>
      <c r="L492">
        <v>493.24915130474301</v>
      </c>
      <c r="M492">
        <v>12022.245673057099</v>
      </c>
      <c r="N492">
        <v>3391.3365737109698</v>
      </c>
      <c r="O492">
        <v>506.75732005218498</v>
      </c>
      <c r="P492">
        <v>1412.9340408538901</v>
      </c>
      <c r="Q492">
        <v>9545.3363699904203</v>
      </c>
      <c r="R492">
        <v>621.09525694793297</v>
      </c>
      <c r="S492">
        <v>211.33496251103199</v>
      </c>
      <c r="T492">
        <v>321.86423073946901</v>
      </c>
      <c r="U492">
        <v>175.265011192175</v>
      </c>
      <c r="V492">
        <v>309.01356140626501</v>
      </c>
      <c r="W492">
        <v>180.35233225485501</v>
      </c>
      <c r="X492">
        <v>210.76021982437501</v>
      </c>
      <c r="Y492">
        <v>439.90191975417002</v>
      </c>
      <c r="Z492">
        <v>212.036879591093</v>
      </c>
      <c r="AA492">
        <v>304.63361737640503</v>
      </c>
      <c r="AB492">
        <v>386.19343902694402</v>
      </c>
      <c r="AC492">
        <v>541.33595287461799</v>
      </c>
      <c r="AD492">
        <v>452.00129435634602</v>
      </c>
      <c r="AE492">
        <v>606.55623726479996</v>
      </c>
      <c r="AF492">
        <v>441.02567606747601</v>
      </c>
      <c r="AG492">
        <v>382.40768867716997</v>
      </c>
    </row>
    <row r="493" spans="1:33" x14ac:dyDescent="0.25">
      <c r="A493" s="1">
        <v>44544</v>
      </c>
      <c r="B493">
        <v>8703.0792097619396</v>
      </c>
      <c r="C493">
        <v>8829.0855777769902</v>
      </c>
      <c r="D493">
        <v>7498.2136186491798</v>
      </c>
      <c r="E493">
        <v>9547.0761435741206</v>
      </c>
      <c r="F493">
        <v>13566.0074238708</v>
      </c>
      <c r="G493">
        <v>11800.586858316199</v>
      </c>
      <c r="H493">
        <v>23206.253527139601</v>
      </c>
      <c r="I493">
        <v>15774.846039669599</v>
      </c>
      <c r="J493">
        <v>951.15055153438402</v>
      </c>
      <c r="K493">
        <v>719.03456209375099</v>
      </c>
      <c r="L493">
        <v>485.50346850989803</v>
      </c>
      <c r="M493">
        <v>9865.2761338829405</v>
      </c>
      <c r="N493">
        <v>1886.6213987896001</v>
      </c>
      <c r="O493">
        <v>409.55982492102402</v>
      </c>
      <c r="P493">
        <v>1228.2474943698201</v>
      </c>
      <c r="Q493">
        <v>7655.5988260002696</v>
      </c>
      <c r="R493">
        <v>561.16623540236401</v>
      </c>
      <c r="S493">
        <v>231.42052191603699</v>
      </c>
      <c r="T493">
        <v>242.55133488103101</v>
      </c>
      <c r="U493">
        <v>175.341732822241</v>
      </c>
      <c r="V493">
        <v>185.59004980147</v>
      </c>
      <c r="W493">
        <v>196.739610040955</v>
      </c>
      <c r="X493">
        <v>177.59439143453201</v>
      </c>
      <c r="Y493">
        <v>501.442499180879</v>
      </c>
      <c r="Z493">
        <v>234.05307363816499</v>
      </c>
      <c r="AA493">
        <v>319.26813956232002</v>
      </c>
      <c r="AB493">
        <v>414.87081825203398</v>
      </c>
      <c r="AC493">
        <v>547.95145068185502</v>
      </c>
      <c r="AD493">
        <v>425.88462132206701</v>
      </c>
      <c r="AE493">
        <v>535.23685072513001</v>
      </c>
      <c r="AF493">
        <v>453.76827845613599</v>
      </c>
      <c r="AG493">
        <v>445.64279530897102</v>
      </c>
    </row>
    <row r="494" spans="1:33" x14ac:dyDescent="0.25">
      <c r="A494" s="1">
        <v>44545</v>
      </c>
      <c r="B494">
        <v>8650.4345487332594</v>
      </c>
      <c r="C494">
        <v>6800.1583963173198</v>
      </c>
      <c r="D494">
        <v>7506.5499067835799</v>
      </c>
      <c r="E494">
        <v>9356.4221037850093</v>
      </c>
      <c r="F494">
        <v>11288.2099164968</v>
      </c>
      <c r="G494">
        <v>9291.5969593091504</v>
      </c>
      <c r="H494">
        <v>21177.326911191001</v>
      </c>
      <c r="I494">
        <v>16059.972191274799</v>
      </c>
      <c r="J494">
        <v>935.34546440004897</v>
      </c>
      <c r="K494">
        <v>746.61369578150197</v>
      </c>
      <c r="L494">
        <v>436.964443175479</v>
      </c>
      <c r="M494">
        <v>8045.3912474661802</v>
      </c>
      <c r="N494">
        <v>946.86049173407605</v>
      </c>
      <c r="O494">
        <v>339.39701289891701</v>
      </c>
      <c r="P494">
        <v>1039.0422885684</v>
      </c>
      <c r="Q494">
        <v>5399.3492606261898</v>
      </c>
      <c r="R494">
        <v>460.038339303106</v>
      </c>
      <c r="S494">
        <v>289.98007699022298</v>
      </c>
      <c r="T494">
        <v>221.966846041179</v>
      </c>
      <c r="U494">
        <v>185.197616288924</v>
      </c>
      <c r="V494">
        <v>196.082968400715</v>
      </c>
      <c r="W494">
        <v>178.66397295347801</v>
      </c>
      <c r="X494">
        <v>195.97608430835299</v>
      </c>
      <c r="Y494">
        <v>560.86640629203305</v>
      </c>
      <c r="Z494">
        <v>240.55530796135599</v>
      </c>
      <c r="AA494">
        <v>349.65658013310798</v>
      </c>
      <c r="AB494">
        <v>435.215193676468</v>
      </c>
      <c r="AC494">
        <v>568.88091880068305</v>
      </c>
      <c r="AD494">
        <v>396.17456118454402</v>
      </c>
      <c r="AE494">
        <v>390.554101710917</v>
      </c>
      <c r="AF494">
        <v>465.95633320506403</v>
      </c>
      <c r="AG494">
        <v>508.802909205974</v>
      </c>
    </row>
    <row r="495" spans="1:33" x14ac:dyDescent="0.25">
      <c r="A495" s="1">
        <v>44546</v>
      </c>
      <c r="B495">
        <v>8544.1452884956598</v>
      </c>
      <c r="C495">
        <v>4734.4131281345199</v>
      </c>
      <c r="D495">
        <v>7656.4112994482402</v>
      </c>
      <c r="E495">
        <v>9397.9105335681998</v>
      </c>
      <c r="F495">
        <v>10345.423949579201</v>
      </c>
      <c r="G495">
        <v>7389.0173921476899</v>
      </c>
      <c r="H495">
        <v>19838.9008844296</v>
      </c>
      <c r="I495">
        <v>15726.0743449007</v>
      </c>
      <c r="J495">
        <v>938.83380071895704</v>
      </c>
      <c r="K495">
        <v>745.95778796970103</v>
      </c>
      <c r="L495">
        <v>434.16687170367402</v>
      </c>
      <c r="M495">
        <v>6293.6139711508804</v>
      </c>
      <c r="N495">
        <v>517.60966695208003</v>
      </c>
      <c r="O495">
        <v>334.599914798432</v>
      </c>
      <c r="P495">
        <v>931.78736751333201</v>
      </c>
      <c r="Q495">
        <v>3939.2435608317901</v>
      </c>
      <c r="R495">
        <v>464.39531696997602</v>
      </c>
      <c r="S495">
        <v>293.12973305023797</v>
      </c>
      <c r="T495">
        <v>212.52336245505899</v>
      </c>
      <c r="U495">
        <v>201.03433676416401</v>
      </c>
      <c r="V495">
        <v>174.96993230219601</v>
      </c>
      <c r="W495">
        <v>168.84164204300399</v>
      </c>
      <c r="X495">
        <v>174.57212350080499</v>
      </c>
      <c r="Y495">
        <v>541.41033551022304</v>
      </c>
      <c r="Z495">
        <v>246.60598732039699</v>
      </c>
      <c r="AA495">
        <v>385.34283556754599</v>
      </c>
      <c r="AB495">
        <v>459.18347858837001</v>
      </c>
      <c r="AC495">
        <v>586.163904048125</v>
      </c>
      <c r="AD495">
        <v>389.98829646953499</v>
      </c>
      <c r="AE495">
        <v>421.51292224131601</v>
      </c>
      <c r="AF495">
        <v>492.77675851704703</v>
      </c>
      <c r="AG495">
        <v>492.96928268091801</v>
      </c>
    </row>
    <row r="496" spans="1:33" x14ac:dyDescent="0.25">
      <c r="A496" s="1">
        <v>44547</v>
      </c>
      <c r="B496">
        <v>8549.1910481909108</v>
      </c>
      <c r="C496">
        <v>2388.8792496207202</v>
      </c>
      <c r="D496">
        <v>7364.8620380290304</v>
      </c>
      <c r="E496">
        <v>9142.5977338618104</v>
      </c>
      <c r="F496">
        <v>6917.4031096114104</v>
      </c>
      <c r="G496">
        <v>3820.0599218183302</v>
      </c>
      <c r="H496">
        <v>15778.423727183799</v>
      </c>
      <c r="I496">
        <v>14790.334818802899</v>
      </c>
      <c r="J496">
        <v>878.50738802561</v>
      </c>
      <c r="K496">
        <v>738.20594788453297</v>
      </c>
      <c r="L496">
        <v>402.99993662162802</v>
      </c>
      <c r="M496">
        <v>3232.4830137275499</v>
      </c>
      <c r="N496">
        <v>288.93027850204601</v>
      </c>
      <c r="O496">
        <v>306.31310305909301</v>
      </c>
      <c r="P496">
        <v>746.549546671896</v>
      </c>
      <c r="Q496">
        <v>1736.5724182107399</v>
      </c>
      <c r="R496">
        <v>404.12394557128403</v>
      </c>
      <c r="S496">
        <v>318.67473023600297</v>
      </c>
      <c r="T496">
        <v>203.68965026627799</v>
      </c>
      <c r="U496">
        <v>208.94889370101001</v>
      </c>
      <c r="V496">
        <v>168.396235684245</v>
      </c>
      <c r="W496">
        <v>153.22947083031301</v>
      </c>
      <c r="X496">
        <v>167.916684551033</v>
      </c>
      <c r="Y496">
        <v>613.66346633953003</v>
      </c>
      <c r="Z496">
        <v>254.37645715209899</v>
      </c>
      <c r="AA496">
        <v>415.90831685179802</v>
      </c>
      <c r="AB496">
        <v>480.21673320267701</v>
      </c>
      <c r="AC496">
        <v>593.30161393141395</v>
      </c>
      <c r="AD496">
        <v>366.82030863433101</v>
      </c>
      <c r="AE496">
        <v>468.95594336431202</v>
      </c>
      <c r="AF496">
        <v>498.13674517022599</v>
      </c>
      <c r="AG496">
        <v>462.56102293882998</v>
      </c>
    </row>
    <row r="497" spans="1:33" x14ac:dyDescent="0.25">
      <c r="A497" s="1">
        <v>44548</v>
      </c>
      <c r="B497">
        <v>8823.43692145977</v>
      </c>
      <c r="C497">
        <v>1051.8569675393701</v>
      </c>
      <c r="D497">
        <v>6422.84125280642</v>
      </c>
      <c r="E497">
        <v>8923.0931135136998</v>
      </c>
      <c r="F497">
        <v>4879.1509378190303</v>
      </c>
      <c r="G497">
        <v>2486.1649129043599</v>
      </c>
      <c r="H497">
        <v>13798.405857119</v>
      </c>
      <c r="I497">
        <v>12198.622708986601</v>
      </c>
      <c r="J497">
        <v>824.562064461163</v>
      </c>
      <c r="K497">
        <v>750.347069696689</v>
      </c>
      <c r="L497">
        <v>385.84315358783903</v>
      </c>
      <c r="M497">
        <v>2059.9330842269601</v>
      </c>
      <c r="N497">
        <v>237.77288504567599</v>
      </c>
      <c r="O497">
        <v>306.69754175120602</v>
      </c>
      <c r="P497">
        <v>657.979474907189</v>
      </c>
      <c r="Q497">
        <v>1095.6499320103901</v>
      </c>
      <c r="R497">
        <v>395.86305851396298</v>
      </c>
      <c r="S497">
        <v>347.410739114401</v>
      </c>
      <c r="T497">
        <v>190.58802735509599</v>
      </c>
      <c r="U497">
        <v>222.381358656343</v>
      </c>
      <c r="V497">
        <v>143.82388859277799</v>
      </c>
      <c r="W497">
        <v>132.24459470464799</v>
      </c>
      <c r="X497">
        <v>143.18537540491499</v>
      </c>
      <c r="Y497">
        <v>579.26332605746995</v>
      </c>
      <c r="Z497">
        <v>236.22351815430301</v>
      </c>
      <c r="AA497">
        <v>426.98454927037102</v>
      </c>
      <c r="AB497">
        <v>459.17501096862401</v>
      </c>
      <c r="AC497">
        <v>588.65929170429604</v>
      </c>
      <c r="AD497">
        <v>354.562370451189</v>
      </c>
      <c r="AE497">
        <v>486.76314220822297</v>
      </c>
      <c r="AF497">
        <v>503.89457109918101</v>
      </c>
      <c r="AG497">
        <v>452.1007325045</v>
      </c>
    </row>
    <row r="498" spans="1:33" x14ac:dyDescent="0.25">
      <c r="A498" s="1">
        <v>44549</v>
      </c>
      <c r="B498">
        <v>8826.0524195427497</v>
      </c>
      <c r="C498">
        <v>626.955390955079</v>
      </c>
      <c r="D498">
        <v>5511.6864010613099</v>
      </c>
      <c r="E498">
        <v>8422.2242167547902</v>
      </c>
      <c r="F498">
        <v>3671.0203489965402</v>
      </c>
      <c r="G498">
        <v>2433.5953312156498</v>
      </c>
      <c r="H498">
        <v>14486.8653461143</v>
      </c>
      <c r="I498">
        <v>9654.5235778884307</v>
      </c>
      <c r="J498">
        <v>750.717694906784</v>
      </c>
      <c r="K498">
        <v>729.43170176188801</v>
      </c>
      <c r="L498">
        <v>391.39131886959302</v>
      </c>
      <c r="M498">
        <v>1941.73198320606</v>
      </c>
      <c r="N498">
        <v>224.09467153208499</v>
      </c>
      <c r="O498">
        <v>326.05567810624802</v>
      </c>
      <c r="P498">
        <v>633.37791024432897</v>
      </c>
      <c r="Q498">
        <v>1105.8846897076201</v>
      </c>
      <c r="R498">
        <v>411.23075871719999</v>
      </c>
      <c r="S498">
        <v>406.519831903745</v>
      </c>
      <c r="T498">
        <v>174.63353412468399</v>
      </c>
      <c r="U498">
        <v>224.77910397091199</v>
      </c>
      <c r="V498">
        <v>133.003646900082</v>
      </c>
      <c r="W498">
        <v>133.45525594337599</v>
      </c>
      <c r="X498">
        <v>133.13466137917399</v>
      </c>
      <c r="Y498">
        <v>490.08141988828498</v>
      </c>
      <c r="Z498">
        <v>228.295702449038</v>
      </c>
      <c r="AA498">
        <v>411.97040231645701</v>
      </c>
      <c r="AB498">
        <v>442.27763198457802</v>
      </c>
      <c r="AC498">
        <v>606.45745834382001</v>
      </c>
      <c r="AD498">
        <v>361.60903177336598</v>
      </c>
      <c r="AE498">
        <v>484.65357658042302</v>
      </c>
      <c r="AF498">
        <v>506.31969340783201</v>
      </c>
      <c r="AG498">
        <v>439.47627633462901</v>
      </c>
    </row>
    <row r="499" spans="1:33" x14ac:dyDescent="0.25">
      <c r="A499" s="1">
        <v>44550</v>
      </c>
      <c r="B499">
        <v>8491.0619329280507</v>
      </c>
      <c r="C499">
        <v>616.43064823835505</v>
      </c>
      <c r="D499">
        <v>4404.4526352718503</v>
      </c>
      <c r="E499">
        <v>7858.52232029683</v>
      </c>
      <c r="F499">
        <v>3344.0524589872998</v>
      </c>
      <c r="G499">
        <v>2240.04450286059</v>
      </c>
      <c r="H499">
        <v>14108.712348599</v>
      </c>
      <c r="I499">
        <v>8518.3612999823708</v>
      </c>
      <c r="J499">
        <v>710.60139235549502</v>
      </c>
      <c r="K499">
        <v>711.53306396743994</v>
      </c>
      <c r="L499">
        <v>387.92432590854099</v>
      </c>
      <c r="M499">
        <v>1802.18641996052</v>
      </c>
      <c r="N499">
        <v>202.54269604898801</v>
      </c>
      <c r="O499">
        <v>319.88768379166601</v>
      </c>
      <c r="P499">
        <v>575.98865963553601</v>
      </c>
      <c r="Q499">
        <v>928.74364956071304</v>
      </c>
      <c r="R499">
        <v>406.05785082946198</v>
      </c>
      <c r="S499">
        <v>423.83121527529602</v>
      </c>
      <c r="T499">
        <v>168.78884370287199</v>
      </c>
      <c r="U499">
        <v>236.10607909303999</v>
      </c>
      <c r="V499">
        <v>130.68743915744</v>
      </c>
      <c r="W499">
        <v>127.397238899577</v>
      </c>
      <c r="X499">
        <v>130.255788682663</v>
      </c>
      <c r="Y499">
        <v>449.90803473007799</v>
      </c>
      <c r="Z499">
        <v>214.06519992756699</v>
      </c>
      <c r="AA499">
        <v>396.54516448176201</v>
      </c>
      <c r="AB499">
        <v>441.26458054469998</v>
      </c>
      <c r="AC499">
        <v>619.52451609844104</v>
      </c>
      <c r="AD499">
        <v>356.721012517524</v>
      </c>
      <c r="AE499">
        <v>518.418999468587</v>
      </c>
      <c r="AF499">
        <v>507.48847756040198</v>
      </c>
      <c r="AG499">
        <v>416.05515901062103</v>
      </c>
    </row>
    <row r="500" spans="1:33" x14ac:dyDescent="0.25">
      <c r="A500" s="1">
        <v>44551</v>
      </c>
      <c r="B500">
        <v>8083.1144505394896</v>
      </c>
      <c r="C500">
        <v>536.87596819757402</v>
      </c>
      <c r="D500">
        <v>3333.3335264215002</v>
      </c>
      <c r="E500">
        <v>7236.5456423529104</v>
      </c>
      <c r="F500">
        <v>2814.2942364025898</v>
      </c>
      <c r="G500">
        <v>1927.54756842707</v>
      </c>
      <c r="H500">
        <v>13270.4406223933</v>
      </c>
      <c r="I500">
        <v>7561.8019402461696</v>
      </c>
      <c r="J500">
        <v>677.04387007324794</v>
      </c>
      <c r="K500">
        <v>668.04352431967095</v>
      </c>
      <c r="L500">
        <v>367.960474051201</v>
      </c>
      <c r="M500">
        <v>1554.53600756695</v>
      </c>
      <c r="N500">
        <v>196.94538097629601</v>
      </c>
      <c r="O500">
        <v>293.953976180491</v>
      </c>
      <c r="P500">
        <v>513.00108496124994</v>
      </c>
      <c r="Q500">
        <v>720.22016157411599</v>
      </c>
      <c r="R500">
        <v>373.79427382007901</v>
      </c>
      <c r="S500">
        <v>435.072630090563</v>
      </c>
      <c r="T500">
        <v>164.819761150235</v>
      </c>
      <c r="U500">
        <v>247.60067453030001</v>
      </c>
      <c r="V500">
        <v>126.816593833233</v>
      </c>
      <c r="W500">
        <v>126.084282335463</v>
      </c>
      <c r="X500">
        <v>126.72526268420501</v>
      </c>
      <c r="Y500">
        <v>451.22457044125798</v>
      </c>
      <c r="Z500">
        <v>195.51158393603399</v>
      </c>
      <c r="AA500">
        <v>390.77823859553598</v>
      </c>
      <c r="AB500">
        <v>440.788547824548</v>
      </c>
      <c r="AC500">
        <v>544.50465939271203</v>
      </c>
      <c r="AD500">
        <v>341.45341273373901</v>
      </c>
      <c r="AE500">
        <v>541.06053037863603</v>
      </c>
      <c r="AF500">
        <v>511.66382582563898</v>
      </c>
      <c r="AG500">
        <v>421.92233552140101</v>
      </c>
    </row>
    <row r="501" spans="1:33" x14ac:dyDescent="0.25">
      <c r="A501" s="1">
        <v>44552</v>
      </c>
      <c r="B501">
        <v>7693.4486238831196</v>
      </c>
      <c r="C501">
        <v>378.56114194644198</v>
      </c>
      <c r="D501">
        <v>3333.7162943441599</v>
      </c>
      <c r="E501">
        <v>6447.0607428190597</v>
      </c>
      <c r="F501">
        <v>2606.35199832641</v>
      </c>
      <c r="G501">
        <v>2317.5153859574698</v>
      </c>
      <c r="H501">
        <v>15257.0982697368</v>
      </c>
      <c r="I501">
        <v>6722.0333659092703</v>
      </c>
      <c r="J501">
        <v>623.59352260650303</v>
      </c>
      <c r="K501">
        <v>634.18559230876394</v>
      </c>
      <c r="L501">
        <v>359.36467822942501</v>
      </c>
      <c r="M501">
        <v>1801.09550525237</v>
      </c>
      <c r="N501">
        <v>213.408170495636</v>
      </c>
      <c r="O501">
        <v>298.73748901782699</v>
      </c>
      <c r="P501">
        <v>486.25332928326901</v>
      </c>
      <c r="Q501">
        <v>918.66925854859005</v>
      </c>
      <c r="R501">
        <v>368.50917431915701</v>
      </c>
      <c r="S501">
        <v>438.969872223045</v>
      </c>
      <c r="T501">
        <v>163.451976562227</v>
      </c>
      <c r="U501">
        <v>287.84723885146201</v>
      </c>
      <c r="V501">
        <v>127.853840136551</v>
      </c>
      <c r="W501">
        <v>143.55252662849301</v>
      </c>
      <c r="X501">
        <v>128.43204139759601</v>
      </c>
      <c r="Y501">
        <v>455.66771975999899</v>
      </c>
      <c r="Z501">
        <v>188.29540572602099</v>
      </c>
      <c r="AA501">
        <v>390.46391270519598</v>
      </c>
      <c r="AB501">
        <v>445.129799732881</v>
      </c>
      <c r="AC501">
        <v>494.32640291483398</v>
      </c>
      <c r="AD501">
        <v>338.20661218205902</v>
      </c>
      <c r="AE501">
        <v>568.45363980160903</v>
      </c>
      <c r="AF501">
        <v>520.70343438249995</v>
      </c>
      <c r="AG501">
        <v>428.71453034905397</v>
      </c>
    </row>
    <row r="502" spans="1:33" x14ac:dyDescent="0.25">
      <c r="A502" s="1">
        <v>44553</v>
      </c>
      <c r="B502">
        <v>7508.0670316263604</v>
      </c>
      <c r="C502">
        <v>369.099124768401</v>
      </c>
      <c r="D502">
        <v>3607.66938105694</v>
      </c>
      <c r="E502">
        <v>5933.18129709804</v>
      </c>
      <c r="F502">
        <v>3272.5884116382399</v>
      </c>
      <c r="G502">
        <v>3093.4595209180102</v>
      </c>
      <c r="H502">
        <v>17424.602766505501</v>
      </c>
      <c r="I502">
        <v>6512.0247739651404</v>
      </c>
      <c r="J502">
        <v>586.73123654280698</v>
      </c>
      <c r="K502">
        <v>602.78885453817895</v>
      </c>
      <c r="L502">
        <v>357.12801870925102</v>
      </c>
      <c r="M502">
        <v>2283.0182936516799</v>
      </c>
      <c r="N502">
        <v>223.34061539913699</v>
      </c>
      <c r="O502">
        <v>297.33070705139897</v>
      </c>
      <c r="P502">
        <v>460.73689415684998</v>
      </c>
      <c r="Q502">
        <v>1132.0158606222301</v>
      </c>
      <c r="R502">
        <v>368.35496649529199</v>
      </c>
      <c r="S502">
        <v>429.38450895924598</v>
      </c>
      <c r="T502">
        <v>167.95881368925899</v>
      </c>
      <c r="U502">
        <v>265.70019130698302</v>
      </c>
      <c r="V502">
        <v>146.01956063979901</v>
      </c>
      <c r="W502">
        <v>166.48681873065399</v>
      </c>
      <c r="X502">
        <v>146.742345143368</v>
      </c>
      <c r="Y502">
        <v>461.71289912424697</v>
      </c>
      <c r="Z502">
        <v>203.238902741896</v>
      </c>
      <c r="AA502">
        <v>394.95238399875501</v>
      </c>
      <c r="AB502">
        <v>454.61540125552398</v>
      </c>
      <c r="AC502">
        <v>500.33855739215801</v>
      </c>
      <c r="AD502">
        <v>334.76607645635403</v>
      </c>
      <c r="AE502">
        <v>616.48384421078697</v>
      </c>
      <c r="AF502">
        <v>530.13076134562198</v>
      </c>
      <c r="AG502">
        <v>475.53528572644501</v>
      </c>
    </row>
    <row r="503" spans="1:33" x14ac:dyDescent="0.25">
      <c r="A503" s="1">
        <v>44554</v>
      </c>
      <c r="B503">
        <v>7760.1504386628403</v>
      </c>
      <c r="C503">
        <v>498.641043647571</v>
      </c>
      <c r="D503">
        <v>3146.9028233195399</v>
      </c>
      <c r="E503">
        <v>5705.3330404499702</v>
      </c>
      <c r="F503">
        <v>3528.2814520383899</v>
      </c>
      <c r="G503">
        <v>1877.8945479747199</v>
      </c>
      <c r="H503">
        <v>15095.665140356899</v>
      </c>
      <c r="I503">
        <v>6716.2698070773604</v>
      </c>
      <c r="J503">
        <v>598.94408039957398</v>
      </c>
      <c r="K503">
        <v>583.43432106265095</v>
      </c>
      <c r="L503">
        <v>336.86637285709799</v>
      </c>
      <c r="M503">
        <v>1401.91727922067</v>
      </c>
      <c r="N503">
        <v>196.924290343563</v>
      </c>
      <c r="O503">
        <v>263.86146350368102</v>
      </c>
      <c r="P503">
        <v>408.765418807495</v>
      </c>
      <c r="Q503">
        <v>778.18319693470301</v>
      </c>
      <c r="R503">
        <v>327.76386294268798</v>
      </c>
      <c r="S503">
        <v>429.78996132152901</v>
      </c>
      <c r="T503">
        <v>175.590220964726</v>
      </c>
      <c r="U503">
        <v>271.59039094163398</v>
      </c>
      <c r="V503">
        <v>170.76024231666599</v>
      </c>
      <c r="W503">
        <v>172.81773117489499</v>
      </c>
      <c r="X503">
        <v>171.41760320488899</v>
      </c>
      <c r="Y503">
        <v>477.77109430863197</v>
      </c>
      <c r="Z503">
        <v>232.73978270655201</v>
      </c>
      <c r="AA503">
        <v>398.912059914206</v>
      </c>
      <c r="AB503">
        <v>466.72086670788798</v>
      </c>
      <c r="AC503">
        <v>517.95269173819895</v>
      </c>
      <c r="AD503">
        <v>318.529319704388</v>
      </c>
      <c r="AE503">
        <v>637.08674886850997</v>
      </c>
      <c r="AF503">
        <v>541.46525715738699</v>
      </c>
      <c r="AG503">
        <v>510.95227832305</v>
      </c>
    </row>
    <row r="504" spans="1:33" x14ac:dyDescent="0.25">
      <c r="A504" s="1">
        <v>44555</v>
      </c>
      <c r="B504">
        <v>7882.0920429887001</v>
      </c>
      <c r="C504">
        <v>724.92338850758699</v>
      </c>
      <c r="D504">
        <v>2941.32258757319</v>
      </c>
      <c r="E504">
        <v>5417.3117349356298</v>
      </c>
      <c r="F504">
        <v>2438.6249552271001</v>
      </c>
      <c r="G504">
        <v>947.63715194610097</v>
      </c>
      <c r="H504">
        <v>12163.824445759499</v>
      </c>
      <c r="I504">
        <v>6334.6574485308702</v>
      </c>
      <c r="J504">
        <v>591.76551248674104</v>
      </c>
      <c r="K504">
        <v>548.82655901253997</v>
      </c>
      <c r="L504">
        <v>324.99190914131498</v>
      </c>
      <c r="M504">
        <v>901.11310672967602</v>
      </c>
      <c r="N504">
        <v>190.01697452872699</v>
      </c>
      <c r="O504">
        <v>253.590199911524</v>
      </c>
      <c r="P504">
        <v>394.37626843135098</v>
      </c>
      <c r="Q504">
        <v>477.99292974011598</v>
      </c>
      <c r="R504">
        <v>298.69320615449499</v>
      </c>
      <c r="S504">
        <v>423.95493183081101</v>
      </c>
      <c r="T504">
        <v>186.952731791926</v>
      </c>
      <c r="U504">
        <v>271.68037815148102</v>
      </c>
      <c r="V504">
        <v>179.322114610151</v>
      </c>
      <c r="W504">
        <v>183.11055211816901</v>
      </c>
      <c r="X504">
        <v>179.407047366028</v>
      </c>
      <c r="Y504">
        <v>516.774654472355</v>
      </c>
      <c r="Z504">
        <v>211.437772623157</v>
      </c>
      <c r="AA504">
        <v>407.47879664523299</v>
      </c>
      <c r="AB504">
        <v>499.34083719511301</v>
      </c>
      <c r="AC504">
        <v>546.62630994990002</v>
      </c>
      <c r="AD504">
        <v>309.66432976845698</v>
      </c>
      <c r="AE504">
        <v>522.00039820056998</v>
      </c>
      <c r="AF504">
        <v>558.67208202464496</v>
      </c>
      <c r="AG504">
        <v>633.616538006062</v>
      </c>
    </row>
    <row r="505" spans="1:33" x14ac:dyDescent="0.25">
      <c r="A505" s="1">
        <v>44556</v>
      </c>
      <c r="B505">
        <v>7977.8606252826503</v>
      </c>
      <c r="C505">
        <v>628.97961563210197</v>
      </c>
      <c r="D505">
        <v>2374.9254524181902</v>
      </c>
      <c r="E505">
        <v>5306.2603082433598</v>
      </c>
      <c r="F505">
        <v>1425.01533699377</v>
      </c>
      <c r="G505">
        <v>460.70442061928998</v>
      </c>
      <c r="H505">
        <v>7425.8272004340697</v>
      </c>
      <c r="I505">
        <v>5919.8389882381598</v>
      </c>
      <c r="J505">
        <v>597.999677511708</v>
      </c>
      <c r="K505">
        <v>520.64480673583103</v>
      </c>
      <c r="L505">
        <v>322.85376515396302</v>
      </c>
      <c r="M505">
        <v>529.11983924141805</v>
      </c>
      <c r="N505">
        <v>196.26440697310599</v>
      </c>
      <c r="O505">
        <v>222.898773803376</v>
      </c>
      <c r="P505">
        <v>369.07885137947602</v>
      </c>
      <c r="Q505">
        <v>274.15693448662802</v>
      </c>
      <c r="R505">
        <v>273.748027930582</v>
      </c>
      <c r="S505">
        <v>440.03713328735802</v>
      </c>
      <c r="T505">
        <v>195.52616536363399</v>
      </c>
      <c r="U505">
        <v>271.71436082385702</v>
      </c>
      <c r="V505">
        <v>183.106993209687</v>
      </c>
      <c r="W505">
        <v>170.90962816157301</v>
      </c>
      <c r="X505">
        <v>182.80100150331</v>
      </c>
      <c r="Y505">
        <v>570.98638168457899</v>
      </c>
      <c r="Z505">
        <v>215.75554924679301</v>
      </c>
      <c r="AA505">
        <v>412.57292142183201</v>
      </c>
      <c r="AB505">
        <v>541.16877389858598</v>
      </c>
      <c r="AC505">
        <v>582.43329054577896</v>
      </c>
      <c r="AD505">
        <v>305.37938339504302</v>
      </c>
      <c r="AE505">
        <v>481.59529839122399</v>
      </c>
      <c r="AF505">
        <v>584.19275997601801</v>
      </c>
      <c r="AG505">
        <v>735.15192945809395</v>
      </c>
    </row>
    <row r="506" spans="1:33" x14ac:dyDescent="0.25">
      <c r="A506" s="1">
        <v>44557</v>
      </c>
      <c r="B506">
        <v>7944.1458741781398</v>
      </c>
      <c r="C506">
        <v>406.73954408574798</v>
      </c>
      <c r="D506">
        <v>2186.3260274253698</v>
      </c>
      <c r="E506">
        <v>5114.9107847390896</v>
      </c>
      <c r="F506">
        <v>869.55219997299196</v>
      </c>
      <c r="G506">
        <v>321.51853071792902</v>
      </c>
      <c r="H506">
        <v>5908.4461111906903</v>
      </c>
      <c r="I506">
        <v>5203.0481311714802</v>
      </c>
      <c r="J506">
        <v>581.57829183963395</v>
      </c>
      <c r="K506">
        <v>502.20143347693403</v>
      </c>
      <c r="L506">
        <v>317.26895561850301</v>
      </c>
      <c r="M506">
        <v>421.52236555900299</v>
      </c>
      <c r="N506">
        <v>196.84628212067199</v>
      </c>
      <c r="O506">
        <v>220.867612815824</v>
      </c>
      <c r="P506">
        <v>342.24696039848402</v>
      </c>
      <c r="Q506">
        <v>254.77813272580599</v>
      </c>
      <c r="R506">
        <v>259.75721204402402</v>
      </c>
      <c r="S506">
        <v>448.96005050990198</v>
      </c>
      <c r="T506">
        <v>193.31043222215601</v>
      </c>
      <c r="U506">
        <v>267.63124887092698</v>
      </c>
      <c r="V506">
        <v>150.05713921060499</v>
      </c>
      <c r="W506">
        <v>134.857969625322</v>
      </c>
      <c r="X506">
        <v>149.39012941068</v>
      </c>
      <c r="Y506">
        <v>608.33873601210701</v>
      </c>
      <c r="Z506">
        <v>218.306213175306</v>
      </c>
      <c r="AA506">
        <v>426.90811321616002</v>
      </c>
      <c r="AB506">
        <v>584.04573446927202</v>
      </c>
      <c r="AC506">
        <v>523.61824332750496</v>
      </c>
      <c r="AD506">
        <v>300.550285799709</v>
      </c>
      <c r="AE506">
        <v>418.60035968301202</v>
      </c>
      <c r="AF506">
        <v>603.35707546790798</v>
      </c>
      <c r="AG506">
        <v>749.04281973836896</v>
      </c>
    </row>
    <row r="507" spans="1:33" x14ac:dyDescent="0.25">
      <c r="A507" s="1">
        <v>44558</v>
      </c>
      <c r="B507">
        <v>7851.3529252692297</v>
      </c>
      <c r="C507">
        <v>249.65288175340601</v>
      </c>
      <c r="D507">
        <v>1973.0552980755101</v>
      </c>
      <c r="E507">
        <v>4845.8196025593597</v>
      </c>
      <c r="F507">
        <v>670.99600362320405</v>
      </c>
      <c r="G507">
        <v>276.91832415472601</v>
      </c>
      <c r="H507">
        <v>4626.9250477423002</v>
      </c>
      <c r="I507">
        <v>4083.9881286905702</v>
      </c>
      <c r="J507">
        <v>565.50949754289297</v>
      </c>
      <c r="K507">
        <v>481.03784094330399</v>
      </c>
      <c r="L507">
        <v>305.88258037461799</v>
      </c>
      <c r="M507">
        <v>359.84483882431601</v>
      </c>
      <c r="N507">
        <v>183.41505869446499</v>
      </c>
      <c r="O507">
        <v>196.75423682368501</v>
      </c>
      <c r="P507">
        <v>319.15506226616498</v>
      </c>
      <c r="Q507">
        <v>219.64124401165299</v>
      </c>
      <c r="R507">
        <v>242.31225472873899</v>
      </c>
      <c r="S507">
        <v>461.67080247648698</v>
      </c>
      <c r="T507">
        <v>181.513358429302</v>
      </c>
      <c r="U507">
        <v>301.93131192889001</v>
      </c>
      <c r="V507">
        <v>123.334657319672</v>
      </c>
      <c r="W507">
        <v>114.29815241961199</v>
      </c>
      <c r="X507">
        <v>122.88622172966301</v>
      </c>
      <c r="Y507">
        <v>617.10463678186898</v>
      </c>
      <c r="Z507">
        <v>213.934773528661</v>
      </c>
      <c r="AA507">
        <v>435.55080290096402</v>
      </c>
      <c r="AB507">
        <v>608.32395101711199</v>
      </c>
      <c r="AC507">
        <v>480.09293457283599</v>
      </c>
      <c r="AD507">
        <v>292.43445693418897</v>
      </c>
      <c r="AE507">
        <v>325.446003207111</v>
      </c>
      <c r="AF507">
        <v>604.24473673017599</v>
      </c>
      <c r="AG507">
        <v>739.80480909410301</v>
      </c>
    </row>
    <row r="508" spans="1:33" x14ac:dyDescent="0.25">
      <c r="A508" s="1">
        <v>44559</v>
      </c>
      <c r="B508">
        <v>7531.6321051936902</v>
      </c>
      <c r="C508">
        <v>229.70251386635701</v>
      </c>
      <c r="D508">
        <v>1974.6203202340801</v>
      </c>
      <c r="E508">
        <v>4398.6943813637799</v>
      </c>
      <c r="F508">
        <v>513.73265461973403</v>
      </c>
      <c r="G508">
        <v>255.66481389213499</v>
      </c>
      <c r="H508">
        <v>5966.6337301765998</v>
      </c>
      <c r="I508">
        <v>3171.1714612996302</v>
      </c>
      <c r="J508">
        <v>541.02277101247898</v>
      </c>
      <c r="K508">
        <v>450.68550242801001</v>
      </c>
      <c r="L508">
        <v>288.48157348766603</v>
      </c>
      <c r="M508">
        <v>329.326519935855</v>
      </c>
      <c r="N508">
        <v>164.94404036938701</v>
      </c>
      <c r="O508">
        <v>183.81218989958899</v>
      </c>
      <c r="P508">
        <v>302.02332878417201</v>
      </c>
      <c r="Q508">
        <v>200.526650569498</v>
      </c>
      <c r="R508">
        <v>233.71625619724401</v>
      </c>
      <c r="S508">
        <v>471.61418342207298</v>
      </c>
      <c r="T508">
        <v>166.00569965501501</v>
      </c>
      <c r="U508">
        <v>293.99905991604402</v>
      </c>
      <c r="V508">
        <v>121.28137754272601</v>
      </c>
      <c r="W508">
        <v>126.716487249897</v>
      </c>
      <c r="X508">
        <v>121.304524656954</v>
      </c>
      <c r="Y508">
        <v>595.38293364214996</v>
      </c>
      <c r="Z508">
        <v>211.328525784795</v>
      </c>
      <c r="AA508">
        <v>453.133398762946</v>
      </c>
      <c r="AB508">
        <v>601.54208092973397</v>
      </c>
      <c r="AC508">
        <v>452.25414482321997</v>
      </c>
      <c r="AD508">
        <v>279.643219205295</v>
      </c>
      <c r="AE508">
        <v>297.467941812449</v>
      </c>
      <c r="AF508">
        <v>608.84891838223302</v>
      </c>
      <c r="AG508">
        <v>718.26426855058298</v>
      </c>
    </row>
    <row r="509" spans="1:33" x14ac:dyDescent="0.25">
      <c r="A509" s="1">
        <v>44560</v>
      </c>
      <c r="B509">
        <v>6217.1685016049996</v>
      </c>
      <c r="C509">
        <v>212.250214395028</v>
      </c>
      <c r="D509">
        <v>1956.9142061739201</v>
      </c>
      <c r="E509">
        <v>4012.8840844988499</v>
      </c>
      <c r="F509">
        <v>433.04211894580402</v>
      </c>
      <c r="G509">
        <v>328.20842676302101</v>
      </c>
      <c r="H509">
        <v>6826.1763794054796</v>
      </c>
      <c r="I509">
        <v>2720.9405442545399</v>
      </c>
      <c r="J509">
        <v>506.437765814123</v>
      </c>
      <c r="K509">
        <v>422.55944996911802</v>
      </c>
      <c r="L509">
        <v>275.52045874664901</v>
      </c>
      <c r="M509">
        <v>314.46405095639699</v>
      </c>
      <c r="N509">
        <v>159.242774681604</v>
      </c>
      <c r="O509">
        <v>187.99774627315</v>
      </c>
      <c r="P509">
        <v>288.34856530180502</v>
      </c>
      <c r="Q509">
        <v>195.87470503693001</v>
      </c>
      <c r="R509">
        <v>232.02877917371799</v>
      </c>
      <c r="S509">
        <v>485.39153804689897</v>
      </c>
      <c r="T509">
        <v>170.54337567986801</v>
      </c>
      <c r="U509">
        <v>291.92652828012302</v>
      </c>
      <c r="V509">
        <v>127.42549838522299</v>
      </c>
      <c r="W509">
        <v>121.386308883384</v>
      </c>
      <c r="X509">
        <v>127.125507141672</v>
      </c>
      <c r="Y509">
        <v>559.79706604769899</v>
      </c>
      <c r="Z509">
        <v>185.04631784403799</v>
      </c>
      <c r="AA509">
        <v>466.115106888301</v>
      </c>
      <c r="AB509">
        <v>592.017695341832</v>
      </c>
      <c r="AC509">
        <v>423.44110914651498</v>
      </c>
      <c r="AD509">
        <v>271.89558647801101</v>
      </c>
      <c r="AE509">
        <v>278.70407852989598</v>
      </c>
      <c r="AF509">
        <v>593.48546687246596</v>
      </c>
      <c r="AG509">
        <v>641.03936011130702</v>
      </c>
    </row>
    <row r="510" spans="1:33" x14ac:dyDescent="0.25">
      <c r="A510" s="1">
        <v>44561</v>
      </c>
      <c r="B510">
        <v>5008.3366800878302</v>
      </c>
      <c r="C510">
        <v>198.06069750362701</v>
      </c>
      <c r="D510">
        <v>1934.9817817651101</v>
      </c>
      <c r="E510">
        <v>3504.21637572892</v>
      </c>
      <c r="F510">
        <v>460.06772686039</v>
      </c>
      <c r="G510">
        <v>357.84927995914899</v>
      </c>
      <c r="H510">
        <v>7316.74498563004</v>
      </c>
      <c r="I510">
        <v>2407.0972469253502</v>
      </c>
      <c r="J510">
        <v>478.55467785138399</v>
      </c>
      <c r="K510">
        <v>420.55609284121601</v>
      </c>
      <c r="L510">
        <v>265.29386932292903</v>
      </c>
      <c r="M510">
        <v>339.765981577839</v>
      </c>
      <c r="N510">
        <v>159.60802011588501</v>
      </c>
      <c r="O510">
        <v>199.08835290389899</v>
      </c>
      <c r="P510">
        <v>276.22109658827299</v>
      </c>
      <c r="Q510">
        <v>199.34411818385601</v>
      </c>
      <c r="R510">
        <v>237.78108363813399</v>
      </c>
      <c r="S510">
        <v>495.16327626237899</v>
      </c>
      <c r="T510">
        <v>167.39880329186801</v>
      </c>
      <c r="U510">
        <v>298.13072194911598</v>
      </c>
      <c r="V510">
        <v>117.635484653029</v>
      </c>
      <c r="W510">
        <v>123.65585636860401</v>
      </c>
      <c r="X510">
        <v>117.57966349374399</v>
      </c>
      <c r="Y510">
        <v>537.21067443005404</v>
      </c>
      <c r="Z510">
        <v>178.75867812960399</v>
      </c>
      <c r="AA510">
        <v>480.08177384013402</v>
      </c>
      <c r="AB510">
        <v>582.26584123538305</v>
      </c>
      <c r="AC510">
        <v>460.15139174724902</v>
      </c>
      <c r="AD510">
        <v>264.25015595086398</v>
      </c>
      <c r="AE510">
        <v>294.258646000581</v>
      </c>
      <c r="AF510">
        <v>561.80327381451002</v>
      </c>
      <c r="AG510">
        <v>589.90810552866503</v>
      </c>
    </row>
    <row r="511" spans="1:33" x14ac:dyDescent="0.25">
      <c r="A511" s="1">
        <v>44562</v>
      </c>
      <c r="B511">
        <v>4355.6167288958004</v>
      </c>
      <c r="C511">
        <v>187.524438116124</v>
      </c>
      <c r="D511">
        <v>1840.41408414493</v>
      </c>
      <c r="E511">
        <v>3140.1840205577801</v>
      </c>
      <c r="F511">
        <v>401.97166787712399</v>
      </c>
      <c r="G511">
        <v>331.89511569143502</v>
      </c>
      <c r="H511">
        <v>5767.5188420307104</v>
      </c>
      <c r="I511">
        <v>1708.90596834639</v>
      </c>
      <c r="J511">
        <v>442.84388129712897</v>
      </c>
      <c r="K511">
        <v>414.40746498065897</v>
      </c>
      <c r="L511">
        <v>259.52902839814402</v>
      </c>
      <c r="M511">
        <v>325.20049886405599</v>
      </c>
      <c r="N511">
        <v>158.364197197305</v>
      </c>
      <c r="O511">
        <v>201.54522198995599</v>
      </c>
      <c r="P511">
        <v>268.139212240799</v>
      </c>
      <c r="Q511">
        <v>201.68871871155201</v>
      </c>
      <c r="R511">
        <v>234.85763628626199</v>
      </c>
      <c r="S511">
        <v>505.61151778027198</v>
      </c>
      <c r="T511">
        <v>167.10575324139199</v>
      </c>
      <c r="U511">
        <v>301.46051214773399</v>
      </c>
      <c r="V511">
        <v>128.41820098458601</v>
      </c>
      <c r="W511">
        <v>128.90148982787599</v>
      </c>
      <c r="X511">
        <v>128.415789003637</v>
      </c>
      <c r="Y511">
        <v>528.030728937508</v>
      </c>
      <c r="Z511">
        <v>179.40005228141899</v>
      </c>
      <c r="AA511">
        <v>489.45731202415101</v>
      </c>
      <c r="AB511">
        <v>570.75389095693299</v>
      </c>
      <c r="AC511">
        <v>495.059701596411</v>
      </c>
      <c r="AD511">
        <v>260.31631726993101</v>
      </c>
      <c r="AE511">
        <v>302.70978494640099</v>
      </c>
      <c r="AF511">
        <v>517.69316507239603</v>
      </c>
      <c r="AG511">
        <v>559.21909579485703</v>
      </c>
    </row>
    <row r="512" spans="1:33" x14ac:dyDescent="0.25">
      <c r="A512" t="s">
        <v>37</v>
      </c>
      <c r="B512">
        <f>COUNTIF(B$3:B$511,"&gt;=1000")</f>
        <v>509</v>
      </c>
      <c r="C512">
        <f t="shared" ref="C512:AG512" si="0">COUNTIF(C$3:C$511,"&gt;=1000")</f>
        <v>485</v>
      </c>
      <c r="D512">
        <f t="shared" si="0"/>
        <v>509</v>
      </c>
      <c r="E512">
        <f t="shared" si="0"/>
        <v>509</v>
      </c>
      <c r="F512">
        <f t="shared" si="0"/>
        <v>503</v>
      </c>
      <c r="G512">
        <f t="shared" si="0"/>
        <v>497</v>
      </c>
      <c r="H512">
        <f t="shared" si="0"/>
        <v>509</v>
      </c>
      <c r="I512">
        <f t="shared" si="0"/>
        <v>509</v>
      </c>
      <c r="J512">
        <f t="shared" si="0"/>
        <v>112</v>
      </c>
      <c r="K512">
        <f t="shared" si="0"/>
        <v>56</v>
      </c>
      <c r="L512">
        <f t="shared" si="0"/>
        <v>0</v>
      </c>
      <c r="M512">
        <f t="shared" si="0"/>
        <v>497</v>
      </c>
      <c r="N512">
        <f t="shared" si="0"/>
        <v>363</v>
      </c>
      <c r="O512">
        <f t="shared" si="0"/>
        <v>0</v>
      </c>
      <c r="P512">
        <f t="shared" si="0"/>
        <v>258</v>
      </c>
      <c r="Q512">
        <f t="shared" si="0"/>
        <v>489</v>
      </c>
      <c r="R512">
        <f t="shared" si="0"/>
        <v>0</v>
      </c>
      <c r="S512">
        <f t="shared" si="0"/>
        <v>0</v>
      </c>
      <c r="T512">
        <f t="shared" si="0"/>
        <v>0</v>
      </c>
      <c r="U512">
        <f t="shared" si="0"/>
        <v>0</v>
      </c>
      <c r="V512">
        <f t="shared" si="0"/>
        <v>0</v>
      </c>
      <c r="W512">
        <f t="shared" si="0"/>
        <v>0</v>
      </c>
      <c r="X512">
        <f t="shared" si="0"/>
        <v>0</v>
      </c>
      <c r="Y512">
        <f t="shared" si="0"/>
        <v>0</v>
      </c>
      <c r="Z512">
        <f t="shared" si="0"/>
        <v>0</v>
      </c>
      <c r="AA512">
        <f t="shared" si="0"/>
        <v>0</v>
      </c>
      <c r="AB512">
        <f t="shared" si="0"/>
        <v>0</v>
      </c>
      <c r="AC512">
        <f t="shared" si="0"/>
        <v>5</v>
      </c>
      <c r="AD512">
        <f t="shared" si="0"/>
        <v>0</v>
      </c>
      <c r="AE512">
        <f t="shared" si="0"/>
        <v>16</v>
      </c>
      <c r="AF512">
        <f t="shared" si="0"/>
        <v>0</v>
      </c>
      <c r="AG512">
        <f t="shared" si="0"/>
        <v>0</v>
      </c>
    </row>
    <row r="513" spans="1:57" x14ac:dyDescent="0.25">
      <c r="A513" t="s">
        <v>38</v>
      </c>
      <c r="B513">
        <f>COUNTIF(B$54:B$235,"&gt;=1000")</f>
        <v>182</v>
      </c>
      <c r="C513">
        <f t="shared" ref="C513:AG513" si="1">COUNTIF(C$54:C$235,"&gt;=1000")</f>
        <v>179</v>
      </c>
      <c r="D513">
        <f t="shared" si="1"/>
        <v>182</v>
      </c>
      <c r="E513">
        <f t="shared" si="1"/>
        <v>182</v>
      </c>
      <c r="F513">
        <f t="shared" si="1"/>
        <v>182</v>
      </c>
      <c r="G513">
        <f t="shared" si="1"/>
        <v>182</v>
      </c>
      <c r="H513">
        <f t="shared" si="1"/>
        <v>182</v>
      </c>
      <c r="I513">
        <f t="shared" si="1"/>
        <v>182</v>
      </c>
      <c r="J513">
        <f t="shared" si="1"/>
        <v>16</v>
      </c>
      <c r="K513">
        <f t="shared" si="1"/>
        <v>23</v>
      </c>
      <c r="L513">
        <f t="shared" si="1"/>
        <v>0</v>
      </c>
      <c r="M513">
        <f t="shared" si="1"/>
        <v>182</v>
      </c>
      <c r="N513">
        <f t="shared" si="1"/>
        <v>110</v>
      </c>
      <c r="O513">
        <f t="shared" si="1"/>
        <v>0</v>
      </c>
      <c r="P513">
        <f t="shared" si="1"/>
        <v>91</v>
      </c>
      <c r="Q513">
        <f t="shared" si="1"/>
        <v>181</v>
      </c>
      <c r="R513">
        <f t="shared" si="1"/>
        <v>0</v>
      </c>
      <c r="S513">
        <f t="shared" si="1"/>
        <v>0</v>
      </c>
      <c r="T513">
        <f t="shared" si="1"/>
        <v>0</v>
      </c>
      <c r="U513">
        <f t="shared" si="1"/>
        <v>0</v>
      </c>
      <c r="V513">
        <f t="shared" si="1"/>
        <v>0</v>
      </c>
      <c r="W513">
        <f t="shared" si="1"/>
        <v>0</v>
      </c>
      <c r="X513">
        <f t="shared" si="1"/>
        <v>0</v>
      </c>
      <c r="Y513">
        <f t="shared" si="1"/>
        <v>0</v>
      </c>
      <c r="Z513">
        <f t="shared" si="1"/>
        <v>0</v>
      </c>
      <c r="AA513">
        <f t="shared" si="1"/>
        <v>0</v>
      </c>
      <c r="AB513">
        <f t="shared" si="1"/>
        <v>0</v>
      </c>
      <c r="AC513">
        <f t="shared" si="1"/>
        <v>5</v>
      </c>
      <c r="AD513">
        <f t="shared" si="1"/>
        <v>0</v>
      </c>
      <c r="AE513">
        <f t="shared" si="1"/>
        <v>16</v>
      </c>
      <c r="AF513">
        <f t="shared" si="1"/>
        <v>0</v>
      </c>
      <c r="AG513">
        <f t="shared" si="1"/>
        <v>0</v>
      </c>
      <c r="AH513" t="s">
        <v>109</v>
      </c>
    </row>
    <row r="514" spans="1:57" x14ac:dyDescent="0.25">
      <c r="A514" t="s">
        <v>39</v>
      </c>
      <c r="B514">
        <f>COUNTIF(B$419:B$511,"&gt;=1000")</f>
        <v>93</v>
      </c>
      <c r="C514">
        <f t="shared" ref="C514:AG514" si="2">COUNTIF(C$419:C$511,"&gt;=1000")</f>
        <v>72</v>
      </c>
      <c r="D514">
        <f t="shared" si="2"/>
        <v>93</v>
      </c>
      <c r="E514">
        <f t="shared" si="2"/>
        <v>93</v>
      </c>
      <c r="F514">
        <f t="shared" si="2"/>
        <v>87</v>
      </c>
      <c r="G514">
        <f t="shared" si="2"/>
        <v>81</v>
      </c>
      <c r="H514">
        <f t="shared" si="2"/>
        <v>93</v>
      </c>
      <c r="I514">
        <f t="shared" si="2"/>
        <v>93</v>
      </c>
      <c r="J514">
        <f t="shared" si="2"/>
        <v>22</v>
      </c>
      <c r="K514">
        <f t="shared" si="2"/>
        <v>0</v>
      </c>
      <c r="L514">
        <f t="shared" si="2"/>
        <v>0</v>
      </c>
      <c r="M514">
        <f t="shared" si="2"/>
        <v>81</v>
      </c>
      <c r="N514">
        <f t="shared" si="2"/>
        <v>53</v>
      </c>
      <c r="O514">
        <f t="shared" si="2"/>
        <v>0</v>
      </c>
      <c r="P514">
        <f t="shared" si="2"/>
        <v>37</v>
      </c>
      <c r="Q514">
        <f t="shared" si="2"/>
        <v>74</v>
      </c>
      <c r="R514">
        <f t="shared" si="2"/>
        <v>0</v>
      </c>
      <c r="S514">
        <f t="shared" si="2"/>
        <v>0</v>
      </c>
      <c r="T514">
        <f t="shared" si="2"/>
        <v>0</v>
      </c>
      <c r="U514">
        <f t="shared" si="2"/>
        <v>0</v>
      </c>
      <c r="V514">
        <f t="shared" si="2"/>
        <v>0</v>
      </c>
      <c r="W514">
        <f t="shared" si="2"/>
        <v>0</v>
      </c>
      <c r="X514">
        <f t="shared" si="2"/>
        <v>0</v>
      </c>
      <c r="Y514">
        <f t="shared" si="2"/>
        <v>0</v>
      </c>
      <c r="Z514">
        <f t="shared" si="2"/>
        <v>0</v>
      </c>
      <c r="AA514">
        <f t="shared" si="2"/>
        <v>0</v>
      </c>
      <c r="AB514">
        <f t="shared" si="2"/>
        <v>0</v>
      </c>
      <c r="AC514">
        <f t="shared" si="2"/>
        <v>0</v>
      </c>
      <c r="AD514">
        <f t="shared" si="2"/>
        <v>0</v>
      </c>
      <c r="AE514">
        <f t="shared" si="2"/>
        <v>0</v>
      </c>
      <c r="AF514">
        <f t="shared" si="2"/>
        <v>0</v>
      </c>
      <c r="AG514">
        <f t="shared" si="2"/>
        <v>0</v>
      </c>
      <c r="AH514" t="s">
        <v>110</v>
      </c>
    </row>
    <row r="515" spans="1:57" x14ac:dyDescent="0.25">
      <c r="A515" t="s">
        <v>40</v>
      </c>
      <c r="B515">
        <f>COUNTIF(B$3:B$53,"&gt;=1000")</f>
        <v>51</v>
      </c>
      <c r="C515">
        <f t="shared" ref="C515:AG515" si="3">COUNTIF(C$3:C$53,"&gt;=1000")</f>
        <v>51</v>
      </c>
      <c r="D515">
        <f t="shared" si="3"/>
        <v>51</v>
      </c>
      <c r="E515">
        <f t="shared" si="3"/>
        <v>51</v>
      </c>
      <c r="F515">
        <f t="shared" si="3"/>
        <v>51</v>
      </c>
      <c r="G515">
        <f t="shared" si="3"/>
        <v>51</v>
      </c>
      <c r="H515">
        <f t="shared" si="3"/>
        <v>51</v>
      </c>
      <c r="I515">
        <f t="shared" si="3"/>
        <v>51</v>
      </c>
      <c r="J515">
        <f t="shared" si="3"/>
        <v>46</v>
      </c>
      <c r="K515">
        <f t="shared" si="3"/>
        <v>30</v>
      </c>
      <c r="L515">
        <f t="shared" si="3"/>
        <v>0</v>
      </c>
      <c r="M515">
        <f t="shared" si="3"/>
        <v>51</v>
      </c>
      <c r="N515">
        <f t="shared" si="3"/>
        <v>45</v>
      </c>
      <c r="O515">
        <f t="shared" si="3"/>
        <v>0</v>
      </c>
      <c r="P515">
        <f t="shared" si="3"/>
        <v>37</v>
      </c>
      <c r="Q515">
        <f t="shared" si="3"/>
        <v>51</v>
      </c>
      <c r="R515">
        <f t="shared" si="3"/>
        <v>0</v>
      </c>
      <c r="S515">
        <f t="shared" si="3"/>
        <v>0</v>
      </c>
      <c r="T515">
        <f t="shared" si="3"/>
        <v>0</v>
      </c>
      <c r="U515">
        <f t="shared" si="3"/>
        <v>0</v>
      </c>
      <c r="V515">
        <f t="shared" si="3"/>
        <v>0</v>
      </c>
      <c r="W515">
        <f t="shared" si="3"/>
        <v>0</v>
      </c>
      <c r="X515">
        <f t="shared" si="3"/>
        <v>0</v>
      </c>
      <c r="Y515">
        <f t="shared" si="3"/>
        <v>0</v>
      </c>
      <c r="Z515">
        <f t="shared" si="3"/>
        <v>0</v>
      </c>
      <c r="AA515">
        <f t="shared" si="3"/>
        <v>0</v>
      </c>
      <c r="AB515">
        <f t="shared" si="3"/>
        <v>0</v>
      </c>
      <c r="AC515">
        <f t="shared" si="3"/>
        <v>0</v>
      </c>
      <c r="AD515">
        <f t="shared" si="3"/>
        <v>0</v>
      </c>
      <c r="AE515">
        <f t="shared" si="3"/>
        <v>0</v>
      </c>
      <c r="AF515">
        <f t="shared" si="3"/>
        <v>0</v>
      </c>
      <c r="AG515">
        <f t="shared" si="3"/>
        <v>0</v>
      </c>
      <c r="AH515" t="s">
        <v>111</v>
      </c>
    </row>
    <row r="516" spans="1:57" x14ac:dyDescent="0.25">
      <c r="A516" t="s">
        <v>41</v>
      </c>
      <c r="B516">
        <f>COUNTIF(B$236:B$418,"&gt;=1000")</f>
        <v>183</v>
      </c>
      <c r="C516">
        <f t="shared" ref="C516:AG516" si="4">COUNTIF(C$236:C$418,"&gt;=1000")</f>
        <v>183</v>
      </c>
      <c r="D516">
        <f t="shared" si="4"/>
        <v>183</v>
      </c>
      <c r="E516">
        <f t="shared" si="4"/>
        <v>183</v>
      </c>
      <c r="F516">
        <f t="shared" si="4"/>
        <v>183</v>
      </c>
      <c r="G516">
        <f t="shared" si="4"/>
        <v>183</v>
      </c>
      <c r="H516">
        <f t="shared" si="4"/>
        <v>183</v>
      </c>
      <c r="I516">
        <f t="shared" si="4"/>
        <v>183</v>
      </c>
      <c r="J516">
        <f t="shared" si="4"/>
        <v>28</v>
      </c>
      <c r="K516">
        <f t="shared" si="4"/>
        <v>3</v>
      </c>
      <c r="L516">
        <f t="shared" si="4"/>
        <v>0</v>
      </c>
      <c r="M516">
        <f t="shared" si="4"/>
        <v>183</v>
      </c>
      <c r="N516">
        <f t="shared" si="4"/>
        <v>155</v>
      </c>
      <c r="O516">
        <f t="shared" si="4"/>
        <v>0</v>
      </c>
      <c r="P516">
        <f t="shared" si="4"/>
        <v>93</v>
      </c>
      <c r="Q516">
        <f t="shared" si="4"/>
        <v>183</v>
      </c>
      <c r="R516">
        <f t="shared" si="4"/>
        <v>0</v>
      </c>
      <c r="S516">
        <f t="shared" si="4"/>
        <v>0</v>
      </c>
      <c r="T516">
        <f t="shared" si="4"/>
        <v>0</v>
      </c>
      <c r="U516">
        <f t="shared" si="4"/>
        <v>0</v>
      </c>
      <c r="V516">
        <f t="shared" si="4"/>
        <v>0</v>
      </c>
      <c r="W516">
        <f t="shared" si="4"/>
        <v>0</v>
      </c>
      <c r="X516">
        <f t="shared" si="4"/>
        <v>0</v>
      </c>
      <c r="Y516">
        <f t="shared" si="4"/>
        <v>0</v>
      </c>
      <c r="Z516">
        <f t="shared" si="4"/>
        <v>0</v>
      </c>
      <c r="AA516">
        <f t="shared" si="4"/>
        <v>0</v>
      </c>
      <c r="AB516">
        <f t="shared" si="4"/>
        <v>0</v>
      </c>
      <c r="AC516">
        <f t="shared" si="4"/>
        <v>0</v>
      </c>
      <c r="AD516">
        <f t="shared" si="4"/>
        <v>0</v>
      </c>
      <c r="AE516">
        <f t="shared" si="4"/>
        <v>0</v>
      </c>
      <c r="AF516">
        <f t="shared" si="4"/>
        <v>0</v>
      </c>
      <c r="AG516">
        <f t="shared" si="4"/>
        <v>0</v>
      </c>
      <c r="AH516" t="s">
        <v>112</v>
      </c>
    </row>
    <row r="517" spans="1:57" x14ac:dyDescent="0.25">
      <c r="A517" t="s">
        <v>42</v>
      </c>
      <c r="B517">
        <f>SUM(B$513,B$514)</f>
        <v>275</v>
      </c>
      <c r="C517">
        <f t="shared" ref="C517:AG517" si="5">SUM(C$513,C$514)</f>
        <v>251</v>
      </c>
      <c r="D517">
        <f t="shared" si="5"/>
        <v>275</v>
      </c>
      <c r="E517">
        <f t="shared" si="5"/>
        <v>275</v>
      </c>
      <c r="F517">
        <f t="shared" si="5"/>
        <v>269</v>
      </c>
      <c r="G517">
        <f t="shared" si="5"/>
        <v>263</v>
      </c>
      <c r="H517">
        <f t="shared" si="5"/>
        <v>275</v>
      </c>
      <c r="I517">
        <f t="shared" si="5"/>
        <v>275</v>
      </c>
      <c r="J517">
        <f t="shared" si="5"/>
        <v>38</v>
      </c>
      <c r="K517">
        <f t="shared" si="5"/>
        <v>23</v>
      </c>
      <c r="L517">
        <f t="shared" si="5"/>
        <v>0</v>
      </c>
      <c r="M517">
        <f t="shared" si="5"/>
        <v>263</v>
      </c>
      <c r="N517">
        <f t="shared" si="5"/>
        <v>163</v>
      </c>
      <c r="O517">
        <f t="shared" si="5"/>
        <v>0</v>
      </c>
      <c r="P517">
        <f t="shared" si="5"/>
        <v>128</v>
      </c>
      <c r="Q517">
        <f t="shared" si="5"/>
        <v>255</v>
      </c>
      <c r="R517">
        <f t="shared" si="5"/>
        <v>0</v>
      </c>
      <c r="S517">
        <f t="shared" si="5"/>
        <v>0</v>
      </c>
      <c r="T517">
        <f t="shared" si="5"/>
        <v>0</v>
      </c>
      <c r="U517">
        <f t="shared" si="5"/>
        <v>0</v>
      </c>
      <c r="V517">
        <f t="shared" si="5"/>
        <v>0</v>
      </c>
      <c r="W517">
        <f t="shared" si="5"/>
        <v>0</v>
      </c>
      <c r="X517">
        <f t="shared" si="5"/>
        <v>0</v>
      </c>
      <c r="Y517">
        <f t="shared" si="5"/>
        <v>0</v>
      </c>
      <c r="Z517">
        <f t="shared" si="5"/>
        <v>0</v>
      </c>
      <c r="AA517">
        <f t="shared" si="5"/>
        <v>0</v>
      </c>
      <c r="AB517">
        <f t="shared" si="5"/>
        <v>0</v>
      </c>
      <c r="AC517">
        <f t="shared" si="5"/>
        <v>5</v>
      </c>
      <c r="AD517">
        <f t="shared" si="5"/>
        <v>0</v>
      </c>
      <c r="AE517">
        <f t="shared" si="5"/>
        <v>16</v>
      </c>
      <c r="AF517">
        <f t="shared" si="5"/>
        <v>0</v>
      </c>
      <c r="AG517">
        <f t="shared" si="5"/>
        <v>0</v>
      </c>
    </row>
    <row r="518" spans="1:57" x14ac:dyDescent="0.25">
      <c r="A518" t="s">
        <v>43</v>
      </c>
      <c r="B518">
        <f>SUM(B$515,B$516)</f>
        <v>234</v>
      </c>
      <c r="C518">
        <f t="shared" ref="C518:AG518" si="6">SUM(C$515,C$516)</f>
        <v>234</v>
      </c>
      <c r="D518">
        <f t="shared" si="6"/>
        <v>234</v>
      </c>
      <c r="E518">
        <f t="shared" si="6"/>
        <v>234</v>
      </c>
      <c r="F518">
        <f t="shared" si="6"/>
        <v>234</v>
      </c>
      <c r="G518">
        <f t="shared" si="6"/>
        <v>234</v>
      </c>
      <c r="H518">
        <f t="shared" si="6"/>
        <v>234</v>
      </c>
      <c r="I518">
        <f t="shared" si="6"/>
        <v>234</v>
      </c>
      <c r="J518">
        <f t="shared" si="6"/>
        <v>74</v>
      </c>
      <c r="K518">
        <f t="shared" si="6"/>
        <v>33</v>
      </c>
      <c r="L518">
        <f t="shared" si="6"/>
        <v>0</v>
      </c>
      <c r="M518">
        <f t="shared" si="6"/>
        <v>234</v>
      </c>
      <c r="N518">
        <f t="shared" si="6"/>
        <v>200</v>
      </c>
      <c r="O518">
        <f t="shared" si="6"/>
        <v>0</v>
      </c>
      <c r="P518">
        <f t="shared" si="6"/>
        <v>130</v>
      </c>
      <c r="Q518">
        <f t="shared" si="6"/>
        <v>234</v>
      </c>
      <c r="R518">
        <f t="shared" si="6"/>
        <v>0</v>
      </c>
      <c r="S518">
        <f t="shared" si="6"/>
        <v>0</v>
      </c>
      <c r="T518">
        <f t="shared" si="6"/>
        <v>0</v>
      </c>
      <c r="U518">
        <f t="shared" si="6"/>
        <v>0</v>
      </c>
      <c r="V518">
        <f t="shared" si="6"/>
        <v>0</v>
      </c>
      <c r="W518">
        <f t="shared" si="6"/>
        <v>0</v>
      </c>
      <c r="X518">
        <f t="shared" si="6"/>
        <v>0</v>
      </c>
      <c r="Y518">
        <f t="shared" si="6"/>
        <v>0</v>
      </c>
      <c r="Z518">
        <f t="shared" si="6"/>
        <v>0</v>
      </c>
      <c r="AA518">
        <f t="shared" si="6"/>
        <v>0</v>
      </c>
      <c r="AB518">
        <f t="shared" si="6"/>
        <v>0</v>
      </c>
      <c r="AC518">
        <f t="shared" si="6"/>
        <v>0</v>
      </c>
      <c r="AD518">
        <f t="shared" si="6"/>
        <v>0</v>
      </c>
      <c r="AE518">
        <f t="shared" si="6"/>
        <v>0</v>
      </c>
      <c r="AF518">
        <f t="shared" si="6"/>
        <v>0</v>
      </c>
      <c r="AG518">
        <f t="shared" si="6"/>
        <v>0</v>
      </c>
    </row>
    <row r="521" spans="1:57" x14ac:dyDescent="0.25">
      <c r="D521" t="s">
        <v>44</v>
      </c>
      <c r="F521" t="s">
        <v>45</v>
      </c>
      <c r="S521" t="s">
        <v>46</v>
      </c>
      <c r="AA521" t="s">
        <v>46</v>
      </c>
      <c r="AE521" t="s">
        <v>46</v>
      </c>
      <c r="AI521" t="s">
        <v>46</v>
      </c>
      <c r="AQ521" t="s">
        <v>46</v>
      </c>
      <c r="AY521" t="s">
        <v>46</v>
      </c>
    </row>
    <row r="522" spans="1:57" x14ac:dyDescent="0.25">
      <c r="F522" t="s">
        <v>47</v>
      </c>
      <c r="S522" t="s">
        <v>48</v>
      </c>
      <c r="AA522" t="s">
        <v>49</v>
      </c>
      <c r="AE522" t="s">
        <v>50</v>
      </c>
      <c r="AI522" t="s">
        <v>48</v>
      </c>
      <c r="AK522" t="s">
        <v>51</v>
      </c>
      <c r="AL522" t="s">
        <v>33</v>
      </c>
      <c r="AM522" t="s">
        <v>34</v>
      </c>
      <c r="AN522" t="s">
        <v>35</v>
      </c>
      <c r="AO522" t="s">
        <v>36</v>
      </c>
      <c r="AQ522" t="s">
        <v>49</v>
      </c>
      <c r="AS522" t="s">
        <v>51</v>
      </c>
      <c r="AT522" t="s">
        <v>33</v>
      </c>
      <c r="AU522" t="s">
        <v>34</v>
      </c>
      <c r="AV522" t="s">
        <v>35</v>
      </c>
      <c r="AW522" t="s">
        <v>36</v>
      </c>
      <c r="AY522" t="s">
        <v>50</v>
      </c>
      <c r="BA522" t="s">
        <v>51</v>
      </c>
      <c r="BB522" t="s">
        <v>33</v>
      </c>
      <c r="BC522" t="s">
        <v>34</v>
      </c>
      <c r="BD522" t="s">
        <v>35</v>
      </c>
      <c r="BE522" t="s">
        <v>36</v>
      </c>
    </row>
    <row r="523" spans="1:57" x14ac:dyDescent="0.25">
      <c r="F523" t="s">
        <v>52</v>
      </c>
      <c r="M523" t="s">
        <v>53</v>
      </c>
      <c r="S523" t="s">
        <v>54</v>
      </c>
      <c r="U523">
        <f>COUNTIF(B2:AG2,"&lt;&gt;")</f>
        <v>32</v>
      </c>
      <c r="AA523" t="s">
        <v>54</v>
      </c>
      <c r="AC523">
        <f>COUNTIF(B2:AG2,"&lt;&gt;")</f>
        <v>32</v>
      </c>
      <c r="AE523" t="s">
        <v>54</v>
      </c>
      <c r="AG523">
        <f>COUNTIF(B2:AG2,"&lt;&gt;")</f>
        <v>32</v>
      </c>
      <c r="AI523" t="s">
        <v>54</v>
      </c>
      <c r="AK523">
        <f>COUNTIF($B$2:$AG$2,"&lt;&gt;")</f>
        <v>32</v>
      </c>
      <c r="AL523">
        <f>COUNTIF($B$2:$I$2,"&lt;&gt;")</f>
        <v>8</v>
      </c>
      <c r="AM523">
        <f>COUNTIF($J$2:$R$2,"&lt;&gt;")</f>
        <v>9</v>
      </c>
      <c r="AN523">
        <f>COUNTIF($S$2:$X$2,"&lt;&gt;")</f>
        <v>6</v>
      </c>
      <c r="AO523">
        <f>COUNTIF($Y$2:$AG$2,"&lt;&gt;")</f>
        <v>9</v>
      </c>
      <c r="AQ523" t="s">
        <v>54</v>
      </c>
      <c r="AS523">
        <f>COUNTIF($B$2:$AG$2,"&lt;&gt;")</f>
        <v>32</v>
      </c>
      <c r="AT523">
        <f>COUNTIF($B$2:$I$2,"&lt;&gt;")</f>
        <v>8</v>
      </c>
      <c r="AU523">
        <f>COUNTIF($J$2:$R$2,"&lt;&gt;")</f>
        <v>9</v>
      </c>
      <c r="AV523">
        <f>COUNTIF($S$2:$X$2,"&lt;&gt;")</f>
        <v>6</v>
      </c>
      <c r="AW523">
        <f>COUNTIF($Y$2:$AG$2,"&lt;&gt;")</f>
        <v>9</v>
      </c>
      <c r="AY523" t="s">
        <v>54</v>
      </c>
      <c r="BA523">
        <f>COUNTIF($B$2:$AG$2,"&lt;&gt;")</f>
        <v>32</v>
      </c>
      <c r="BB523">
        <f>COUNTIF($B$2:$I$2,"&lt;&gt;")</f>
        <v>8</v>
      </c>
      <c r="BC523">
        <f>COUNTIF($J$2:$R$2,"&lt;&gt;")</f>
        <v>9</v>
      </c>
      <c r="BD523">
        <f>COUNTIF($S$2:$X$2,"&lt;&gt;")</f>
        <v>6</v>
      </c>
      <c r="BE523">
        <f>COUNTIF($Y$2:$AG$2,"&lt;&gt;")</f>
        <v>9</v>
      </c>
    </row>
    <row r="524" spans="1:57" x14ac:dyDescent="0.25">
      <c r="F524" t="s">
        <v>55</v>
      </c>
      <c r="H524" t="s">
        <v>113</v>
      </c>
      <c r="J524">
        <f>COUNTIF($B$54:$B$235,"&lt;&gt;")</f>
        <v>182</v>
      </c>
      <c r="M524" t="s">
        <v>56</v>
      </c>
      <c r="S524" t="s">
        <v>57</v>
      </c>
      <c r="U524">
        <f>COUNTIF($A$3:$A$511,"&lt;&gt;")</f>
        <v>509</v>
      </c>
      <c r="AA524" t="s">
        <v>57</v>
      </c>
      <c r="AC524">
        <f>SUM($J$524:$J$525)</f>
        <v>275</v>
      </c>
      <c r="AE524" t="s">
        <v>57</v>
      </c>
      <c r="AG524">
        <f>SUM($Q$525:$Q$526)</f>
        <v>234</v>
      </c>
      <c r="AI524" t="s">
        <v>57</v>
      </c>
      <c r="AK524">
        <f>COUNTIF($A$3:$A$511,"&lt;&gt;")</f>
        <v>509</v>
      </c>
      <c r="AL524">
        <f t="shared" ref="AL524:AO524" si="7">COUNTIF($A$3:$A$511,"&lt;&gt;")</f>
        <v>509</v>
      </c>
      <c r="AM524">
        <f t="shared" si="7"/>
        <v>509</v>
      </c>
      <c r="AN524">
        <f t="shared" si="7"/>
        <v>509</v>
      </c>
      <c r="AO524">
        <f t="shared" si="7"/>
        <v>509</v>
      </c>
      <c r="AQ524" t="s">
        <v>57</v>
      </c>
      <c r="AS524">
        <f>SUM($J$524:$J$525)</f>
        <v>275</v>
      </c>
      <c r="AT524">
        <f t="shared" ref="AT524:AW524" si="8">SUM($J$524:$J$525)</f>
        <v>275</v>
      </c>
      <c r="AU524">
        <f t="shared" si="8"/>
        <v>275</v>
      </c>
      <c r="AV524">
        <f t="shared" si="8"/>
        <v>275</v>
      </c>
      <c r="AW524">
        <f t="shared" si="8"/>
        <v>275</v>
      </c>
      <c r="AY524" t="s">
        <v>57</v>
      </c>
      <c r="BA524">
        <f>SUM($Q$525:$Q$526)</f>
        <v>234</v>
      </c>
      <c r="BB524">
        <f t="shared" ref="BB524:BE524" si="9">SUM($Q$525:$Q$526)</f>
        <v>234</v>
      </c>
      <c r="BC524">
        <f t="shared" si="9"/>
        <v>234</v>
      </c>
      <c r="BD524">
        <f t="shared" si="9"/>
        <v>234</v>
      </c>
      <c r="BE524">
        <f t="shared" si="9"/>
        <v>234</v>
      </c>
    </row>
    <row r="525" spans="1:57" x14ac:dyDescent="0.25">
      <c r="F525" t="s">
        <v>58</v>
      </c>
      <c r="H525" t="s">
        <v>114</v>
      </c>
      <c r="J525">
        <f>COUNTIF($B$419:$B$511,"&lt;&gt;")</f>
        <v>93</v>
      </c>
      <c r="M525" t="s">
        <v>74</v>
      </c>
      <c r="O525" t="s">
        <v>115</v>
      </c>
      <c r="Q525">
        <f>COUNTIF($B$3:$B$53,"&lt;&gt;")</f>
        <v>51</v>
      </c>
      <c r="S525" t="s">
        <v>60</v>
      </c>
      <c r="U525">
        <f>U524*U523</f>
        <v>16288</v>
      </c>
      <c r="V525" t="s">
        <v>61</v>
      </c>
      <c r="AA525" t="s">
        <v>60</v>
      </c>
      <c r="AC525">
        <f>AC524*AC523</f>
        <v>8800</v>
      </c>
      <c r="AE525" t="s">
        <v>60</v>
      </c>
      <c r="AG525">
        <f>AG523*AG524</f>
        <v>7488</v>
      </c>
      <c r="AI525" t="s">
        <v>60</v>
      </c>
      <c r="AK525">
        <f>AK524*AK523</f>
        <v>16288</v>
      </c>
      <c r="AL525">
        <f t="shared" ref="AL525:AO525" si="10">AL524*AL523</f>
        <v>4072</v>
      </c>
      <c r="AM525">
        <f t="shared" si="10"/>
        <v>4581</v>
      </c>
      <c r="AN525">
        <f t="shared" si="10"/>
        <v>3054</v>
      </c>
      <c r="AO525">
        <f t="shared" si="10"/>
        <v>4581</v>
      </c>
      <c r="AQ525" t="s">
        <v>60</v>
      </c>
      <c r="AS525">
        <f>AS524*AS523</f>
        <v>8800</v>
      </c>
      <c r="AT525">
        <f t="shared" ref="AT525:AW525" si="11">AT524*AT523</f>
        <v>2200</v>
      </c>
      <c r="AU525">
        <f t="shared" si="11"/>
        <v>2475</v>
      </c>
      <c r="AV525">
        <f t="shared" si="11"/>
        <v>1650</v>
      </c>
      <c r="AW525">
        <f t="shared" si="11"/>
        <v>2475</v>
      </c>
      <c r="AY525" t="s">
        <v>60</v>
      </c>
      <c r="BA525">
        <f>BA524*BA523</f>
        <v>7488</v>
      </c>
      <c r="BB525">
        <f t="shared" ref="BB525:BE525" si="12">BB524*BB523</f>
        <v>1872</v>
      </c>
      <c r="BC525">
        <f t="shared" si="12"/>
        <v>2106</v>
      </c>
      <c r="BD525">
        <f t="shared" si="12"/>
        <v>1404</v>
      </c>
      <c r="BE525">
        <f t="shared" si="12"/>
        <v>2106</v>
      </c>
    </row>
    <row r="526" spans="1:57" x14ac:dyDescent="0.25">
      <c r="M526" t="s">
        <v>59</v>
      </c>
      <c r="O526" t="s">
        <v>116</v>
      </c>
      <c r="Q526">
        <f>COUNTIF($B$236:$B$418,"&lt;&gt;")</f>
        <v>183</v>
      </c>
      <c r="S526" t="s">
        <v>117</v>
      </c>
      <c r="U526">
        <f>SUM(B512:AG512)</f>
        <v>5826</v>
      </c>
      <c r="V526" t="s">
        <v>62</v>
      </c>
      <c r="AA526" t="s">
        <v>117</v>
      </c>
      <c r="AC526">
        <f>SUM($B$517:$AG$517)</f>
        <v>3049</v>
      </c>
      <c r="AE526" t="s">
        <v>117</v>
      </c>
      <c r="AG526">
        <f>SUM($B$518:$AG$518)</f>
        <v>2777</v>
      </c>
      <c r="AI526" t="s">
        <v>117</v>
      </c>
      <c r="AK526">
        <f>SUM(B512:AG512)</f>
        <v>5826</v>
      </c>
      <c r="AL526">
        <f>SUM(B512:I512)</f>
        <v>4030</v>
      </c>
      <c r="AM526">
        <f>SUM(J512:R512)</f>
        <v>1775</v>
      </c>
      <c r="AN526">
        <f>SUM(S512:X512)</f>
        <v>0</v>
      </c>
      <c r="AO526">
        <f>SUM(Y512:AG512)</f>
        <v>21</v>
      </c>
      <c r="AQ526" t="s">
        <v>117</v>
      </c>
      <c r="AS526">
        <f>SUM(B517:AG517)</f>
        <v>3049</v>
      </c>
      <c r="AT526">
        <f>SUM(B517:I517)</f>
        <v>2158</v>
      </c>
      <c r="AU526">
        <f>SUM(J517:R517)</f>
        <v>870</v>
      </c>
      <c r="AV526">
        <f>SUM(S517:X517)</f>
        <v>0</v>
      </c>
      <c r="AW526">
        <f>SUM(Y517:AG517)</f>
        <v>21</v>
      </c>
      <c r="AY526" t="s">
        <v>117</v>
      </c>
      <c r="BA526">
        <f>SUM($B518:$AG518)</f>
        <v>2777</v>
      </c>
      <c r="BB526">
        <f>SUM(B518:I518)</f>
        <v>1872</v>
      </c>
      <c r="BC526">
        <f>SUM(J518:R518)</f>
        <v>905</v>
      </c>
      <c r="BD526">
        <f>SUM(S518:X518)</f>
        <v>0</v>
      </c>
      <c r="BE526">
        <f>SUM(Y518:AG518)</f>
        <v>0</v>
      </c>
    </row>
    <row r="527" spans="1:57" x14ac:dyDescent="0.25">
      <c r="S527" t="s">
        <v>63</v>
      </c>
      <c r="U527">
        <f>$U526/$U525</f>
        <v>0.35768664047151277</v>
      </c>
      <c r="AA527" t="s">
        <v>64</v>
      </c>
      <c r="AC527">
        <f>AC526/AC525</f>
        <v>0.34647727272727274</v>
      </c>
      <c r="AE527" t="s">
        <v>65</v>
      </c>
      <c r="AG527">
        <f>AG526/AG525</f>
        <v>0.37086004273504275</v>
      </c>
      <c r="AI527" t="s">
        <v>63</v>
      </c>
      <c r="AK527">
        <f>AK526/AK525</f>
        <v>0.35768664047151277</v>
      </c>
      <c r="AL527">
        <f t="shared" ref="AL527:AO527" si="13">AL526/AL525</f>
        <v>0.98968565815324161</v>
      </c>
      <c r="AM527">
        <f t="shared" si="13"/>
        <v>0.38746998471949357</v>
      </c>
      <c r="AN527">
        <f t="shared" si="13"/>
        <v>0</v>
      </c>
      <c r="AO527">
        <f t="shared" si="13"/>
        <v>4.5841519318926003E-3</v>
      </c>
      <c r="AQ527" t="s">
        <v>64</v>
      </c>
      <c r="AS527">
        <f>AS526/AS525</f>
        <v>0.34647727272727274</v>
      </c>
      <c r="AT527">
        <f t="shared" ref="AT527:AW527" si="14">AT526/AT525</f>
        <v>0.98090909090909095</v>
      </c>
      <c r="AU527">
        <f t="shared" si="14"/>
        <v>0.3515151515151515</v>
      </c>
      <c r="AV527">
        <f t="shared" si="14"/>
        <v>0</v>
      </c>
      <c r="AW527">
        <f t="shared" si="14"/>
        <v>8.4848484848484857E-3</v>
      </c>
      <c r="AY527" t="s">
        <v>65</v>
      </c>
      <c r="BA527">
        <f>BA526/BA525</f>
        <v>0.37086004273504275</v>
      </c>
      <c r="BB527">
        <f t="shared" ref="BB527:BE527" si="15">BB526/BB525</f>
        <v>1</v>
      </c>
      <c r="BC527">
        <f t="shared" si="15"/>
        <v>0.42972459639126304</v>
      </c>
      <c r="BD527">
        <f t="shared" si="15"/>
        <v>0</v>
      </c>
      <c r="BE527">
        <f t="shared" si="15"/>
        <v>0</v>
      </c>
    </row>
    <row r="529" spans="1:57" x14ac:dyDescent="0.25">
      <c r="A529" t="s">
        <v>37</v>
      </c>
      <c r="B529">
        <f>COUNTIF(B$3:B$511,"&gt;=2640")</f>
        <v>509</v>
      </c>
      <c r="C529">
        <f t="shared" ref="C529:AG529" si="16">COUNTIF(C$3:C$511,"&gt;=2640")</f>
        <v>438</v>
      </c>
      <c r="D529">
        <f t="shared" si="16"/>
        <v>452</v>
      </c>
      <c r="E529">
        <f t="shared" si="16"/>
        <v>509</v>
      </c>
      <c r="F529">
        <f t="shared" si="16"/>
        <v>496</v>
      </c>
      <c r="G529">
        <f t="shared" si="16"/>
        <v>483</v>
      </c>
      <c r="H529">
        <f t="shared" si="16"/>
        <v>509</v>
      </c>
      <c r="I529">
        <f t="shared" si="16"/>
        <v>507</v>
      </c>
      <c r="J529">
        <f t="shared" si="16"/>
        <v>0</v>
      </c>
      <c r="K529">
        <f t="shared" si="16"/>
        <v>0</v>
      </c>
      <c r="L529">
        <f t="shared" si="16"/>
        <v>0</v>
      </c>
      <c r="M529">
        <f t="shared" si="16"/>
        <v>476</v>
      </c>
      <c r="N529">
        <f t="shared" si="16"/>
        <v>106</v>
      </c>
      <c r="O529">
        <f t="shared" si="16"/>
        <v>0</v>
      </c>
      <c r="P529">
        <f t="shared" si="16"/>
        <v>3</v>
      </c>
      <c r="Q529">
        <f t="shared" si="16"/>
        <v>444</v>
      </c>
      <c r="R529">
        <f t="shared" si="16"/>
        <v>0</v>
      </c>
      <c r="S529">
        <f t="shared" si="16"/>
        <v>0</v>
      </c>
      <c r="T529">
        <f t="shared" si="16"/>
        <v>0</v>
      </c>
      <c r="U529">
        <f t="shared" si="16"/>
        <v>0</v>
      </c>
      <c r="V529">
        <f t="shared" si="16"/>
        <v>0</v>
      </c>
      <c r="W529">
        <f t="shared" si="16"/>
        <v>0</v>
      </c>
      <c r="X529">
        <f t="shared" si="16"/>
        <v>0</v>
      </c>
      <c r="Y529">
        <f t="shared" si="16"/>
        <v>0</v>
      </c>
      <c r="Z529">
        <f t="shared" si="16"/>
        <v>0</v>
      </c>
      <c r="AA529">
        <f t="shared" si="16"/>
        <v>0</v>
      </c>
      <c r="AB529">
        <f t="shared" si="16"/>
        <v>0</v>
      </c>
      <c r="AC529">
        <f t="shared" si="16"/>
        <v>0</v>
      </c>
      <c r="AD529">
        <f t="shared" si="16"/>
        <v>0</v>
      </c>
      <c r="AE529">
        <f t="shared" si="16"/>
        <v>0</v>
      </c>
      <c r="AF529">
        <f t="shared" si="16"/>
        <v>0</v>
      </c>
      <c r="AG529">
        <f t="shared" si="16"/>
        <v>0</v>
      </c>
    </row>
    <row r="530" spans="1:57" x14ac:dyDescent="0.25">
      <c r="A530" t="s">
        <v>38</v>
      </c>
      <c r="B530">
        <f>COUNTIF(B$54:B$235,"&gt;=2640")</f>
        <v>182</v>
      </c>
      <c r="C530">
        <f t="shared" ref="C530:AG530" si="17">COUNTIF(C$54:C$235,"&gt;=2640")</f>
        <v>141</v>
      </c>
      <c r="D530">
        <f t="shared" si="17"/>
        <v>146</v>
      </c>
      <c r="E530">
        <f t="shared" si="17"/>
        <v>182</v>
      </c>
      <c r="F530">
        <f t="shared" si="17"/>
        <v>182</v>
      </c>
      <c r="G530">
        <f t="shared" si="17"/>
        <v>177</v>
      </c>
      <c r="H530">
        <f t="shared" si="17"/>
        <v>182</v>
      </c>
      <c r="I530">
        <f t="shared" si="17"/>
        <v>182</v>
      </c>
      <c r="J530">
        <f t="shared" si="17"/>
        <v>0</v>
      </c>
      <c r="K530">
        <f t="shared" si="17"/>
        <v>0</v>
      </c>
      <c r="L530">
        <f t="shared" si="17"/>
        <v>0</v>
      </c>
      <c r="M530">
        <f t="shared" si="17"/>
        <v>172</v>
      </c>
      <c r="N530">
        <f t="shared" si="17"/>
        <v>11</v>
      </c>
      <c r="O530">
        <f t="shared" si="17"/>
        <v>0</v>
      </c>
      <c r="P530">
        <f t="shared" si="17"/>
        <v>0</v>
      </c>
      <c r="Q530">
        <f t="shared" si="17"/>
        <v>144</v>
      </c>
      <c r="R530">
        <f t="shared" si="17"/>
        <v>0</v>
      </c>
      <c r="S530">
        <f t="shared" si="17"/>
        <v>0</v>
      </c>
      <c r="T530">
        <f t="shared" si="17"/>
        <v>0</v>
      </c>
      <c r="U530">
        <f t="shared" si="17"/>
        <v>0</v>
      </c>
      <c r="V530">
        <f t="shared" si="17"/>
        <v>0</v>
      </c>
      <c r="W530">
        <f t="shared" si="17"/>
        <v>0</v>
      </c>
      <c r="X530">
        <f t="shared" si="17"/>
        <v>0</v>
      </c>
      <c r="Y530">
        <f t="shared" si="17"/>
        <v>0</v>
      </c>
      <c r="Z530">
        <f t="shared" si="17"/>
        <v>0</v>
      </c>
      <c r="AA530">
        <f t="shared" si="17"/>
        <v>0</v>
      </c>
      <c r="AB530">
        <f t="shared" si="17"/>
        <v>0</v>
      </c>
      <c r="AC530">
        <f t="shared" si="17"/>
        <v>0</v>
      </c>
      <c r="AD530">
        <f t="shared" si="17"/>
        <v>0</v>
      </c>
      <c r="AE530">
        <f t="shared" si="17"/>
        <v>0</v>
      </c>
      <c r="AF530">
        <f t="shared" si="17"/>
        <v>0</v>
      </c>
      <c r="AG530">
        <f t="shared" si="17"/>
        <v>0</v>
      </c>
      <c r="AH530" t="s">
        <v>109</v>
      </c>
    </row>
    <row r="531" spans="1:57" x14ac:dyDescent="0.25">
      <c r="A531" t="s">
        <v>39</v>
      </c>
      <c r="B531">
        <f>COUNTIF(B$419:B$511,"&gt;=2640")</f>
        <v>93</v>
      </c>
      <c r="C531">
        <f t="shared" ref="C531:AG531" si="18">COUNTIF(C$419:C$511,"&gt;=2640")</f>
        <v>64</v>
      </c>
      <c r="D531">
        <f t="shared" si="18"/>
        <v>75</v>
      </c>
      <c r="E531">
        <f t="shared" si="18"/>
        <v>93</v>
      </c>
      <c r="F531">
        <f t="shared" si="18"/>
        <v>80</v>
      </c>
      <c r="G531">
        <f t="shared" si="18"/>
        <v>72</v>
      </c>
      <c r="H531">
        <f t="shared" si="18"/>
        <v>93</v>
      </c>
      <c r="I531">
        <f t="shared" si="18"/>
        <v>91</v>
      </c>
      <c r="J531">
        <f t="shared" si="18"/>
        <v>0</v>
      </c>
      <c r="K531">
        <f t="shared" si="18"/>
        <v>0</v>
      </c>
      <c r="L531">
        <f t="shared" si="18"/>
        <v>0</v>
      </c>
      <c r="M531">
        <f t="shared" si="18"/>
        <v>70</v>
      </c>
      <c r="N531">
        <f t="shared" si="18"/>
        <v>21</v>
      </c>
      <c r="O531">
        <f t="shared" si="18"/>
        <v>0</v>
      </c>
      <c r="P531">
        <f t="shared" si="18"/>
        <v>0</v>
      </c>
      <c r="Q531">
        <f t="shared" si="18"/>
        <v>66</v>
      </c>
      <c r="R531">
        <f t="shared" si="18"/>
        <v>0</v>
      </c>
      <c r="S531">
        <f t="shared" si="18"/>
        <v>0</v>
      </c>
      <c r="T531">
        <f t="shared" si="18"/>
        <v>0</v>
      </c>
      <c r="U531">
        <f t="shared" si="18"/>
        <v>0</v>
      </c>
      <c r="V531">
        <f t="shared" si="18"/>
        <v>0</v>
      </c>
      <c r="W531">
        <f t="shared" si="18"/>
        <v>0</v>
      </c>
      <c r="X531">
        <f t="shared" si="18"/>
        <v>0</v>
      </c>
      <c r="Y531">
        <f t="shared" si="18"/>
        <v>0</v>
      </c>
      <c r="Z531">
        <f t="shared" si="18"/>
        <v>0</v>
      </c>
      <c r="AA531">
        <f t="shared" si="18"/>
        <v>0</v>
      </c>
      <c r="AB531">
        <f t="shared" si="18"/>
        <v>0</v>
      </c>
      <c r="AC531">
        <f t="shared" si="18"/>
        <v>0</v>
      </c>
      <c r="AD531">
        <f t="shared" si="18"/>
        <v>0</v>
      </c>
      <c r="AE531">
        <f t="shared" si="18"/>
        <v>0</v>
      </c>
      <c r="AF531">
        <f t="shared" si="18"/>
        <v>0</v>
      </c>
      <c r="AG531">
        <f t="shared" si="18"/>
        <v>0</v>
      </c>
      <c r="AH531" t="s">
        <v>110</v>
      </c>
    </row>
    <row r="532" spans="1:57" x14ac:dyDescent="0.25">
      <c r="A532" t="s">
        <v>40</v>
      </c>
      <c r="B532">
        <f>COUNTIF(B$3:B$53,"&gt;=2640")</f>
        <v>51</v>
      </c>
      <c r="C532">
        <f t="shared" ref="C532:AG532" si="19">COUNTIF(C$3:C$53,"&gt;=2640")</f>
        <v>51</v>
      </c>
      <c r="D532">
        <f t="shared" si="19"/>
        <v>51</v>
      </c>
      <c r="E532">
        <f t="shared" si="19"/>
        <v>51</v>
      </c>
      <c r="F532">
        <f t="shared" si="19"/>
        <v>51</v>
      </c>
      <c r="G532">
        <f t="shared" si="19"/>
        <v>51</v>
      </c>
      <c r="H532">
        <f t="shared" si="19"/>
        <v>51</v>
      </c>
      <c r="I532">
        <f t="shared" si="19"/>
        <v>51</v>
      </c>
      <c r="J532">
        <f t="shared" si="19"/>
        <v>0</v>
      </c>
      <c r="K532">
        <f t="shared" si="19"/>
        <v>0</v>
      </c>
      <c r="L532">
        <f t="shared" si="19"/>
        <v>0</v>
      </c>
      <c r="M532">
        <f t="shared" si="19"/>
        <v>51</v>
      </c>
      <c r="N532">
        <f t="shared" si="19"/>
        <v>12</v>
      </c>
      <c r="O532">
        <f t="shared" si="19"/>
        <v>0</v>
      </c>
      <c r="P532">
        <f t="shared" si="19"/>
        <v>3</v>
      </c>
      <c r="Q532">
        <f t="shared" si="19"/>
        <v>51</v>
      </c>
      <c r="R532">
        <f t="shared" si="19"/>
        <v>0</v>
      </c>
      <c r="S532">
        <f t="shared" si="19"/>
        <v>0</v>
      </c>
      <c r="T532">
        <f t="shared" si="19"/>
        <v>0</v>
      </c>
      <c r="U532">
        <f t="shared" si="19"/>
        <v>0</v>
      </c>
      <c r="V532">
        <f t="shared" si="19"/>
        <v>0</v>
      </c>
      <c r="W532">
        <f t="shared" si="19"/>
        <v>0</v>
      </c>
      <c r="X532">
        <f t="shared" si="19"/>
        <v>0</v>
      </c>
      <c r="Y532">
        <f t="shared" si="19"/>
        <v>0</v>
      </c>
      <c r="Z532">
        <f t="shared" si="19"/>
        <v>0</v>
      </c>
      <c r="AA532">
        <f t="shared" si="19"/>
        <v>0</v>
      </c>
      <c r="AB532">
        <f t="shared" si="19"/>
        <v>0</v>
      </c>
      <c r="AC532">
        <f t="shared" si="19"/>
        <v>0</v>
      </c>
      <c r="AD532">
        <f t="shared" si="19"/>
        <v>0</v>
      </c>
      <c r="AE532">
        <f t="shared" si="19"/>
        <v>0</v>
      </c>
      <c r="AF532">
        <f t="shared" si="19"/>
        <v>0</v>
      </c>
      <c r="AG532">
        <f t="shared" si="19"/>
        <v>0</v>
      </c>
      <c r="AH532" t="s">
        <v>111</v>
      </c>
    </row>
    <row r="533" spans="1:57" x14ac:dyDescent="0.25">
      <c r="A533" t="s">
        <v>41</v>
      </c>
      <c r="B533">
        <f>COUNTIF(B$236:B$418,"&gt;=2640")</f>
        <v>183</v>
      </c>
      <c r="C533">
        <f t="shared" ref="C533:AG533" si="20">COUNTIF(C$236:C$418,"&gt;=2640")</f>
        <v>182</v>
      </c>
      <c r="D533">
        <f t="shared" si="20"/>
        <v>180</v>
      </c>
      <c r="E533">
        <f t="shared" si="20"/>
        <v>183</v>
      </c>
      <c r="F533">
        <f t="shared" si="20"/>
        <v>183</v>
      </c>
      <c r="G533">
        <f t="shared" si="20"/>
        <v>183</v>
      </c>
      <c r="H533">
        <f t="shared" si="20"/>
        <v>183</v>
      </c>
      <c r="I533">
        <f t="shared" si="20"/>
        <v>183</v>
      </c>
      <c r="J533">
        <f t="shared" si="20"/>
        <v>0</v>
      </c>
      <c r="K533">
        <f t="shared" si="20"/>
        <v>0</v>
      </c>
      <c r="L533">
        <f t="shared" si="20"/>
        <v>0</v>
      </c>
      <c r="M533">
        <f t="shared" si="20"/>
        <v>183</v>
      </c>
      <c r="N533">
        <f t="shared" si="20"/>
        <v>62</v>
      </c>
      <c r="O533">
        <f t="shared" si="20"/>
        <v>0</v>
      </c>
      <c r="P533">
        <f t="shared" si="20"/>
        <v>0</v>
      </c>
      <c r="Q533">
        <f t="shared" si="20"/>
        <v>183</v>
      </c>
      <c r="R533">
        <f t="shared" si="20"/>
        <v>0</v>
      </c>
      <c r="S533">
        <f t="shared" si="20"/>
        <v>0</v>
      </c>
      <c r="T533">
        <f t="shared" si="20"/>
        <v>0</v>
      </c>
      <c r="U533">
        <f t="shared" si="20"/>
        <v>0</v>
      </c>
      <c r="V533">
        <f t="shared" si="20"/>
        <v>0</v>
      </c>
      <c r="W533">
        <f t="shared" si="20"/>
        <v>0</v>
      </c>
      <c r="X533">
        <f t="shared" si="20"/>
        <v>0</v>
      </c>
      <c r="Y533">
        <f t="shared" si="20"/>
        <v>0</v>
      </c>
      <c r="Z533">
        <f t="shared" si="20"/>
        <v>0</v>
      </c>
      <c r="AA533">
        <f t="shared" si="20"/>
        <v>0</v>
      </c>
      <c r="AB533">
        <f t="shared" si="20"/>
        <v>0</v>
      </c>
      <c r="AC533">
        <f t="shared" si="20"/>
        <v>0</v>
      </c>
      <c r="AD533">
        <f t="shared" si="20"/>
        <v>0</v>
      </c>
      <c r="AE533">
        <f t="shared" si="20"/>
        <v>0</v>
      </c>
      <c r="AF533">
        <f t="shared" si="20"/>
        <v>0</v>
      </c>
      <c r="AG533">
        <f t="shared" si="20"/>
        <v>0</v>
      </c>
      <c r="AH533" t="s">
        <v>112</v>
      </c>
    </row>
    <row r="534" spans="1:57" x14ac:dyDescent="0.25">
      <c r="A534" t="s">
        <v>42</v>
      </c>
      <c r="B534">
        <f>SUM(B530,B531)</f>
        <v>275</v>
      </c>
      <c r="C534">
        <f t="shared" ref="C534:AG534" si="21">SUM(C530,C531)</f>
        <v>205</v>
      </c>
      <c r="D534">
        <f t="shared" si="21"/>
        <v>221</v>
      </c>
      <c r="E534">
        <f t="shared" si="21"/>
        <v>275</v>
      </c>
      <c r="F534">
        <f t="shared" si="21"/>
        <v>262</v>
      </c>
      <c r="G534">
        <f t="shared" si="21"/>
        <v>249</v>
      </c>
      <c r="H534">
        <f t="shared" si="21"/>
        <v>275</v>
      </c>
      <c r="I534">
        <f t="shared" si="21"/>
        <v>273</v>
      </c>
      <c r="J534">
        <f t="shared" si="21"/>
        <v>0</v>
      </c>
      <c r="K534">
        <f t="shared" si="21"/>
        <v>0</v>
      </c>
      <c r="L534">
        <f t="shared" si="21"/>
        <v>0</v>
      </c>
      <c r="M534">
        <f t="shared" si="21"/>
        <v>242</v>
      </c>
      <c r="N534">
        <f t="shared" si="21"/>
        <v>32</v>
      </c>
      <c r="O534">
        <f t="shared" si="21"/>
        <v>0</v>
      </c>
      <c r="P534">
        <f t="shared" si="21"/>
        <v>0</v>
      </c>
      <c r="Q534">
        <f t="shared" si="21"/>
        <v>210</v>
      </c>
      <c r="R534">
        <f t="shared" si="21"/>
        <v>0</v>
      </c>
      <c r="S534">
        <f t="shared" si="21"/>
        <v>0</v>
      </c>
      <c r="T534">
        <f t="shared" si="21"/>
        <v>0</v>
      </c>
      <c r="U534">
        <f t="shared" si="21"/>
        <v>0</v>
      </c>
      <c r="V534">
        <f t="shared" si="21"/>
        <v>0</v>
      </c>
      <c r="W534">
        <f t="shared" si="21"/>
        <v>0</v>
      </c>
      <c r="X534">
        <f t="shared" si="21"/>
        <v>0</v>
      </c>
      <c r="Y534">
        <f t="shared" si="21"/>
        <v>0</v>
      </c>
      <c r="Z534">
        <f t="shared" si="21"/>
        <v>0</v>
      </c>
      <c r="AA534">
        <f t="shared" si="21"/>
        <v>0</v>
      </c>
      <c r="AB534">
        <f t="shared" si="21"/>
        <v>0</v>
      </c>
      <c r="AC534">
        <f t="shared" si="21"/>
        <v>0</v>
      </c>
      <c r="AD534">
        <f t="shared" si="21"/>
        <v>0</v>
      </c>
      <c r="AE534">
        <f t="shared" si="21"/>
        <v>0</v>
      </c>
      <c r="AF534">
        <f t="shared" si="21"/>
        <v>0</v>
      </c>
      <c r="AG534">
        <f t="shared" si="21"/>
        <v>0</v>
      </c>
    </row>
    <row r="535" spans="1:57" x14ac:dyDescent="0.25">
      <c r="A535" t="s">
        <v>43</v>
      </c>
      <c r="B535">
        <f>SUM(B532,B533)</f>
        <v>234</v>
      </c>
      <c r="C535">
        <f t="shared" ref="C535:AG535" si="22">SUM(C532,C533)</f>
        <v>233</v>
      </c>
      <c r="D535">
        <f t="shared" si="22"/>
        <v>231</v>
      </c>
      <c r="E535">
        <f t="shared" si="22"/>
        <v>234</v>
      </c>
      <c r="F535">
        <f t="shared" si="22"/>
        <v>234</v>
      </c>
      <c r="G535">
        <f t="shared" si="22"/>
        <v>234</v>
      </c>
      <c r="H535">
        <f t="shared" si="22"/>
        <v>234</v>
      </c>
      <c r="I535">
        <f t="shared" si="22"/>
        <v>234</v>
      </c>
      <c r="J535">
        <f t="shared" si="22"/>
        <v>0</v>
      </c>
      <c r="K535">
        <f t="shared" si="22"/>
        <v>0</v>
      </c>
      <c r="L535">
        <f t="shared" si="22"/>
        <v>0</v>
      </c>
      <c r="M535">
        <f t="shared" si="22"/>
        <v>234</v>
      </c>
      <c r="N535">
        <f t="shared" si="22"/>
        <v>74</v>
      </c>
      <c r="O535">
        <f t="shared" si="22"/>
        <v>0</v>
      </c>
      <c r="P535">
        <f t="shared" si="22"/>
        <v>3</v>
      </c>
      <c r="Q535">
        <f t="shared" si="22"/>
        <v>234</v>
      </c>
      <c r="R535">
        <f t="shared" si="22"/>
        <v>0</v>
      </c>
      <c r="S535">
        <f t="shared" si="22"/>
        <v>0</v>
      </c>
      <c r="T535">
        <f t="shared" si="22"/>
        <v>0</v>
      </c>
      <c r="U535">
        <f t="shared" si="22"/>
        <v>0</v>
      </c>
      <c r="V535">
        <f t="shared" si="22"/>
        <v>0</v>
      </c>
      <c r="W535">
        <f t="shared" si="22"/>
        <v>0</v>
      </c>
      <c r="X535">
        <f t="shared" si="22"/>
        <v>0</v>
      </c>
      <c r="Y535">
        <f t="shared" si="22"/>
        <v>0</v>
      </c>
      <c r="Z535">
        <f t="shared" si="22"/>
        <v>0</v>
      </c>
      <c r="AA535">
        <f t="shared" si="22"/>
        <v>0</v>
      </c>
      <c r="AB535">
        <f t="shared" si="22"/>
        <v>0</v>
      </c>
      <c r="AC535">
        <f t="shared" si="22"/>
        <v>0</v>
      </c>
      <c r="AD535">
        <f t="shared" si="22"/>
        <v>0</v>
      </c>
      <c r="AE535">
        <f t="shared" si="22"/>
        <v>0</v>
      </c>
      <c r="AF535">
        <f t="shared" si="22"/>
        <v>0</v>
      </c>
      <c r="AG535">
        <f t="shared" si="22"/>
        <v>0</v>
      </c>
    </row>
    <row r="538" spans="1:57" x14ac:dyDescent="0.25">
      <c r="D538" t="s">
        <v>66</v>
      </c>
      <c r="F538" t="s">
        <v>67</v>
      </c>
      <c r="S538" t="s">
        <v>68</v>
      </c>
      <c r="AA538" t="s">
        <v>68</v>
      </c>
      <c r="AE538" t="s">
        <v>68</v>
      </c>
      <c r="AI538" t="s">
        <v>68</v>
      </c>
      <c r="AQ538" t="s">
        <v>68</v>
      </c>
      <c r="AY538" t="s">
        <v>68</v>
      </c>
    </row>
    <row r="539" spans="1:57" x14ac:dyDescent="0.25">
      <c r="F539" t="s">
        <v>47</v>
      </c>
      <c r="S539" t="s">
        <v>48</v>
      </c>
      <c r="AA539" t="s">
        <v>49</v>
      </c>
      <c r="AE539" t="s">
        <v>50</v>
      </c>
      <c r="AI539" t="s">
        <v>48</v>
      </c>
      <c r="AK539" t="s">
        <v>51</v>
      </c>
      <c r="AL539" t="s">
        <v>33</v>
      </c>
      <c r="AM539" t="s">
        <v>34</v>
      </c>
      <c r="AN539" t="s">
        <v>35</v>
      </c>
      <c r="AO539" t="s">
        <v>36</v>
      </c>
      <c r="AQ539" t="s">
        <v>49</v>
      </c>
      <c r="AS539" t="s">
        <v>51</v>
      </c>
      <c r="AT539" t="s">
        <v>33</v>
      </c>
      <c r="AU539" t="s">
        <v>34</v>
      </c>
      <c r="AV539" t="s">
        <v>35</v>
      </c>
      <c r="AW539" t="s">
        <v>36</v>
      </c>
      <c r="AY539" t="s">
        <v>50</v>
      </c>
      <c r="BA539" t="s">
        <v>51</v>
      </c>
      <c r="BB539" t="s">
        <v>33</v>
      </c>
      <c r="BC539" t="s">
        <v>34</v>
      </c>
      <c r="BD539" t="s">
        <v>35</v>
      </c>
      <c r="BE539" t="s">
        <v>36</v>
      </c>
    </row>
    <row r="540" spans="1:57" x14ac:dyDescent="0.25">
      <c r="F540" t="s">
        <v>52</v>
      </c>
      <c r="M540" t="s">
        <v>53</v>
      </c>
      <c r="S540" t="s">
        <v>54</v>
      </c>
      <c r="U540">
        <f>COUNTIF(B18:AG18,"&lt;&gt;")</f>
        <v>32</v>
      </c>
      <c r="AA540" t="s">
        <v>54</v>
      </c>
      <c r="AC540">
        <f>COUNTIF(B18:AG18,"&lt;&gt;")</f>
        <v>32</v>
      </c>
      <c r="AE540" t="s">
        <v>54</v>
      </c>
      <c r="AG540">
        <f>COUNTIF(B18:AG18,"&lt;&gt;")</f>
        <v>32</v>
      </c>
      <c r="AI540" t="s">
        <v>54</v>
      </c>
      <c r="AK540">
        <f>COUNTIF($B$2:$AG$2,"&lt;&gt;")</f>
        <v>32</v>
      </c>
      <c r="AL540">
        <f>COUNTIF($B$2:$I$2,"&lt;&gt;")</f>
        <v>8</v>
      </c>
      <c r="AM540">
        <f>COUNTIF($J$2:$R$2,"&lt;&gt;")</f>
        <v>9</v>
      </c>
      <c r="AN540">
        <f>COUNTIF($S$2:$X$2,"&lt;&gt;")</f>
        <v>6</v>
      </c>
      <c r="AO540">
        <f>COUNTIF($Y$2:$AG$2,"&lt;&gt;")</f>
        <v>9</v>
      </c>
      <c r="AQ540" t="s">
        <v>54</v>
      </c>
      <c r="AS540">
        <f>COUNTIF($B$2:$AG$2,"&lt;&gt;")</f>
        <v>32</v>
      </c>
      <c r="AT540">
        <f>COUNTIF($B$2:$I$2,"&lt;&gt;")</f>
        <v>8</v>
      </c>
      <c r="AU540">
        <f>COUNTIF($J$2:$R$2,"&lt;&gt;")</f>
        <v>9</v>
      </c>
      <c r="AV540">
        <f>COUNTIF($S$2:$X$2,"&lt;&gt;")</f>
        <v>6</v>
      </c>
      <c r="AW540">
        <f>COUNTIF($Y$2:$AG$2,"&lt;&gt;")</f>
        <v>9</v>
      </c>
      <c r="AY540" t="s">
        <v>54</v>
      </c>
      <c r="BA540">
        <f>COUNTIF($B$2:$AG$2,"&lt;&gt;")</f>
        <v>32</v>
      </c>
      <c r="BB540">
        <f>COUNTIF($B$2:$I$2,"&lt;&gt;")</f>
        <v>8</v>
      </c>
      <c r="BC540">
        <f>COUNTIF($J$2:$R$2,"&lt;&gt;")</f>
        <v>9</v>
      </c>
      <c r="BD540">
        <f>COUNTIF($S$2:$X$2,"&lt;&gt;")</f>
        <v>6</v>
      </c>
      <c r="BE540">
        <f>COUNTIF($Y$2:$AG$2,"&lt;&gt;")</f>
        <v>9</v>
      </c>
    </row>
    <row r="541" spans="1:57" x14ac:dyDescent="0.25">
      <c r="F541" t="s">
        <v>55</v>
      </c>
      <c r="H541" t="s">
        <v>113</v>
      </c>
      <c r="J541">
        <f>COUNTIF($B$54:$B$235,"&lt;&gt;")</f>
        <v>182</v>
      </c>
      <c r="M541" t="s">
        <v>56</v>
      </c>
      <c r="S541" t="s">
        <v>57</v>
      </c>
      <c r="U541">
        <f>COUNTIF($A$3:$A$511,"&lt;&gt;")</f>
        <v>509</v>
      </c>
      <c r="AA541" t="s">
        <v>57</v>
      </c>
      <c r="AC541">
        <f>SUM($J$524:$J$525)</f>
        <v>275</v>
      </c>
      <c r="AE541" t="s">
        <v>57</v>
      </c>
      <c r="AG541">
        <f>SUM($Q$525:$Q$526)</f>
        <v>234</v>
      </c>
      <c r="AI541" t="s">
        <v>57</v>
      </c>
      <c r="AK541">
        <f>COUNTIF($A$3:$A$511,"&lt;&gt;")</f>
        <v>509</v>
      </c>
      <c r="AL541">
        <f t="shared" ref="AL541:AO541" si="23">COUNTIF($A$3:$A$511,"&lt;&gt;")</f>
        <v>509</v>
      </c>
      <c r="AM541">
        <f t="shared" si="23"/>
        <v>509</v>
      </c>
      <c r="AN541">
        <f t="shared" si="23"/>
        <v>509</v>
      </c>
      <c r="AO541">
        <f t="shared" si="23"/>
        <v>509</v>
      </c>
      <c r="AQ541" t="s">
        <v>57</v>
      </c>
      <c r="AS541">
        <f>SUM($J$524:$J$525)</f>
        <v>275</v>
      </c>
      <c r="AT541">
        <f t="shared" ref="AT541:AW541" si="24">SUM($J$524:$J$525)</f>
        <v>275</v>
      </c>
      <c r="AU541">
        <f t="shared" si="24"/>
        <v>275</v>
      </c>
      <c r="AV541">
        <f t="shared" si="24"/>
        <v>275</v>
      </c>
      <c r="AW541">
        <f t="shared" si="24"/>
        <v>275</v>
      </c>
      <c r="AY541" t="s">
        <v>57</v>
      </c>
      <c r="BA541">
        <f>SUM($Q$525:$Q$526)</f>
        <v>234</v>
      </c>
      <c r="BB541">
        <f t="shared" ref="BB541:BE541" si="25">SUM($Q$525:$Q$526)</f>
        <v>234</v>
      </c>
      <c r="BC541">
        <f t="shared" si="25"/>
        <v>234</v>
      </c>
      <c r="BD541">
        <f t="shared" si="25"/>
        <v>234</v>
      </c>
      <c r="BE541">
        <f t="shared" si="25"/>
        <v>234</v>
      </c>
    </row>
    <row r="542" spans="1:57" x14ac:dyDescent="0.25">
      <c r="F542" t="s">
        <v>58</v>
      </c>
      <c r="H542" t="s">
        <v>114</v>
      </c>
      <c r="J542">
        <f>COUNTIF($B$419:$B$511,"&lt;&gt;")</f>
        <v>93</v>
      </c>
      <c r="M542" t="s">
        <v>74</v>
      </c>
      <c r="O542" t="s">
        <v>115</v>
      </c>
      <c r="Q542">
        <f>COUNTIF($B$3:$B$53,"&lt;&gt;")</f>
        <v>51</v>
      </c>
      <c r="S542" t="s">
        <v>60</v>
      </c>
      <c r="U542">
        <f>U541*U540</f>
        <v>16288</v>
      </c>
      <c r="V542" t="s">
        <v>61</v>
      </c>
      <c r="AA542" t="s">
        <v>60</v>
      </c>
      <c r="AC542">
        <f>AC541*AC540</f>
        <v>8800</v>
      </c>
      <c r="AE542" t="s">
        <v>60</v>
      </c>
      <c r="AG542">
        <f>AG540*AG541</f>
        <v>7488</v>
      </c>
      <c r="AI542" t="s">
        <v>60</v>
      </c>
      <c r="AK542">
        <f>AK541*AK540</f>
        <v>16288</v>
      </c>
      <c r="AL542">
        <f t="shared" ref="AL542:AO542" si="26">AL541*AL540</f>
        <v>4072</v>
      </c>
      <c r="AM542">
        <f t="shared" si="26"/>
        <v>4581</v>
      </c>
      <c r="AN542">
        <f t="shared" si="26"/>
        <v>3054</v>
      </c>
      <c r="AO542">
        <f t="shared" si="26"/>
        <v>4581</v>
      </c>
      <c r="AQ542" t="s">
        <v>60</v>
      </c>
      <c r="AS542">
        <f>AS541*AS540</f>
        <v>8800</v>
      </c>
      <c r="AT542">
        <f t="shared" ref="AT542:AW542" si="27">AT541*AT540</f>
        <v>2200</v>
      </c>
      <c r="AU542">
        <f t="shared" si="27"/>
        <v>2475</v>
      </c>
      <c r="AV542">
        <f t="shared" si="27"/>
        <v>1650</v>
      </c>
      <c r="AW542">
        <f t="shared" si="27"/>
        <v>2475</v>
      </c>
      <c r="AY542" t="s">
        <v>60</v>
      </c>
      <c r="BA542">
        <f>BA541*BA540</f>
        <v>7488</v>
      </c>
      <c r="BB542">
        <f t="shared" ref="BB542:BE542" si="28">BB541*BB540</f>
        <v>1872</v>
      </c>
      <c r="BC542">
        <f t="shared" si="28"/>
        <v>2106</v>
      </c>
      <c r="BD542">
        <f t="shared" si="28"/>
        <v>1404</v>
      </c>
      <c r="BE542">
        <f t="shared" si="28"/>
        <v>2106</v>
      </c>
    </row>
    <row r="543" spans="1:57" x14ac:dyDescent="0.25">
      <c r="M543" t="s">
        <v>59</v>
      </c>
      <c r="O543" t="s">
        <v>116</v>
      </c>
      <c r="Q543">
        <f>COUNTIF($B$236:$B$418,"&lt;&gt;")</f>
        <v>183</v>
      </c>
      <c r="S543" t="s">
        <v>75</v>
      </c>
      <c r="U543">
        <f>SUM(B529:AG529)</f>
        <v>4932</v>
      </c>
      <c r="V543" t="s">
        <v>62</v>
      </c>
      <c r="AA543" t="s">
        <v>75</v>
      </c>
      <c r="AC543">
        <f>SUM(B534:AG534)</f>
        <v>2519</v>
      </c>
      <c r="AE543" t="s">
        <v>75</v>
      </c>
      <c r="AG543">
        <f>SUM(B535:AG535)</f>
        <v>2413</v>
      </c>
      <c r="AI543" t="s">
        <v>75</v>
      </c>
      <c r="AK543">
        <f>SUM(B529:AG529)</f>
        <v>4932</v>
      </c>
      <c r="AL543">
        <f>SUM(B529:I529)</f>
        <v>3903</v>
      </c>
      <c r="AM543">
        <f>SUM(J529:R529)</f>
        <v>1029</v>
      </c>
      <c r="AN543">
        <f>SUM(S529:X529)</f>
        <v>0</v>
      </c>
      <c r="AO543">
        <f>SUM(Y529:AG529)</f>
        <v>0</v>
      </c>
      <c r="AQ543" t="s">
        <v>75</v>
      </c>
      <c r="AS543">
        <f>SUM(B534:AG534)</f>
        <v>2519</v>
      </c>
      <c r="AT543">
        <f>SUM(B534:I534)</f>
        <v>2035</v>
      </c>
      <c r="AU543">
        <f>SUM(J534:R534)</f>
        <v>484</v>
      </c>
      <c r="AV543">
        <f>SUM(S534:X534)</f>
        <v>0</v>
      </c>
      <c r="AW543">
        <f>SUM(Y534:AG534)</f>
        <v>0</v>
      </c>
      <c r="AY543" t="s">
        <v>75</v>
      </c>
      <c r="BA543">
        <f>SUM($B535:$AG535)</f>
        <v>2413</v>
      </c>
      <c r="BB543">
        <f>SUM(B535:I535)</f>
        <v>1868</v>
      </c>
      <c r="BC543">
        <f>SUM(J535:R535)</f>
        <v>545</v>
      </c>
      <c r="BD543">
        <f>SUM(S535:X535)</f>
        <v>0</v>
      </c>
      <c r="BE543">
        <f>SUM(Y535:AG535)</f>
        <v>0</v>
      </c>
    </row>
    <row r="544" spans="1:57" x14ac:dyDescent="0.25">
      <c r="S544" t="s">
        <v>63</v>
      </c>
      <c r="U544">
        <f>$U543/$U542</f>
        <v>0.30279960707269155</v>
      </c>
      <c r="AA544" t="s">
        <v>64</v>
      </c>
      <c r="AC544">
        <f>AC543/AC542</f>
        <v>0.28625</v>
      </c>
      <c r="AE544" t="s">
        <v>65</v>
      </c>
      <c r="AG544">
        <f>AG543/AG542</f>
        <v>0.32224893162393164</v>
      </c>
      <c r="AI544" t="s">
        <v>63</v>
      </c>
      <c r="AK544">
        <f>AK543/AK542</f>
        <v>0.30279960707269155</v>
      </c>
      <c r="AL544">
        <f t="shared" ref="AL544:AO544" si="29">AL543/AL542</f>
        <v>0.95849705304518662</v>
      </c>
      <c r="AM544">
        <f t="shared" si="29"/>
        <v>0.2246234446627374</v>
      </c>
      <c r="AN544">
        <f t="shared" si="29"/>
        <v>0</v>
      </c>
      <c r="AO544">
        <f t="shared" si="29"/>
        <v>0</v>
      </c>
      <c r="AQ544" t="s">
        <v>64</v>
      </c>
      <c r="AS544">
        <f>AS543/AS542</f>
        <v>0.28625</v>
      </c>
      <c r="AT544">
        <f t="shared" ref="AT544:AW544" si="30">AT543/AT542</f>
        <v>0.92500000000000004</v>
      </c>
      <c r="AU544">
        <f t="shared" si="30"/>
        <v>0.19555555555555557</v>
      </c>
      <c r="AV544">
        <f t="shared" si="30"/>
        <v>0</v>
      </c>
      <c r="AW544">
        <f t="shared" si="30"/>
        <v>0</v>
      </c>
      <c r="AY544" t="s">
        <v>65</v>
      </c>
      <c r="BA544">
        <f>BA543/BA542</f>
        <v>0.32224893162393164</v>
      </c>
      <c r="BB544">
        <f t="shared" ref="BB544:BE544" si="31">BB543/BB542</f>
        <v>0.99786324786324787</v>
      </c>
      <c r="BC544">
        <f t="shared" si="31"/>
        <v>0.25878442545109209</v>
      </c>
      <c r="BD544">
        <f t="shared" si="31"/>
        <v>0</v>
      </c>
      <c r="BE544">
        <f t="shared" si="31"/>
        <v>0</v>
      </c>
    </row>
    <row r="546" spans="1:57" x14ac:dyDescent="0.25">
      <c r="A546" t="s">
        <v>37</v>
      </c>
      <c r="B546">
        <f>COUNTIF(B$3:B$511,"&gt;=3600")</f>
        <v>485</v>
      </c>
      <c r="C546">
        <f t="shared" ref="C546:AG546" si="32">COUNTIF(C$3:C$511,"&gt;=3600")</f>
        <v>397</v>
      </c>
      <c r="D546">
        <f t="shared" si="32"/>
        <v>408</v>
      </c>
      <c r="E546">
        <f t="shared" si="32"/>
        <v>492</v>
      </c>
      <c r="F546">
        <f t="shared" si="32"/>
        <v>488</v>
      </c>
      <c r="G546">
        <f t="shared" si="32"/>
        <v>473</v>
      </c>
      <c r="H546">
        <f t="shared" si="32"/>
        <v>509</v>
      </c>
      <c r="I546">
        <f t="shared" si="32"/>
        <v>505</v>
      </c>
      <c r="J546">
        <f t="shared" si="32"/>
        <v>0</v>
      </c>
      <c r="K546">
        <f t="shared" si="32"/>
        <v>0</v>
      </c>
      <c r="L546">
        <f t="shared" si="32"/>
        <v>0</v>
      </c>
      <c r="M546">
        <f t="shared" si="32"/>
        <v>457</v>
      </c>
      <c r="N546">
        <f t="shared" si="32"/>
        <v>24</v>
      </c>
      <c r="O546">
        <f t="shared" si="32"/>
        <v>0</v>
      </c>
      <c r="P546">
        <f t="shared" si="32"/>
        <v>0</v>
      </c>
      <c r="Q546">
        <f t="shared" si="32"/>
        <v>413</v>
      </c>
      <c r="R546">
        <f t="shared" si="32"/>
        <v>0</v>
      </c>
      <c r="S546">
        <f t="shared" si="32"/>
        <v>0</v>
      </c>
      <c r="T546">
        <f t="shared" si="32"/>
        <v>0</v>
      </c>
      <c r="U546">
        <f t="shared" si="32"/>
        <v>0</v>
      </c>
      <c r="V546">
        <f t="shared" si="32"/>
        <v>0</v>
      </c>
      <c r="W546">
        <f t="shared" si="32"/>
        <v>0</v>
      </c>
      <c r="X546">
        <f t="shared" si="32"/>
        <v>0</v>
      </c>
      <c r="Y546">
        <f t="shared" si="32"/>
        <v>0</v>
      </c>
      <c r="Z546">
        <f t="shared" si="32"/>
        <v>0</v>
      </c>
      <c r="AA546">
        <f t="shared" si="32"/>
        <v>0</v>
      </c>
      <c r="AB546">
        <f t="shared" si="32"/>
        <v>0</v>
      </c>
      <c r="AC546">
        <f t="shared" si="32"/>
        <v>0</v>
      </c>
      <c r="AD546">
        <f t="shared" si="32"/>
        <v>0</v>
      </c>
      <c r="AE546">
        <f t="shared" si="32"/>
        <v>0</v>
      </c>
      <c r="AF546">
        <f t="shared" si="32"/>
        <v>0</v>
      </c>
      <c r="AG546">
        <f t="shared" si="32"/>
        <v>0</v>
      </c>
    </row>
    <row r="547" spans="1:57" x14ac:dyDescent="0.25">
      <c r="A547" t="s">
        <v>38</v>
      </c>
      <c r="B547">
        <f>COUNTIF(B$54:B$235,"&gt;=3600")</f>
        <v>161</v>
      </c>
      <c r="C547">
        <f t="shared" ref="C547:AG547" si="33">COUNTIF(C$54:C$235,"&gt;=3600")</f>
        <v>124</v>
      </c>
      <c r="D547">
        <f t="shared" si="33"/>
        <v>133</v>
      </c>
      <c r="E547">
        <f t="shared" si="33"/>
        <v>167</v>
      </c>
      <c r="F547">
        <f t="shared" si="33"/>
        <v>180</v>
      </c>
      <c r="G547">
        <f t="shared" si="33"/>
        <v>169</v>
      </c>
      <c r="H547">
        <f t="shared" si="33"/>
        <v>182</v>
      </c>
      <c r="I547">
        <f t="shared" si="33"/>
        <v>182</v>
      </c>
      <c r="J547">
        <f t="shared" si="33"/>
        <v>0</v>
      </c>
      <c r="K547">
        <f t="shared" si="33"/>
        <v>0</v>
      </c>
      <c r="L547">
        <f t="shared" si="33"/>
        <v>0</v>
      </c>
      <c r="M547">
        <f t="shared" si="33"/>
        <v>155</v>
      </c>
      <c r="N547">
        <f t="shared" si="33"/>
        <v>3</v>
      </c>
      <c r="O547">
        <f t="shared" si="33"/>
        <v>0</v>
      </c>
      <c r="P547">
        <f t="shared" si="33"/>
        <v>0</v>
      </c>
      <c r="Q547">
        <f t="shared" si="33"/>
        <v>133</v>
      </c>
      <c r="R547">
        <f t="shared" si="33"/>
        <v>0</v>
      </c>
      <c r="S547">
        <f t="shared" si="33"/>
        <v>0</v>
      </c>
      <c r="T547">
        <f t="shared" si="33"/>
        <v>0</v>
      </c>
      <c r="U547">
        <f t="shared" si="33"/>
        <v>0</v>
      </c>
      <c r="V547">
        <f t="shared" si="33"/>
        <v>0</v>
      </c>
      <c r="W547">
        <f t="shared" si="33"/>
        <v>0</v>
      </c>
      <c r="X547">
        <f t="shared" si="33"/>
        <v>0</v>
      </c>
      <c r="Y547">
        <f t="shared" si="33"/>
        <v>0</v>
      </c>
      <c r="Z547">
        <f t="shared" si="33"/>
        <v>0</v>
      </c>
      <c r="AA547">
        <f t="shared" si="33"/>
        <v>0</v>
      </c>
      <c r="AB547">
        <f t="shared" si="33"/>
        <v>0</v>
      </c>
      <c r="AC547">
        <f t="shared" si="33"/>
        <v>0</v>
      </c>
      <c r="AD547">
        <f t="shared" si="33"/>
        <v>0</v>
      </c>
      <c r="AE547">
        <f t="shared" si="33"/>
        <v>0</v>
      </c>
      <c r="AF547">
        <f t="shared" si="33"/>
        <v>0</v>
      </c>
      <c r="AG547">
        <f t="shared" si="33"/>
        <v>0</v>
      </c>
      <c r="AH547" t="s">
        <v>109</v>
      </c>
    </row>
    <row r="548" spans="1:57" x14ac:dyDescent="0.25">
      <c r="A548" t="s">
        <v>39</v>
      </c>
      <c r="B548">
        <f>COUNTIF(B$419:B$511,"&gt;=3600")</f>
        <v>93</v>
      </c>
      <c r="C548">
        <f t="shared" ref="C548:AG548" si="34">COUNTIF(C$419:C$511,"&gt;=3600")</f>
        <v>53</v>
      </c>
      <c r="D548">
        <f t="shared" si="34"/>
        <v>66</v>
      </c>
      <c r="E548">
        <f t="shared" si="34"/>
        <v>91</v>
      </c>
      <c r="F548">
        <f t="shared" si="34"/>
        <v>74</v>
      </c>
      <c r="G548">
        <f t="shared" si="34"/>
        <v>70</v>
      </c>
      <c r="H548">
        <f t="shared" si="34"/>
        <v>93</v>
      </c>
      <c r="I548">
        <f t="shared" si="34"/>
        <v>89</v>
      </c>
      <c r="J548">
        <f t="shared" si="34"/>
        <v>0</v>
      </c>
      <c r="K548">
        <f t="shared" si="34"/>
        <v>0</v>
      </c>
      <c r="L548">
        <f t="shared" si="34"/>
        <v>0</v>
      </c>
      <c r="M548">
        <f t="shared" si="34"/>
        <v>68</v>
      </c>
      <c r="N548">
        <f t="shared" si="34"/>
        <v>3</v>
      </c>
      <c r="O548">
        <f t="shared" si="34"/>
        <v>0</v>
      </c>
      <c r="P548">
        <f t="shared" si="34"/>
        <v>0</v>
      </c>
      <c r="Q548">
        <f t="shared" si="34"/>
        <v>57</v>
      </c>
      <c r="R548">
        <f t="shared" si="34"/>
        <v>0</v>
      </c>
      <c r="S548">
        <f t="shared" si="34"/>
        <v>0</v>
      </c>
      <c r="T548">
        <f t="shared" si="34"/>
        <v>0</v>
      </c>
      <c r="U548">
        <f t="shared" si="34"/>
        <v>0</v>
      </c>
      <c r="V548">
        <f t="shared" si="34"/>
        <v>0</v>
      </c>
      <c r="W548">
        <f t="shared" si="34"/>
        <v>0</v>
      </c>
      <c r="X548">
        <f t="shared" si="34"/>
        <v>0</v>
      </c>
      <c r="Y548">
        <f t="shared" si="34"/>
        <v>0</v>
      </c>
      <c r="Z548">
        <f t="shared" si="34"/>
        <v>0</v>
      </c>
      <c r="AA548">
        <f t="shared" si="34"/>
        <v>0</v>
      </c>
      <c r="AB548">
        <f t="shared" si="34"/>
        <v>0</v>
      </c>
      <c r="AC548">
        <f t="shared" si="34"/>
        <v>0</v>
      </c>
      <c r="AD548">
        <f t="shared" si="34"/>
        <v>0</v>
      </c>
      <c r="AE548">
        <f t="shared" si="34"/>
        <v>0</v>
      </c>
      <c r="AF548">
        <f t="shared" si="34"/>
        <v>0</v>
      </c>
      <c r="AG548">
        <f t="shared" si="34"/>
        <v>0</v>
      </c>
      <c r="AH548" t="s">
        <v>110</v>
      </c>
    </row>
    <row r="549" spans="1:57" x14ac:dyDescent="0.25">
      <c r="A549" t="s">
        <v>40</v>
      </c>
      <c r="B549">
        <f>COUNTIF(B$3:B$53,"&gt;=3600")</f>
        <v>51</v>
      </c>
      <c r="C549">
        <f t="shared" ref="C549:AG549" si="35">COUNTIF(C$3:C$53,"&gt;=3600")</f>
        <v>51</v>
      </c>
      <c r="D549">
        <f t="shared" si="35"/>
        <v>51</v>
      </c>
      <c r="E549">
        <f t="shared" si="35"/>
        <v>51</v>
      </c>
      <c r="F549">
        <f t="shared" si="35"/>
        <v>51</v>
      </c>
      <c r="G549">
        <f t="shared" si="35"/>
        <v>51</v>
      </c>
      <c r="H549">
        <f t="shared" si="35"/>
        <v>51</v>
      </c>
      <c r="I549">
        <f t="shared" si="35"/>
        <v>51</v>
      </c>
      <c r="J549">
        <f t="shared" si="35"/>
        <v>0</v>
      </c>
      <c r="K549">
        <f t="shared" si="35"/>
        <v>0</v>
      </c>
      <c r="L549">
        <f t="shared" si="35"/>
        <v>0</v>
      </c>
      <c r="M549">
        <f t="shared" si="35"/>
        <v>51</v>
      </c>
      <c r="N549">
        <f t="shared" si="35"/>
        <v>10</v>
      </c>
      <c r="O549">
        <f t="shared" si="35"/>
        <v>0</v>
      </c>
      <c r="P549">
        <f t="shared" si="35"/>
        <v>0</v>
      </c>
      <c r="Q549">
        <f t="shared" si="35"/>
        <v>51</v>
      </c>
      <c r="R549">
        <f t="shared" si="35"/>
        <v>0</v>
      </c>
      <c r="S549">
        <f t="shared" si="35"/>
        <v>0</v>
      </c>
      <c r="T549">
        <f t="shared" si="35"/>
        <v>0</v>
      </c>
      <c r="U549">
        <f t="shared" si="35"/>
        <v>0</v>
      </c>
      <c r="V549">
        <f t="shared" si="35"/>
        <v>0</v>
      </c>
      <c r="W549">
        <f t="shared" si="35"/>
        <v>0</v>
      </c>
      <c r="X549">
        <f t="shared" si="35"/>
        <v>0</v>
      </c>
      <c r="Y549">
        <f t="shared" si="35"/>
        <v>0</v>
      </c>
      <c r="Z549">
        <f t="shared" si="35"/>
        <v>0</v>
      </c>
      <c r="AA549">
        <f t="shared" si="35"/>
        <v>0</v>
      </c>
      <c r="AB549">
        <f t="shared" si="35"/>
        <v>0</v>
      </c>
      <c r="AC549">
        <f t="shared" si="35"/>
        <v>0</v>
      </c>
      <c r="AD549">
        <f t="shared" si="35"/>
        <v>0</v>
      </c>
      <c r="AE549">
        <f t="shared" si="35"/>
        <v>0</v>
      </c>
      <c r="AF549">
        <f t="shared" si="35"/>
        <v>0</v>
      </c>
      <c r="AG549">
        <f t="shared" si="35"/>
        <v>0</v>
      </c>
      <c r="AH549" t="s">
        <v>111</v>
      </c>
    </row>
    <row r="550" spans="1:57" x14ac:dyDescent="0.25">
      <c r="A550" t="s">
        <v>41</v>
      </c>
      <c r="B550">
        <f>COUNTIF(B$236:B$418,"&gt;=3600")</f>
        <v>180</v>
      </c>
      <c r="C550">
        <f t="shared" ref="C550:AG550" si="36">COUNTIF(C$236:C$418,"&gt;=3600")</f>
        <v>169</v>
      </c>
      <c r="D550">
        <f t="shared" si="36"/>
        <v>158</v>
      </c>
      <c r="E550">
        <f t="shared" si="36"/>
        <v>183</v>
      </c>
      <c r="F550">
        <f t="shared" si="36"/>
        <v>183</v>
      </c>
      <c r="G550">
        <f t="shared" si="36"/>
        <v>183</v>
      </c>
      <c r="H550">
        <f t="shared" si="36"/>
        <v>183</v>
      </c>
      <c r="I550">
        <f t="shared" si="36"/>
        <v>183</v>
      </c>
      <c r="J550">
        <f t="shared" si="36"/>
        <v>0</v>
      </c>
      <c r="K550">
        <f t="shared" si="36"/>
        <v>0</v>
      </c>
      <c r="L550">
        <f t="shared" si="36"/>
        <v>0</v>
      </c>
      <c r="M550">
        <f t="shared" si="36"/>
        <v>183</v>
      </c>
      <c r="N550">
        <f t="shared" si="36"/>
        <v>8</v>
      </c>
      <c r="O550">
        <f t="shared" si="36"/>
        <v>0</v>
      </c>
      <c r="P550">
        <f t="shared" si="36"/>
        <v>0</v>
      </c>
      <c r="Q550">
        <f t="shared" si="36"/>
        <v>172</v>
      </c>
      <c r="R550">
        <f t="shared" si="36"/>
        <v>0</v>
      </c>
      <c r="S550">
        <f t="shared" si="36"/>
        <v>0</v>
      </c>
      <c r="T550">
        <f t="shared" si="36"/>
        <v>0</v>
      </c>
      <c r="U550">
        <f t="shared" si="36"/>
        <v>0</v>
      </c>
      <c r="V550">
        <f t="shared" si="36"/>
        <v>0</v>
      </c>
      <c r="W550">
        <f t="shared" si="36"/>
        <v>0</v>
      </c>
      <c r="X550">
        <f t="shared" si="36"/>
        <v>0</v>
      </c>
      <c r="Y550">
        <f t="shared" si="36"/>
        <v>0</v>
      </c>
      <c r="Z550">
        <f t="shared" si="36"/>
        <v>0</v>
      </c>
      <c r="AA550">
        <f t="shared" si="36"/>
        <v>0</v>
      </c>
      <c r="AB550">
        <f t="shared" si="36"/>
        <v>0</v>
      </c>
      <c r="AC550">
        <f t="shared" si="36"/>
        <v>0</v>
      </c>
      <c r="AD550">
        <f t="shared" si="36"/>
        <v>0</v>
      </c>
      <c r="AE550">
        <f t="shared" si="36"/>
        <v>0</v>
      </c>
      <c r="AF550">
        <f t="shared" si="36"/>
        <v>0</v>
      </c>
      <c r="AG550">
        <f t="shared" si="36"/>
        <v>0</v>
      </c>
      <c r="AH550" t="s">
        <v>112</v>
      </c>
    </row>
    <row r="551" spans="1:57" x14ac:dyDescent="0.25">
      <c r="A551" t="s">
        <v>42</v>
      </c>
      <c r="B551">
        <f>SUM(B547,B548)</f>
        <v>254</v>
      </c>
      <c r="C551">
        <f t="shared" ref="C551:AG551" si="37">SUM(C547,C548)</f>
        <v>177</v>
      </c>
      <c r="D551">
        <f t="shared" si="37"/>
        <v>199</v>
      </c>
      <c r="E551">
        <f t="shared" si="37"/>
        <v>258</v>
      </c>
      <c r="F551">
        <f t="shared" si="37"/>
        <v>254</v>
      </c>
      <c r="G551">
        <f t="shared" si="37"/>
        <v>239</v>
      </c>
      <c r="H551">
        <f t="shared" si="37"/>
        <v>275</v>
      </c>
      <c r="I551">
        <f t="shared" si="37"/>
        <v>271</v>
      </c>
      <c r="J551">
        <f t="shared" si="37"/>
        <v>0</v>
      </c>
      <c r="K551">
        <f t="shared" si="37"/>
        <v>0</v>
      </c>
      <c r="L551">
        <f t="shared" si="37"/>
        <v>0</v>
      </c>
      <c r="M551">
        <f t="shared" si="37"/>
        <v>223</v>
      </c>
      <c r="N551">
        <f t="shared" si="37"/>
        <v>6</v>
      </c>
      <c r="O551">
        <f t="shared" si="37"/>
        <v>0</v>
      </c>
      <c r="P551">
        <f t="shared" si="37"/>
        <v>0</v>
      </c>
      <c r="Q551">
        <f t="shared" si="37"/>
        <v>190</v>
      </c>
      <c r="R551">
        <f t="shared" si="37"/>
        <v>0</v>
      </c>
      <c r="S551">
        <f t="shared" si="37"/>
        <v>0</v>
      </c>
      <c r="T551">
        <f t="shared" si="37"/>
        <v>0</v>
      </c>
      <c r="U551">
        <f t="shared" si="37"/>
        <v>0</v>
      </c>
      <c r="V551">
        <f t="shared" si="37"/>
        <v>0</v>
      </c>
      <c r="W551">
        <f t="shared" si="37"/>
        <v>0</v>
      </c>
      <c r="X551">
        <f t="shared" si="37"/>
        <v>0</v>
      </c>
      <c r="Y551">
        <f t="shared" si="37"/>
        <v>0</v>
      </c>
      <c r="Z551">
        <f t="shared" si="37"/>
        <v>0</v>
      </c>
      <c r="AA551">
        <f t="shared" si="37"/>
        <v>0</v>
      </c>
      <c r="AB551">
        <f t="shared" si="37"/>
        <v>0</v>
      </c>
      <c r="AC551">
        <f t="shared" si="37"/>
        <v>0</v>
      </c>
      <c r="AD551">
        <f t="shared" si="37"/>
        <v>0</v>
      </c>
      <c r="AE551">
        <f t="shared" si="37"/>
        <v>0</v>
      </c>
      <c r="AF551">
        <f t="shared" si="37"/>
        <v>0</v>
      </c>
      <c r="AG551">
        <f t="shared" si="37"/>
        <v>0</v>
      </c>
    </row>
    <row r="552" spans="1:57" x14ac:dyDescent="0.25">
      <c r="A552" t="s">
        <v>43</v>
      </c>
      <c r="B552">
        <f>SUM(B549,B550)</f>
        <v>231</v>
      </c>
      <c r="C552">
        <f t="shared" ref="C552:AG552" si="38">SUM(C549,C550)</f>
        <v>220</v>
      </c>
      <c r="D552">
        <f t="shared" si="38"/>
        <v>209</v>
      </c>
      <c r="E552">
        <f t="shared" si="38"/>
        <v>234</v>
      </c>
      <c r="F552">
        <f t="shared" si="38"/>
        <v>234</v>
      </c>
      <c r="G552">
        <f t="shared" si="38"/>
        <v>234</v>
      </c>
      <c r="H552">
        <f t="shared" si="38"/>
        <v>234</v>
      </c>
      <c r="I552">
        <f t="shared" si="38"/>
        <v>234</v>
      </c>
      <c r="J552">
        <f t="shared" si="38"/>
        <v>0</v>
      </c>
      <c r="K552">
        <f t="shared" si="38"/>
        <v>0</v>
      </c>
      <c r="L552">
        <f t="shared" si="38"/>
        <v>0</v>
      </c>
      <c r="M552">
        <f t="shared" si="38"/>
        <v>234</v>
      </c>
      <c r="N552">
        <f t="shared" si="38"/>
        <v>18</v>
      </c>
      <c r="O552">
        <f t="shared" si="38"/>
        <v>0</v>
      </c>
      <c r="P552">
        <f t="shared" si="38"/>
        <v>0</v>
      </c>
      <c r="Q552">
        <f t="shared" si="38"/>
        <v>223</v>
      </c>
      <c r="R552">
        <f t="shared" si="38"/>
        <v>0</v>
      </c>
      <c r="S552">
        <f t="shared" si="38"/>
        <v>0</v>
      </c>
      <c r="T552">
        <f t="shared" si="38"/>
        <v>0</v>
      </c>
      <c r="U552">
        <f t="shared" si="38"/>
        <v>0</v>
      </c>
      <c r="V552">
        <f t="shared" si="38"/>
        <v>0</v>
      </c>
      <c r="W552">
        <f t="shared" si="38"/>
        <v>0</v>
      </c>
      <c r="X552">
        <f t="shared" si="38"/>
        <v>0</v>
      </c>
      <c r="Y552">
        <f t="shared" si="38"/>
        <v>0</v>
      </c>
      <c r="Z552">
        <f t="shared" si="38"/>
        <v>0</v>
      </c>
      <c r="AA552">
        <f t="shared" si="38"/>
        <v>0</v>
      </c>
      <c r="AB552">
        <f t="shared" si="38"/>
        <v>0</v>
      </c>
      <c r="AC552">
        <f t="shared" si="38"/>
        <v>0</v>
      </c>
      <c r="AD552">
        <f t="shared" si="38"/>
        <v>0</v>
      </c>
      <c r="AE552">
        <f t="shared" si="38"/>
        <v>0</v>
      </c>
      <c r="AF552">
        <f t="shared" si="38"/>
        <v>0</v>
      </c>
      <c r="AG552">
        <f t="shared" si="38"/>
        <v>0</v>
      </c>
    </row>
    <row r="555" spans="1:57" x14ac:dyDescent="0.25">
      <c r="D555" t="s">
        <v>69</v>
      </c>
      <c r="F555" t="s">
        <v>70</v>
      </c>
      <c r="S555" t="s">
        <v>83</v>
      </c>
      <c r="AA555" t="s">
        <v>83</v>
      </c>
      <c r="AE555" t="s">
        <v>83</v>
      </c>
      <c r="AI555" t="s">
        <v>83</v>
      </c>
      <c r="AQ555" t="s">
        <v>83</v>
      </c>
      <c r="AY555" t="s">
        <v>83</v>
      </c>
    </row>
    <row r="556" spans="1:57" x14ac:dyDescent="0.25">
      <c r="F556" t="s">
        <v>47</v>
      </c>
      <c r="S556" t="s">
        <v>48</v>
      </c>
      <c r="AA556" t="s">
        <v>49</v>
      </c>
      <c r="AE556" t="s">
        <v>50</v>
      </c>
      <c r="AI556" t="s">
        <v>48</v>
      </c>
      <c r="AK556" t="s">
        <v>51</v>
      </c>
      <c r="AL556" t="s">
        <v>33</v>
      </c>
      <c r="AM556" t="s">
        <v>34</v>
      </c>
      <c r="AN556" t="s">
        <v>35</v>
      </c>
      <c r="AO556" t="s">
        <v>36</v>
      </c>
      <c r="AQ556" t="s">
        <v>49</v>
      </c>
      <c r="AS556" t="s">
        <v>51</v>
      </c>
      <c r="AT556" t="s">
        <v>33</v>
      </c>
      <c r="AU556" t="s">
        <v>34</v>
      </c>
      <c r="AV556" t="s">
        <v>35</v>
      </c>
      <c r="AW556" t="s">
        <v>36</v>
      </c>
      <c r="AY556" t="s">
        <v>50</v>
      </c>
      <c r="BA556" t="s">
        <v>51</v>
      </c>
      <c r="BB556" t="s">
        <v>33</v>
      </c>
      <c r="BC556" t="s">
        <v>34</v>
      </c>
      <c r="BD556" t="s">
        <v>35</v>
      </c>
      <c r="BE556" t="s">
        <v>36</v>
      </c>
    </row>
    <row r="557" spans="1:57" x14ac:dyDescent="0.25">
      <c r="F557" t="s">
        <v>52</v>
      </c>
      <c r="M557" t="s">
        <v>53</v>
      </c>
      <c r="S557" t="s">
        <v>54</v>
      </c>
      <c r="U557">
        <f>COUNTIF(B35:AG35,"&lt;&gt;")</f>
        <v>32</v>
      </c>
      <c r="AA557" t="s">
        <v>54</v>
      </c>
      <c r="AC557">
        <f>COUNTIF(B35:AG35,"&lt;&gt;")</f>
        <v>32</v>
      </c>
      <c r="AE557" t="s">
        <v>54</v>
      </c>
      <c r="AG557">
        <f>COUNTIF(B35:AG35,"&lt;&gt;")</f>
        <v>32</v>
      </c>
      <c r="AI557" t="s">
        <v>54</v>
      </c>
      <c r="AK557">
        <f>COUNTIF($B$2:$AG$2,"&lt;&gt;")</f>
        <v>32</v>
      </c>
      <c r="AL557">
        <f>COUNTIF($B$2:$I$2,"&lt;&gt;")</f>
        <v>8</v>
      </c>
      <c r="AM557">
        <f>COUNTIF($J$2:$R$2,"&lt;&gt;")</f>
        <v>9</v>
      </c>
      <c r="AN557">
        <f>COUNTIF($S$2:$X$2,"&lt;&gt;")</f>
        <v>6</v>
      </c>
      <c r="AO557">
        <f>COUNTIF($Y$2:$AG$2,"&lt;&gt;")</f>
        <v>9</v>
      </c>
      <c r="AQ557" t="s">
        <v>54</v>
      </c>
      <c r="AS557">
        <f>COUNTIF($B$2:$AG$2,"&lt;&gt;")</f>
        <v>32</v>
      </c>
      <c r="AT557">
        <f>COUNTIF($B$2:$I$2,"&lt;&gt;")</f>
        <v>8</v>
      </c>
      <c r="AU557">
        <f>COUNTIF($J$2:$R$2,"&lt;&gt;")</f>
        <v>9</v>
      </c>
      <c r="AV557">
        <f>COUNTIF($S$2:$X$2,"&lt;&gt;")</f>
        <v>6</v>
      </c>
      <c r="AW557">
        <f>COUNTIF($Y$2:$AG$2,"&lt;&gt;")</f>
        <v>9</v>
      </c>
      <c r="AY557" t="s">
        <v>54</v>
      </c>
      <c r="BA557">
        <f>COUNTIF($B$2:$AG$2,"&lt;&gt;")</f>
        <v>32</v>
      </c>
      <c r="BB557">
        <f>COUNTIF($B$2:$I$2,"&lt;&gt;")</f>
        <v>8</v>
      </c>
      <c r="BC557">
        <f>COUNTIF($J$2:$R$2,"&lt;&gt;")</f>
        <v>9</v>
      </c>
      <c r="BD557">
        <f>COUNTIF($S$2:$X$2,"&lt;&gt;")</f>
        <v>6</v>
      </c>
      <c r="BE557">
        <f>COUNTIF($Y$2:$AG$2,"&lt;&gt;")</f>
        <v>9</v>
      </c>
    </row>
    <row r="558" spans="1:57" x14ac:dyDescent="0.25">
      <c r="F558" t="s">
        <v>55</v>
      </c>
      <c r="H558" t="s">
        <v>113</v>
      </c>
      <c r="J558">
        <f>COUNTIF($B$54:$B$235,"&lt;&gt;")</f>
        <v>182</v>
      </c>
      <c r="M558" t="s">
        <v>56</v>
      </c>
      <c r="S558" t="s">
        <v>57</v>
      </c>
      <c r="U558">
        <f>COUNTIF($A$3:$A$511,"&lt;&gt;")</f>
        <v>509</v>
      </c>
      <c r="AA558" t="s">
        <v>57</v>
      </c>
      <c r="AC558">
        <f>SUM($J$524:$J$525)</f>
        <v>275</v>
      </c>
      <c r="AE558" t="s">
        <v>57</v>
      </c>
      <c r="AG558">
        <f>SUM($Q$525:$Q$526)</f>
        <v>234</v>
      </c>
      <c r="AI558" t="s">
        <v>57</v>
      </c>
      <c r="AK558">
        <f>COUNTIF($A$3:$A$511,"&lt;&gt;")</f>
        <v>509</v>
      </c>
      <c r="AL558">
        <f t="shared" ref="AL558:AO558" si="39">COUNTIF($A$3:$A$511,"&lt;&gt;")</f>
        <v>509</v>
      </c>
      <c r="AM558">
        <f t="shared" si="39"/>
        <v>509</v>
      </c>
      <c r="AN558">
        <f t="shared" si="39"/>
        <v>509</v>
      </c>
      <c r="AO558">
        <f t="shared" si="39"/>
        <v>509</v>
      </c>
      <c r="AQ558" t="s">
        <v>57</v>
      </c>
      <c r="AS558">
        <f>SUM($J$524:$J$525)</f>
        <v>275</v>
      </c>
      <c r="AT558">
        <f t="shared" ref="AT558:AW558" si="40">SUM($J$524:$J$525)</f>
        <v>275</v>
      </c>
      <c r="AU558">
        <f t="shared" si="40"/>
        <v>275</v>
      </c>
      <c r="AV558">
        <f t="shared" si="40"/>
        <v>275</v>
      </c>
      <c r="AW558">
        <f t="shared" si="40"/>
        <v>275</v>
      </c>
      <c r="AY558" t="s">
        <v>57</v>
      </c>
      <c r="BA558">
        <f>SUM($Q$525:$Q$526)</f>
        <v>234</v>
      </c>
      <c r="BB558">
        <f t="shared" ref="BB558:BE558" si="41">SUM($Q$525:$Q$526)</f>
        <v>234</v>
      </c>
      <c r="BC558">
        <f t="shared" si="41"/>
        <v>234</v>
      </c>
      <c r="BD558">
        <f t="shared" si="41"/>
        <v>234</v>
      </c>
      <c r="BE558">
        <f t="shared" si="41"/>
        <v>234</v>
      </c>
    </row>
    <row r="559" spans="1:57" x14ac:dyDescent="0.25">
      <c r="F559" t="s">
        <v>58</v>
      </c>
      <c r="H559" t="s">
        <v>114</v>
      </c>
      <c r="J559">
        <f>COUNTIF($B$419:$B$511,"&lt;&gt;")</f>
        <v>93</v>
      </c>
      <c r="M559" t="s">
        <v>74</v>
      </c>
      <c r="O559" t="s">
        <v>115</v>
      </c>
      <c r="Q559">
        <f>COUNTIF($B$3:$B$53,"&lt;&gt;")</f>
        <v>51</v>
      </c>
      <c r="S559" t="s">
        <v>60</v>
      </c>
      <c r="U559">
        <f>U558*U557</f>
        <v>16288</v>
      </c>
      <c r="V559" t="s">
        <v>61</v>
      </c>
      <c r="AA559" t="s">
        <v>60</v>
      </c>
      <c r="AC559">
        <f>AC558*AC557</f>
        <v>8800</v>
      </c>
      <c r="AE559" t="s">
        <v>60</v>
      </c>
      <c r="AG559">
        <f>AG557*AG558</f>
        <v>7488</v>
      </c>
      <c r="AI559" t="s">
        <v>60</v>
      </c>
      <c r="AK559">
        <f>AK558*AK557</f>
        <v>16288</v>
      </c>
      <c r="AL559">
        <f t="shared" ref="AL559:AO559" si="42">AL558*AL557</f>
        <v>4072</v>
      </c>
      <c r="AM559">
        <f t="shared" si="42"/>
        <v>4581</v>
      </c>
      <c r="AN559">
        <f t="shared" si="42"/>
        <v>3054</v>
      </c>
      <c r="AO559">
        <f t="shared" si="42"/>
        <v>4581</v>
      </c>
      <c r="AQ559" t="s">
        <v>60</v>
      </c>
      <c r="AS559">
        <f>AS558*AS557</f>
        <v>8800</v>
      </c>
      <c r="AT559">
        <f t="shared" ref="AT559:AW559" si="43">AT558*AT557</f>
        <v>2200</v>
      </c>
      <c r="AU559">
        <f t="shared" si="43"/>
        <v>2475</v>
      </c>
      <c r="AV559">
        <f t="shared" si="43"/>
        <v>1650</v>
      </c>
      <c r="AW559">
        <f t="shared" si="43"/>
        <v>2475</v>
      </c>
      <c r="AY559" t="s">
        <v>60</v>
      </c>
      <c r="BA559">
        <f>BA558*BA557</f>
        <v>7488</v>
      </c>
      <c r="BB559">
        <f t="shared" ref="BB559:BE559" si="44">BB558*BB557</f>
        <v>1872</v>
      </c>
      <c r="BC559">
        <f t="shared" si="44"/>
        <v>2106</v>
      </c>
      <c r="BD559">
        <f t="shared" si="44"/>
        <v>1404</v>
      </c>
      <c r="BE559">
        <f t="shared" si="44"/>
        <v>2106</v>
      </c>
    </row>
    <row r="560" spans="1:57" x14ac:dyDescent="0.25">
      <c r="M560" t="s">
        <v>59</v>
      </c>
      <c r="O560" t="s">
        <v>116</v>
      </c>
      <c r="Q560">
        <f>COUNTIF($B$236:$B$418,"&lt;&gt;")</f>
        <v>183</v>
      </c>
      <c r="S560" t="s">
        <v>76</v>
      </c>
      <c r="U560">
        <f>SUM(B546:AG546)</f>
        <v>4651</v>
      </c>
      <c r="V560" t="s">
        <v>62</v>
      </c>
      <c r="AA560" t="s">
        <v>76</v>
      </c>
      <c r="AC560">
        <f>SUM(B551:AG551)</f>
        <v>2346</v>
      </c>
      <c r="AE560" t="s">
        <v>76</v>
      </c>
      <c r="AG560">
        <f>SUM(B552:AG552)</f>
        <v>2305</v>
      </c>
      <c r="AI560" t="s">
        <v>76</v>
      </c>
      <c r="AK560">
        <f>SUM(B546:AG546)</f>
        <v>4651</v>
      </c>
      <c r="AL560">
        <f>SUM(B546:I546)</f>
        <v>3757</v>
      </c>
      <c r="AM560">
        <f>SUM(J546:R546)</f>
        <v>894</v>
      </c>
      <c r="AN560">
        <f>SUM(S546:X546)</f>
        <v>0</v>
      </c>
      <c r="AO560">
        <f>SUM(Y546:AG546)</f>
        <v>0</v>
      </c>
      <c r="AQ560" t="s">
        <v>76</v>
      </c>
      <c r="AS560">
        <f>SUM(B551:AG551)</f>
        <v>2346</v>
      </c>
      <c r="AT560">
        <f>SUM(B551:I551)</f>
        <v>1927</v>
      </c>
      <c r="AU560">
        <f>SUM(J551:R551)</f>
        <v>419</v>
      </c>
      <c r="AV560">
        <f>SUM(S551:X551)</f>
        <v>0</v>
      </c>
      <c r="AW560">
        <f>SUM(Y551:AG551)</f>
        <v>0</v>
      </c>
      <c r="AY560" t="s">
        <v>76</v>
      </c>
      <c r="BA560">
        <f>SUM($B552:$AG552)</f>
        <v>2305</v>
      </c>
      <c r="BB560">
        <f>SUM(B552:I552)</f>
        <v>1830</v>
      </c>
      <c r="BC560">
        <f>SUM(J552:R552)</f>
        <v>475</v>
      </c>
      <c r="BD560">
        <f>SUM(S552:X552)</f>
        <v>0</v>
      </c>
      <c r="BE560">
        <f>SUM(Y552:AG552)</f>
        <v>0</v>
      </c>
    </row>
    <row r="561" spans="1:57" x14ac:dyDescent="0.25">
      <c r="S561" t="s">
        <v>63</v>
      </c>
      <c r="U561">
        <f>$U560/$U559</f>
        <v>0.28554764243614933</v>
      </c>
      <c r="AA561" t="s">
        <v>64</v>
      </c>
      <c r="AC561">
        <f>AC560/AC559</f>
        <v>0.2665909090909091</v>
      </c>
      <c r="AE561" t="s">
        <v>65</v>
      </c>
      <c r="AG561">
        <f>AG560/AG559</f>
        <v>0.30782585470085472</v>
      </c>
      <c r="AI561" t="s">
        <v>63</v>
      </c>
      <c r="AK561">
        <f>AK560/AK559</f>
        <v>0.28554764243614933</v>
      </c>
      <c r="AL561">
        <f t="shared" ref="AL561:AO561" si="45">AL560/AL559</f>
        <v>0.92264243614931241</v>
      </c>
      <c r="AM561">
        <f t="shared" si="45"/>
        <v>0.19515389652914211</v>
      </c>
      <c r="AN561">
        <f t="shared" si="45"/>
        <v>0</v>
      </c>
      <c r="AO561">
        <f t="shared" si="45"/>
        <v>0</v>
      </c>
      <c r="AQ561" t="s">
        <v>64</v>
      </c>
      <c r="AS561">
        <f>AS560/AS559</f>
        <v>0.2665909090909091</v>
      </c>
      <c r="AT561">
        <f t="shared" ref="AT561:AW561" si="46">AT560/AT559</f>
        <v>0.87590909090909086</v>
      </c>
      <c r="AU561">
        <f t="shared" si="46"/>
        <v>0.1692929292929293</v>
      </c>
      <c r="AV561">
        <f t="shared" si="46"/>
        <v>0</v>
      </c>
      <c r="AW561">
        <f t="shared" si="46"/>
        <v>0</v>
      </c>
      <c r="AY561" t="s">
        <v>65</v>
      </c>
      <c r="BA561">
        <f>BA560/BA559</f>
        <v>0.30782585470085472</v>
      </c>
      <c r="BB561">
        <f t="shared" ref="BB561:BE561" si="47">BB560/BB559</f>
        <v>0.97756410256410253</v>
      </c>
      <c r="BC561">
        <f t="shared" si="47"/>
        <v>0.22554605887939222</v>
      </c>
      <c r="BD561">
        <f t="shared" si="47"/>
        <v>0</v>
      </c>
      <c r="BE561">
        <f t="shared" si="47"/>
        <v>0</v>
      </c>
    </row>
    <row r="563" spans="1:57" x14ac:dyDescent="0.25">
      <c r="A563" t="s">
        <v>37</v>
      </c>
      <c r="B563">
        <f>COUNTIF(B$3:B$511,"&gt;=9130")</f>
        <v>248</v>
      </c>
      <c r="C563">
        <f t="shared" ref="C563:AG563" si="48">COUNTIF(C$3:C$511,"&gt;=9130")</f>
        <v>52</v>
      </c>
      <c r="D563">
        <f t="shared" si="48"/>
        <v>135</v>
      </c>
      <c r="E563">
        <f t="shared" si="48"/>
        <v>266</v>
      </c>
      <c r="F563">
        <f t="shared" si="48"/>
        <v>369</v>
      </c>
      <c r="G563">
        <f t="shared" si="48"/>
        <v>340</v>
      </c>
      <c r="H563">
        <f t="shared" si="48"/>
        <v>502</v>
      </c>
      <c r="I563">
        <f t="shared" si="48"/>
        <v>435</v>
      </c>
      <c r="J563">
        <f t="shared" si="48"/>
        <v>0</v>
      </c>
      <c r="K563">
        <f t="shared" si="48"/>
        <v>0</v>
      </c>
      <c r="L563">
        <f t="shared" si="48"/>
        <v>0</v>
      </c>
      <c r="M563">
        <f t="shared" si="48"/>
        <v>195</v>
      </c>
      <c r="N563">
        <f t="shared" si="48"/>
        <v>0</v>
      </c>
      <c r="O563">
        <f t="shared" si="48"/>
        <v>0</v>
      </c>
      <c r="P563">
        <f t="shared" si="48"/>
        <v>0</v>
      </c>
      <c r="Q563">
        <f t="shared" si="48"/>
        <v>50</v>
      </c>
      <c r="R563">
        <f t="shared" si="48"/>
        <v>0</v>
      </c>
      <c r="S563">
        <f t="shared" si="48"/>
        <v>0</v>
      </c>
      <c r="T563">
        <f t="shared" si="48"/>
        <v>0</v>
      </c>
      <c r="U563">
        <f t="shared" si="48"/>
        <v>0</v>
      </c>
      <c r="V563">
        <f t="shared" si="48"/>
        <v>0</v>
      </c>
      <c r="W563">
        <f t="shared" si="48"/>
        <v>0</v>
      </c>
      <c r="X563">
        <f t="shared" si="48"/>
        <v>0</v>
      </c>
      <c r="Y563">
        <f t="shared" si="48"/>
        <v>0</v>
      </c>
      <c r="Z563">
        <f t="shared" si="48"/>
        <v>0</v>
      </c>
      <c r="AA563">
        <f t="shared" si="48"/>
        <v>0</v>
      </c>
      <c r="AB563">
        <f t="shared" si="48"/>
        <v>0</v>
      </c>
      <c r="AC563">
        <f t="shared" si="48"/>
        <v>0</v>
      </c>
      <c r="AD563">
        <f t="shared" si="48"/>
        <v>0</v>
      </c>
      <c r="AE563">
        <f t="shared" si="48"/>
        <v>0</v>
      </c>
      <c r="AF563">
        <f t="shared" si="48"/>
        <v>0</v>
      </c>
      <c r="AG563">
        <f t="shared" si="48"/>
        <v>0</v>
      </c>
    </row>
    <row r="564" spans="1:57" x14ac:dyDescent="0.25">
      <c r="A564" t="s">
        <v>38</v>
      </c>
      <c r="B564">
        <f>COUNTIF(B$54:B$235,"&gt;=9130")</f>
        <v>60</v>
      </c>
      <c r="C564">
        <f t="shared" ref="C564:AG564" si="49">COUNTIF(C$54:C$235,"&gt;=9130")</f>
        <v>7</v>
      </c>
      <c r="D564">
        <f t="shared" si="49"/>
        <v>14</v>
      </c>
      <c r="E564">
        <f t="shared" si="49"/>
        <v>64</v>
      </c>
      <c r="F564">
        <f t="shared" si="49"/>
        <v>118</v>
      </c>
      <c r="G564">
        <f t="shared" si="49"/>
        <v>107</v>
      </c>
      <c r="H564">
        <f t="shared" si="49"/>
        <v>182</v>
      </c>
      <c r="I564">
        <f t="shared" si="49"/>
        <v>143</v>
      </c>
      <c r="J564">
        <f t="shared" si="49"/>
        <v>0</v>
      </c>
      <c r="K564">
        <f t="shared" si="49"/>
        <v>0</v>
      </c>
      <c r="L564">
        <f t="shared" si="49"/>
        <v>0</v>
      </c>
      <c r="M564">
        <f t="shared" si="49"/>
        <v>64</v>
      </c>
      <c r="N564">
        <f t="shared" si="49"/>
        <v>0</v>
      </c>
      <c r="O564">
        <f t="shared" si="49"/>
        <v>0</v>
      </c>
      <c r="P564">
        <f t="shared" si="49"/>
        <v>0</v>
      </c>
      <c r="Q564">
        <f t="shared" si="49"/>
        <v>12</v>
      </c>
      <c r="R564">
        <f t="shared" si="49"/>
        <v>0</v>
      </c>
      <c r="S564">
        <f t="shared" si="49"/>
        <v>0</v>
      </c>
      <c r="T564">
        <f t="shared" si="49"/>
        <v>0</v>
      </c>
      <c r="U564">
        <f t="shared" si="49"/>
        <v>0</v>
      </c>
      <c r="V564">
        <f t="shared" si="49"/>
        <v>0</v>
      </c>
      <c r="W564">
        <f t="shared" si="49"/>
        <v>0</v>
      </c>
      <c r="X564">
        <f t="shared" si="49"/>
        <v>0</v>
      </c>
      <c r="Y564">
        <f t="shared" si="49"/>
        <v>0</v>
      </c>
      <c r="Z564">
        <f t="shared" si="49"/>
        <v>0</v>
      </c>
      <c r="AA564">
        <f t="shared" si="49"/>
        <v>0</v>
      </c>
      <c r="AB564">
        <f t="shared" si="49"/>
        <v>0</v>
      </c>
      <c r="AC564">
        <f t="shared" si="49"/>
        <v>0</v>
      </c>
      <c r="AD564">
        <f t="shared" si="49"/>
        <v>0</v>
      </c>
      <c r="AE564">
        <f t="shared" si="49"/>
        <v>0</v>
      </c>
      <c r="AF564">
        <f t="shared" si="49"/>
        <v>0</v>
      </c>
      <c r="AG564">
        <f t="shared" si="49"/>
        <v>0</v>
      </c>
      <c r="AH564" t="s">
        <v>109</v>
      </c>
    </row>
    <row r="565" spans="1:57" x14ac:dyDescent="0.25">
      <c r="A565" t="s">
        <v>39</v>
      </c>
      <c r="B565">
        <f>COUNTIF(B$419:B$511,"&gt;=9130")</f>
        <v>29</v>
      </c>
      <c r="C565">
        <f t="shared" ref="C565:AG565" si="50">COUNTIF(C$419:C$511,"&gt;=9130")</f>
        <v>0</v>
      </c>
      <c r="D565">
        <f t="shared" si="50"/>
        <v>0</v>
      </c>
      <c r="E565">
        <f t="shared" si="50"/>
        <v>40</v>
      </c>
      <c r="F565">
        <f t="shared" si="50"/>
        <v>54</v>
      </c>
      <c r="G565">
        <f t="shared" si="50"/>
        <v>49</v>
      </c>
      <c r="H565">
        <f t="shared" si="50"/>
        <v>86</v>
      </c>
      <c r="I565">
        <f t="shared" si="50"/>
        <v>63</v>
      </c>
      <c r="J565">
        <f t="shared" si="50"/>
        <v>0</v>
      </c>
      <c r="K565">
        <f t="shared" si="50"/>
        <v>0</v>
      </c>
      <c r="L565">
        <f t="shared" si="50"/>
        <v>0</v>
      </c>
      <c r="M565">
        <f t="shared" si="50"/>
        <v>36</v>
      </c>
      <c r="N565">
        <f t="shared" si="50"/>
        <v>0</v>
      </c>
      <c r="O565">
        <f t="shared" si="50"/>
        <v>0</v>
      </c>
      <c r="P565">
        <f t="shared" si="50"/>
        <v>0</v>
      </c>
      <c r="Q565">
        <f t="shared" si="50"/>
        <v>14</v>
      </c>
      <c r="R565">
        <f t="shared" si="50"/>
        <v>0</v>
      </c>
      <c r="S565">
        <f t="shared" si="50"/>
        <v>0</v>
      </c>
      <c r="T565">
        <f t="shared" si="50"/>
        <v>0</v>
      </c>
      <c r="U565">
        <f t="shared" si="50"/>
        <v>0</v>
      </c>
      <c r="V565">
        <f t="shared" si="50"/>
        <v>0</v>
      </c>
      <c r="W565">
        <f t="shared" si="50"/>
        <v>0</v>
      </c>
      <c r="X565">
        <f t="shared" si="50"/>
        <v>0</v>
      </c>
      <c r="Y565">
        <f t="shared" si="50"/>
        <v>0</v>
      </c>
      <c r="Z565">
        <f t="shared" si="50"/>
        <v>0</v>
      </c>
      <c r="AA565">
        <f t="shared" si="50"/>
        <v>0</v>
      </c>
      <c r="AB565">
        <f t="shared" si="50"/>
        <v>0</v>
      </c>
      <c r="AC565">
        <f t="shared" si="50"/>
        <v>0</v>
      </c>
      <c r="AD565">
        <f t="shared" si="50"/>
        <v>0</v>
      </c>
      <c r="AE565">
        <f t="shared" si="50"/>
        <v>0</v>
      </c>
      <c r="AF565">
        <f t="shared" si="50"/>
        <v>0</v>
      </c>
      <c r="AG565">
        <f t="shared" si="50"/>
        <v>0</v>
      </c>
      <c r="AH565" t="s">
        <v>110</v>
      </c>
    </row>
    <row r="566" spans="1:57" x14ac:dyDescent="0.25">
      <c r="A566" t="s">
        <v>40</v>
      </c>
      <c r="B566">
        <f>COUNTIF(B$3:B$53,"&gt;=9130")</f>
        <v>42</v>
      </c>
      <c r="C566">
        <f t="shared" ref="C566:AG566" si="51">COUNTIF(C$3:C$53,"&gt;=9130")</f>
        <v>27</v>
      </c>
      <c r="D566">
        <f t="shared" si="51"/>
        <v>33</v>
      </c>
      <c r="E566">
        <f t="shared" si="51"/>
        <v>44</v>
      </c>
      <c r="F566">
        <f t="shared" si="51"/>
        <v>51</v>
      </c>
      <c r="G566">
        <f t="shared" si="51"/>
        <v>50</v>
      </c>
      <c r="H566">
        <f t="shared" si="51"/>
        <v>51</v>
      </c>
      <c r="I566">
        <f t="shared" si="51"/>
        <v>51</v>
      </c>
      <c r="J566">
        <f t="shared" si="51"/>
        <v>0</v>
      </c>
      <c r="K566">
        <f t="shared" si="51"/>
        <v>0</v>
      </c>
      <c r="L566">
        <f t="shared" si="51"/>
        <v>0</v>
      </c>
      <c r="M566">
        <f t="shared" si="51"/>
        <v>23</v>
      </c>
      <c r="N566">
        <f t="shared" si="51"/>
        <v>0</v>
      </c>
      <c r="O566">
        <f t="shared" si="51"/>
        <v>0</v>
      </c>
      <c r="P566">
        <f t="shared" si="51"/>
        <v>0</v>
      </c>
      <c r="Q566">
        <f t="shared" si="51"/>
        <v>18</v>
      </c>
      <c r="R566">
        <f t="shared" si="51"/>
        <v>0</v>
      </c>
      <c r="S566">
        <f t="shared" si="51"/>
        <v>0</v>
      </c>
      <c r="T566">
        <f t="shared" si="51"/>
        <v>0</v>
      </c>
      <c r="U566">
        <f t="shared" si="51"/>
        <v>0</v>
      </c>
      <c r="V566">
        <f t="shared" si="51"/>
        <v>0</v>
      </c>
      <c r="W566">
        <f t="shared" si="51"/>
        <v>0</v>
      </c>
      <c r="X566">
        <f t="shared" si="51"/>
        <v>0</v>
      </c>
      <c r="Y566">
        <f t="shared" si="51"/>
        <v>0</v>
      </c>
      <c r="Z566">
        <f t="shared" si="51"/>
        <v>0</v>
      </c>
      <c r="AA566">
        <f t="shared" si="51"/>
        <v>0</v>
      </c>
      <c r="AB566">
        <f t="shared" si="51"/>
        <v>0</v>
      </c>
      <c r="AC566">
        <f t="shared" si="51"/>
        <v>0</v>
      </c>
      <c r="AD566">
        <f t="shared" si="51"/>
        <v>0</v>
      </c>
      <c r="AE566">
        <f t="shared" si="51"/>
        <v>0</v>
      </c>
      <c r="AF566">
        <f t="shared" si="51"/>
        <v>0</v>
      </c>
      <c r="AG566">
        <f t="shared" si="51"/>
        <v>0</v>
      </c>
      <c r="AH566" t="s">
        <v>111</v>
      </c>
    </row>
    <row r="567" spans="1:57" x14ac:dyDescent="0.25">
      <c r="A567" t="s">
        <v>41</v>
      </c>
      <c r="B567">
        <f>COUNTIF(B$236:B$418,"&gt;=9130")</f>
        <v>117</v>
      </c>
      <c r="C567">
        <f t="shared" ref="C567:AG567" si="52">COUNTIF(C$236:C$418,"&gt;=9130")</f>
        <v>18</v>
      </c>
      <c r="D567">
        <f t="shared" si="52"/>
        <v>88</v>
      </c>
      <c r="E567">
        <f t="shared" si="52"/>
        <v>118</v>
      </c>
      <c r="F567">
        <f t="shared" si="52"/>
        <v>146</v>
      </c>
      <c r="G567">
        <f t="shared" si="52"/>
        <v>134</v>
      </c>
      <c r="H567">
        <f t="shared" si="52"/>
        <v>183</v>
      </c>
      <c r="I567">
        <f t="shared" si="52"/>
        <v>178</v>
      </c>
      <c r="J567">
        <f t="shared" si="52"/>
        <v>0</v>
      </c>
      <c r="K567">
        <f t="shared" si="52"/>
        <v>0</v>
      </c>
      <c r="L567">
        <f t="shared" si="52"/>
        <v>0</v>
      </c>
      <c r="M567">
        <f t="shared" si="52"/>
        <v>72</v>
      </c>
      <c r="N567">
        <f t="shared" si="52"/>
        <v>0</v>
      </c>
      <c r="O567">
        <f t="shared" si="52"/>
        <v>0</v>
      </c>
      <c r="P567">
        <f t="shared" si="52"/>
        <v>0</v>
      </c>
      <c r="Q567">
        <f t="shared" si="52"/>
        <v>6</v>
      </c>
      <c r="R567">
        <f t="shared" si="52"/>
        <v>0</v>
      </c>
      <c r="S567">
        <f t="shared" si="52"/>
        <v>0</v>
      </c>
      <c r="T567">
        <f t="shared" si="52"/>
        <v>0</v>
      </c>
      <c r="U567">
        <f t="shared" si="52"/>
        <v>0</v>
      </c>
      <c r="V567">
        <f t="shared" si="52"/>
        <v>0</v>
      </c>
      <c r="W567">
        <f t="shared" si="52"/>
        <v>0</v>
      </c>
      <c r="X567">
        <f t="shared" si="52"/>
        <v>0</v>
      </c>
      <c r="Y567">
        <f t="shared" si="52"/>
        <v>0</v>
      </c>
      <c r="Z567">
        <f t="shared" si="52"/>
        <v>0</v>
      </c>
      <c r="AA567">
        <f t="shared" si="52"/>
        <v>0</v>
      </c>
      <c r="AB567">
        <f t="shared" si="52"/>
        <v>0</v>
      </c>
      <c r="AC567">
        <f t="shared" si="52"/>
        <v>0</v>
      </c>
      <c r="AD567">
        <f t="shared" si="52"/>
        <v>0</v>
      </c>
      <c r="AE567">
        <f t="shared" si="52"/>
        <v>0</v>
      </c>
      <c r="AF567">
        <f t="shared" si="52"/>
        <v>0</v>
      </c>
      <c r="AG567">
        <f t="shared" si="52"/>
        <v>0</v>
      </c>
      <c r="AH567" t="s">
        <v>112</v>
      </c>
    </row>
    <row r="568" spans="1:57" x14ac:dyDescent="0.25">
      <c r="A568" t="s">
        <v>42</v>
      </c>
      <c r="B568">
        <f>SUM(B564,B565)</f>
        <v>89</v>
      </c>
      <c r="C568">
        <f t="shared" ref="C568:AG568" si="53">SUM(C564,C565)</f>
        <v>7</v>
      </c>
      <c r="D568">
        <f t="shared" si="53"/>
        <v>14</v>
      </c>
      <c r="E568">
        <f t="shared" si="53"/>
        <v>104</v>
      </c>
      <c r="F568">
        <f t="shared" si="53"/>
        <v>172</v>
      </c>
      <c r="G568">
        <f t="shared" si="53"/>
        <v>156</v>
      </c>
      <c r="H568">
        <f t="shared" si="53"/>
        <v>268</v>
      </c>
      <c r="I568">
        <f t="shared" si="53"/>
        <v>206</v>
      </c>
      <c r="J568">
        <f t="shared" si="53"/>
        <v>0</v>
      </c>
      <c r="K568">
        <f t="shared" si="53"/>
        <v>0</v>
      </c>
      <c r="L568">
        <f t="shared" si="53"/>
        <v>0</v>
      </c>
      <c r="M568">
        <f t="shared" si="53"/>
        <v>100</v>
      </c>
      <c r="N568">
        <f t="shared" si="53"/>
        <v>0</v>
      </c>
      <c r="O568">
        <f t="shared" si="53"/>
        <v>0</v>
      </c>
      <c r="P568">
        <f t="shared" si="53"/>
        <v>0</v>
      </c>
      <c r="Q568">
        <f t="shared" si="53"/>
        <v>26</v>
      </c>
      <c r="R568">
        <f t="shared" si="53"/>
        <v>0</v>
      </c>
      <c r="S568">
        <f t="shared" si="53"/>
        <v>0</v>
      </c>
      <c r="T568">
        <f t="shared" si="53"/>
        <v>0</v>
      </c>
      <c r="U568">
        <f t="shared" si="53"/>
        <v>0</v>
      </c>
      <c r="V568">
        <f t="shared" si="53"/>
        <v>0</v>
      </c>
      <c r="W568">
        <f t="shared" si="53"/>
        <v>0</v>
      </c>
      <c r="X568">
        <f t="shared" si="53"/>
        <v>0</v>
      </c>
      <c r="Y568">
        <f t="shared" si="53"/>
        <v>0</v>
      </c>
      <c r="Z568">
        <f t="shared" si="53"/>
        <v>0</v>
      </c>
      <c r="AA568">
        <f t="shared" si="53"/>
        <v>0</v>
      </c>
      <c r="AB568">
        <f t="shared" si="53"/>
        <v>0</v>
      </c>
      <c r="AC568">
        <f t="shared" si="53"/>
        <v>0</v>
      </c>
      <c r="AD568">
        <f t="shared" si="53"/>
        <v>0</v>
      </c>
      <c r="AE568">
        <f t="shared" si="53"/>
        <v>0</v>
      </c>
      <c r="AF568">
        <f t="shared" si="53"/>
        <v>0</v>
      </c>
      <c r="AG568">
        <f t="shared" si="53"/>
        <v>0</v>
      </c>
    </row>
    <row r="569" spans="1:57" x14ac:dyDescent="0.25">
      <c r="A569" t="s">
        <v>43</v>
      </c>
      <c r="B569">
        <f>SUM(B566,B567)</f>
        <v>159</v>
      </c>
      <c r="C569">
        <f t="shared" ref="C569:AG569" si="54">SUM(C566,C567)</f>
        <v>45</v>
      </c>
      <c r="D569">
        <f t="shared" si="54"/>
        <v>121</v>
      </c>
      <c r="E569">
        <f t="shared" si="54"/>
        <v>162</v>
      </c>
      <c r="F569">
        <f t="shared" si="54"/>
        <v>197</v>
      </c>
      <c r="G569">
        <f t="shared" si="54"/>
        <v>184</v>
      </c>
      <c r="H569">
        <f t="shared" si="54"/>
        <v>234</v>
      </c>
      <c r="I569">
        <f t="shared" si="54"/>
        <v>229</v>
      </c>
      <c r="J569">
        <f t="shared" si="54"/>
        <v>0</v>
      </c>
      <c r="K569">
        <f t="shared" si="54"/>
        <v>0</v>
      </c>
      <c r="L569">
        <f t="shared" si="54"/>
        <v>0</v>
      </c>
      <c r="M569">
        <f t="shared" si="54"/>
        <v>95</v>
      </c>
      <c r="N569">
        <f t="shared" si="54"/>
        <v>0</v>
      </c>
      <c r="O569">
        <f t="shared" si="54"/>
        <v>0</v>
      </c>
      <c r="P569">
        <f t="shared" si="54"/>
        <v>0</v>
      </c>
      <c r="Q569">
        <f t="shared" si="54"/>
        <v>24</v>
      </c>
      <c r="R569">
        <f t="shared" si="54"/>
        <v>0</v>
      </c>
      <c r="S569">
        <f t="shared" si="54"/>
        <v>0</v>
      </c>
      <c r="T569">
        <f t="shared" si="54"/>
        <v>0</v>
      </c>
      <c r="U569">
        <f t="shared" si="54"/>
        <v>0</v>
      </c>
      <c r="V569">
        <f t="shared" si="54"/>
        <v>0</v>
      </c>
      <c r="W569">
        <f t="shared" si="54"/>
        <v>0</v>
      </c>
      <c r="X569">
        <f t="shared" si="54"/>
        <v>0</v>
      </c>
      <c r="Y569">
        <f t="shared" si="54"/>
        <v>0</v>
      </c>
      <c r="Z569">
        <f t="shared" si="54"/>
        <v>0</v>
      </c>
      <c r="AA569">
        <f t="shared" si="54"/>
        <v>0</v>
      </c>
      <c r="AB569">
        <f t="shared" si="54"/>
        <v>0</v>
      </c>
      <c r="AC569">
        <f t="shared" si="54"/>
        <v>0</v>
      </c>
      <c r="AD569">
        <f t="shared" si="54"/>
        <v>0</v>
      </c>
      <c r="AE569">
        <f t="shared" si="54"/>
        <v>0</v>
      </c>
      <c r="AF569">
        <f t="shared" si="54"/>
        <v>0</v>
      </c>
      <c r="AG569">
        <f t="shared" si="54"/>
        <v>0</v>
      </c>
    </row>
    <row r="572" spans="1:57" x14ac:dyDescent="0.25">
      <c r="D572" t="s">
        <v>71</v>
      </c>
      <c r="F572" t="s">
        <v>72</v>
      </c>
      <c r="S572" t="s">
        <v>73</v>
      </c>
      <c r="AA572" t="s">
        <v>73</v>
      </c>
      <c r="AE572" t="s">
        <v>73</v>
      </c>
      <c r="AI572" t="s">
        <v>73</v>
      </c>
      <c r="AQ572" t="s">
        <v>73</v>
      </c>
      <c r="AY572" t="s">
        <v>73</v>
      </c>
    </row>
    <row r="573" spans="1:57" x14ac:dyDescent="0.25">
      <c r="F573" t="s">
        <v>47</v>
      </c>
      <c r="S573" t="s">
        <v>48</v>
      </c>
      <c r="AA573" t="s">
        <v>49</v>
      </c>
      <c r="AE573" t="s">
        <v>50</v>
      </c>
      <c r="AI573" t="s">
        <v>48</v>
      </c>
      <c r="AK573" t="s">
        <v>51</v>
      </c>
      <c r="AL573" t="s">
        <v>33</v>
      </c>
      <c r="AM573" t="s">
        <v>34</v>
      </c>
      <c r="AN573" t="s">
        <v>35</v>
      </c>
      <c r="AO573" t="s">
        <v>36</v>
      </c>
      <c r="AQ573" t="s">
        <v>49</v>
      </c>
      <c r="AS573" t="s">
        <v>51</v>
      </c>
      <c r="AT573" t="s">
        <v>33</v>
      </c>
      <c r="AU573" t="s">
        <v>34</v>
      </c>
      <c r="AV573" t="s">
        <v>35</v>
      </c>
      <c r="AW573" t="s">
        <v>36</v>
      </c>
      <c r="AY573" t="s">
        <v>50</v>
      </c>
      <c r="BA573" t="s">
        <v>51</v>
      </c>
      <c r="BB573" t="s">
        <v>33</v>
      </c>
      <c r="BC573" t="s">
        <v>34</v>
      </c>
      <c r="BD573" t="s">
        <v>35</v>
      </c>
      <c r="BE573" t="s">
        <v>36</v>
      </c>
    </row>
    <row r="574" spans="1:57" x14ac:dyDescent="0.25">
      <c r="F574" t="s">
        <v>52</v>
      </c>
      <c r="M574" t="s">
        <v>53</v>
      </c>
      <c r="S574" t="s">
        <v>54</v>
      </c>
      <c r="U574">
        <f>COUNTIF(B52:AG52,"&lt;&gt;")</f>
        <v>32</v>
      </c>
      <c r="AA574" t="s">
        <v>54</v>
      </c>
      <c r="AC574">
        <f>COUNTIF(B52:AG52,"&lt;&gt;")</f>
        <v>32</v>
      </c>
      <c r="AE574" t="s">
        <v>54</v>
      </c>
      <c r="AG574">
        <f>COUNTIF(B52:AG52,"&lt;&gt;")</f>
        <v>32</v>
      </c>
      <c r="AI574" t="s">
        <v>54</v>
      </c>
      <c r="AK574">
        <f>COUNTIF($B$2:$AG$2,"&lt;&gt;")</f>
        <v>32</v>
      </c>
      <c r="AL574">
        <f>COUNTIF($B$2:$I$2,"&lt;&gt;")</f>
        <v>8</v>
      </c>
      <c r="AM574">
        <f>COUNTIF($J$2:$R$2,"&lt;&gt;")</f>
        <v>9</v>
      </c>
      <c r="AN574">
        <f>COUNTIF($S$2:$X$2,"&lt;&gt;")</f>
        <v>6</v>
      </c>
      <c r="AO574">
        <f>COUNTIF($Y$2:$AG$2,"&lt;&gt;")</f>
        <v>9</v>
      </c>
      <c r="AQ574" t="s">
        <v>54</v>
      </c>
      <c r="AS574">
        <f>COUNTIF($B$2:$AG$2,"&lt;&gt;")</f>
        <v>32</v>
      </c>
      <c r="AT574">
        <f>COUNTIF($B$2:$I$2,"&lt;&gt;")</f>
        <v>8</v>
      </c>
      <c r="AU574">
        <f>COUNTIF($J$2:$R$2,"&lt;&gt;")</f>
        <v>9</v>
      </c>
      <c r="AV574">
        <f>COUNTIF($S$2:$X$2,"&lt;&gt;")</f>
        <v>6</v>
      </c>
      <c r="AW574">
        <f>COUNTIF($Y$2:$AG$2,"&lt;&gt;")</f>
        <v>9</v>
      </c>
      <c r="AY574" t="s">
        <v>54</v>
      </c>
      <c r="BA574">
        <f>COUNTIF($B$2:$AG$2,"&lt;&gt;")</f>
        <v>32</v>
      </c>
      <c r="BB574">
        <f>COUNTIF($B$2:$I$2,"&lt;&gt;")</f>
        <v>8</v>
      </c>
      <c r="BC574">
        <f>COUNTIF($J$2:$R$2,"&lt;&gt;")</f>
        <v>9</v>
      </c>
      <c r="BD574">
        <f>COUNTIF($S$2:$X$2,"&lt;&gt;")</f>
        <v>6</v>
      </c>
      <c r="BE574">
        <f>COUNTIF($Y$2:$AG$2,"&lt;&gt;")</f>
        <v>9</v>
      </c>
    </row>
    <row r="575" spans="1:57" x14ac:dyDescent="0.25">
      <c r="F575" t="s">
        <v>55</v>
      </c>
      <c r="H575" t="s">
        <v>113</v>
      </c>
      <c r="J575">
        <f>COUNTIF($B$54:$B$235,"&lt;&gt;")</f>
        <v>182</v>
      </c>
      <c r="M575" t="s">
        <v>56</v>
      </c>
      <c r="S575" t="s">
        <v>57</v>
      </c>
      <c r="U575">
        <f>COUNTIF($A$3:$A$511,"&lt;&gt;")</f>
        <v>509</v>
      </c>
      <c r="AA575" t="s">
        <v>57</v>
      </c>
      <c r="AC575">
        <f>SUM($J$524:$J$525)</f>
        <v>275</v>
      </c>
      <c r="AE575" t="s">
        <v>57</v>
      </c>
      <c r="AG575">
        <f>SUM($Q$525:$Q$526)</f>
        <v>234</v>
      </c>
      <c r="AI575" t="s">
        <v>57</v>
      </c>
      <c r="AK575">
        <f>COUNTIF($A$3:$A$511,"&lt;&gt;")</f>
        <v>509</v>
      </c>
      <c r="AL575">
        <f t="shared" ref="AL575:AO575" si="55">COUNTIF($A$3:$A$511,"&lt;&gt;")</f>
        <v>509</v>
      </c>
      <c r="AM575">
        <f t="shared" si="55"/>
        <v>509</v>
      </c>
      <c r="AN575">
        <f t="shared" si="55"/>
        <v>509</v>
      </c>
      <c r="AO575">
        <f t="shared" si="55"/>
        <v>509</v>
      </c>
      <c r="AQ575" t="s">
        <v>57</v>
      </c>
      <c r="AS575">
        <f>SUM($J$524:$J$525)</f>
        <v>275</v>
      </c>
      <c r="AT575">
        <f t="shared" ref="AT575:AW575" si="56">SUM($J$524:$J$525)</f>
        <v>275</v>
      </c>
      <c r="AU575">
        <f t="shared" si="56"/>
        <v>275</v>
      </c>
      <c r="AV575">
        <f t="shared" si="56"/>
        <v>275</v>
      </c>
      <c r="AW575">
        <f t="shared" si="56"/>
        <v>275</v>
      </c>
      <c r="AY575" t="s">
        <v>57</v>
      </c>
      <c r="BA575">
        <f>SUM($Q$525:$Q$526)</f>
        <v>234</v>
      </c>
      <c r="BB575">
        <f t="shared" ref="BB575:BE575" si="57">SUM($Q$525:$Q$526)</f>
        <v>234</v>
      </c>
      <c r="BC575">
        <f t="shared" si="57"/>
        <v>234</v>
      </c>
      <c r="BD575">
        <f t="shared" si="57"/>
        <v>234</v>
      </c>
      <c r="BE575">
        <f t="shared" si="57"/>
        <v>234</v>
      </c>
    </row>
    <row r="576" spans="1:57" x14ac:dyDescent="0.25">
      <c r="F576" t="s">
        <v>58</v>
      </c>
      <c r="H576" t="s">
        <v>114</v>
      </c>
      <c r="J576">
        <f>COUNTIF($B$419:$B$511,"&lt;&gt;")</f>
        <v>93</v>
      </c>
      <c r="M576" t="s">
        <v>74</v>
      </c>
      <c r="O576" t="s">
        <v>115</v>
      </c>
      <c r="Q576">
        <f>COUNTIF($B$3:$B$53,"&lt;&gt;")</f>
        <v>51</v>
      </c>
      <c r="S576" t="s">
        <v>60</v>
      </c>
      <c r="U576">
        <f>U575*U574</f>
        <v>16288</v>
      </c>
      <c r="V576" t="s">
        <v>61</v>
      </c>
      <c r="AA576" t="s">
        <v>60</v>
      </c>
      <c r="AC576">
        <f>AC575*AC574</f>
        <v>8800</v>
      </c>
      <c r="AE576" t="s">
        <v>60</v>
      </c>
      <c r="AG576">
        <f>AG574*AG575</f>
        <v>7488</v>
      </c>
      <c r="AI576" t="s">
        <v>60</v>
      </c>
      <c r="AK576">
        <f>AK575*AK574</f>
        <v>16288</v>
      </c>
      <c r="AL576">
        <f t="shared" ref="AL576:AO576" si="58">AL575*AL574</f>
        <v>4072</v>
      </c>
      <c r="AM576">
        <f t="shared" si="58"/>
        <v>4581</v>
      </c>
      <c r="AN576">
        <f t="shared" si="58"/>
        <v>3054</v>
      </c>
      <c r="AO576">
        <f t="shared" si="58"/>
        <v>4581</v>
      </c>
      <c r="AQ576" t="s">
        <v>60</v>
      </c>
      <c r="AS576">
        <f>AS575*AS574</f>
        <v>8800</v>
      </c>
      <c r="AT576">
        <f t="shared" ref="AT576:AW576" si="59">AT575*AT574</f>
        <v>2200</v>
      </c>
      <c r="AU576">
        <f t="shared" si="59"/>
        <v>2475</v>
      </c>
      <c r="AV576">
        <f t="shared" si="59"/>
        <v>1650</v>
      </c>
      <c r="AW576">
        <f t="shared" si="59"/>
        <v>2475</v>
      </c>
      <c r="AY576" t="s">
        <v>60</v>
      </c>
      <c r="BA576">
        <f>BA575*BA574</f>
        <v>7488</v>
      </c>
      <c r="BB576">
        <f t="shared" ref="BB576:BE576" si="60">BB575*BB574</f>
        <v>1872</v>
      </c>
      <c r="BC576">
        <f t="shared" si="60"/>
        <v>2106</v>
      </c>
      <c r="BD576">
        <f t="shared" si="60"/>
        <v>1404</v>
      </c>
      <c r="BE576">
        <f t="shared" si="60"/>
        <v>2106</v>
      </c>
    </row>
    <row r="577" spans="13:57" x14ac:dyDescent="0.25">
      <c r="M577" t="s">
        <v>59</v>
      </c>
      <c r="O577" t="s">
        <v>116</v>
      </c>
      <c r="Q577">
        <f>COUNTIF($B$236:$B$418,"&lt;&gt;")</f>
        <v>183</v>
      </c>
      <c r="S577" t="s">
        <v>77</v>
      </c>
      <c r="U577">
        <f>SUM(B563:AG563)</f>
        <v>2592</v>
      </c>
      <c r="V577" t="s">
        <v>62</v>
      </c>
      <c r="AA577" t="s">
        <v>77</v>
      </c>
      <c r="AC577">
        <f>SUM(B568:AG568)</f>
        <v>1142</v>
      </c>
      <c r="AE577" t="s">
        <v>77</v>
      </c>
      <c r="AG577">
        <f>SUM(B569:AG569)</f>
        <v>1450</v>
      </c>
      <c r="AI577" t="s">
        <v>77</v>
      </c>
      <c r="AK577">
        <f>SUM(B563:AG563)</f>
        <v>2592</v>
      </c>
      <c r="AL577">
        <f>SUM(B563:I563)</f>
        <v>2347</v>
      </c>
      <c r="AM577">
        <f>SUM(J563:R563)</f>
        <v>245</v>
      </c>
      <c r="AN577">
        <f>SUM(S563:X563)</f>
        <v>0</v>
      </c>
      <c r="AO577">
        <f>SUM(Y563:AG563)</f>
        <v>0</v>
      </c>
      <c r="AQ577" t="s">
        <v>77</v>
      </c>
      <c r="AS577">
        <f>SUM(B568:AG568)</f>
        <v>1142</v>
      </c>
      <c r="AT577">
        <f>SUM(B568:I568)</f>
        <v>1016</v>
      </c>
      <c r="AU577">
        <f>SUM(J568:R568)</f>
        <v>126</v>
      </c>
      <c r="AV577">
        <f>SUM(S568:X568)</f>
        <v>0</v>
      </c>
      <c r="AW577">
        <f>SUM(Y568:AG568)</f>
        <v>0</v>
      </c>
      <c r="AY577" t="s">
        <v>77</v>
      </c>
      <c r="BA577">
        <f>SUM($B569:$AG569)</f>
        <v>1450</v>
      </c>
      <c r="BB577">
        <f>SUM(B569:I569)</f>
        <v>1331</v>
      </c>
      <c r="BC577">
        <f>SUM(J569:R569)</f>
        <v>119</v>
      </c>
      <c r="BD577">
        <f>SUM(S569:X569)</f>
        <v>0</v>
      </c>
      <c r="BE577">
        <f>SUM(Y569:AG569)</f>
        <v>0</v>
      </c>
    </row>
    <row r="578" spans="13:57" x14ac:dyDescent="0.25">
      <c r="S578" t="s">
        <v>63</v>
      </c>
      <c r="U578">
        <f>$U577/$U576</f>
        <v>0.15913555992141454</v>
      </c>
      <c r="AA578" t="s">
        <v>64</v>
      </c>
      <c r="AC578">
        <f>AC577/AC576</f>
        <v>0.12977272727272726</v>
      </c>
      <c r="AE578" t="s">
        <v>65</v>
      </c>
      <c r="AG578">
        <f>AG577/AG576</f>
        <v>0.1936431623931624</v>
      </c>
      <c r="AI578" t="s">
        <v>63</v>
      </c>
      <c r="AK578">
        <f>AK577/AK576</f>
        <v>0.15913555992141454</v>
      </c>
      <c r="AL578">
        <f t="shared" ref="AL578:AO578" si="61">AL577/AL576</f>
        <v>0.57637524557956776</v>
      </c>
      <c r="AM578">
        <f t="shared" si="61"/>
        <v>5.3481772538746995E-2</v>
      </c>
      <c r="AN578">
        <f t="shared" si="61"/>
        <v>0</v>
      </c>
      <c r="AO578">
        <f t="shared" si="61"/>
        <v>0</v>
      </c>
      <c r="AQ578" t="s">
        <v>64</v>
      </c>
      <c r="AS578">
        <f>AS577/AS576</f>
        <v>0.12977272727272726</v>
      </c>
      <c r="AT578">
        <f t="shared" ref="AT578:AW578" si="62">AT577/AT576</f>
        <v>0.46181818181818179</v>
      </c>
      <c r="AU578">
        <f t="shared" si="62"/>
        <v>5.0909090909090911E-2</v>
      </c>
      <c r="AV578">
        <f t="shared" si="62"/>
        <v>0</v>
      </c>
      <c r="AW578">
        <f t="shared" si="62"/>
        <v>0</v>
      </c>
      <c r="AY578" t="s">
        <v>65</v>
      </c>
      <c r="BA578">
        <f>BA577/BA576</f>
        <v>0.1936431623931624</v>
      </c>
      <c r="BB578">
        <f t="shared" ref="BB578:BE578" si="63">BB577/BB576</f>
        <v>0.71100427350427353</v>
      </c>
      <c r="BC578">
        <f t="shared" si="63"/>
        <v>5.6505223171889836E-2</v>
      </c>
      <c r="BD578">
        <f t="shared" si="63"/>
        <v>0</v>
      </c>
      <c r="BE578">
        <f t="shared" si="63"/>
        <v>0</v>
      </c>
    </row>
  </sheetData>
  <mergeCells count="4">
    <mergeCell ref="B1:I1"/>
    <mergeCell ref="J1:R1"/>
    <mergeCell ref="S1:X1"/>
    <mergeCell ref="Y1:AG1"/>
  </mergeCells>
  <pageMargins left="0.7" right="0.7" top="0.75" bottom="0.75" header="0.3" footer="0.3"/>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E578"/>
  <sheetViews>
    <sheetView topLeftCell="L553" workbookViewId="0">
      <selection activeCell="AQ556" sqref="AQ556"/>
    </sheetView>
  </sheetViews>
  <sheetFormatPr defaultColWidth="11.42578125" defaultRowHeight="15" x14ac:dyDescent="0.25"/>
  <sheetData>
    <row r="1" spans="1:33" x14ac:dyDescent="0.25">
      <c r="B1" s="135" t="s">
        <v>33</v>
      </c>
      <c r="C1" s="135"/>
      <c r="D1" s="135"/>
      <c r="E1" s="135"/>
      <c r="F1" s="135"/>
      <c r="G1" s="135"/>
      <c r="H1" s="135"/>
      <c r="I1" s="135"/>
      <c r="J1" s="136" t="s">
        <v>34</v>
      </c>
      <c r="K1" s="136"/>
      <c r="L1" s="136"/>
      <c r="M1" s="136"/>
      <c r="N1" s="136"/>
      <c r="O1" s="136"/>
      <c r="P1" s="136"/>
      <c r="Q1" s="136"/>
      <c r="R1" s="136"/>
      <c r="S1" s="137" t="s">
        <v>35</v>
      </c>
      <c r="T1" s="137"/>
      <c r="U1" s="137"/>
      <c r="V1" s="137"/>
      <c r="W1" s="137"/>
      <c r="X1" s="137"/>
      <c r="Y1" s="138" t="s">
        <v>36</v>
      </c>
      <c r="Z1" s="138"/>
      <c r="AA1" s="138"/>
      <c r="AB1" s="138"/>
      <c r="AC1" s="138"/>
      <c r="AD1" s="138"/>
      <c r="AE1" s="138"/>
      <c r="AF1" s="138"/>
      <c r="AG1" s="138"/>
    </row>
    <row r="2" spans="1:33" x14ac:dyDescent="0.25">
      <c r="A2" t="s">
        <v>0</v>
      </c>
      <c r="B2" t="s">
        <v>1</v>
      </c>
      <c r="C2" t="s">
        <v>2</v>
      </c>
      <c r="D2" t="s">
        <v>3</v>
      </c>
      <c r="E2" t="s">
        <v>4</v>
      </c>
      <c r="F2" t="s">
        <v>5</v>
      </c>
      <c r="G2" t="s">
        <v>6</v>
      </c>
      <c r="H2" t="s">
        <v>7</v>
      </c>
      <c r="I2" t="s">
        <v>8</v>
      </c>
      <c r="J2" t="s">
        <v>9</v>
      </c>
      <c r="K2" t="s">
        <v>10</v>
      </c>
      <c r="L2" t="s">
        <v>11</v>
      </c>
      <c r="M2" t="s">
        <v>12</v>
      </c>
      <c r="N2" t="s">
        <v>13</v>
      </c>
      <c r="O2" t="s">
        <v>14</v>
      </c>
      <c r="P2" t="s">
        <v>15</v>
      </c>
      <c r="Q2" t="s">
        <v>16</v>
      </c>
      <c r="R2" t="s">
        <v>17</v>
      </c>
      <c r="S2" t="s">
        <v>18</v>
      </c>
      <c r="T2" t="s">
        <v>19</v>
      </c>
      <c r="U2" t="s">
        <v>20</v>
      </c>
      <c r="V2" t="s">
        <v>21</v>
      </c>
      <c r="W2" t="s">
        <v>22</v>
      </c>
      <c r="X2" t="s">
        <v>23</v>
      </c>
      <c r="Y2" t="s">
        <v>24</v>
      </c>
      <c r="Z2" t="s">
        <v>25</v>
      </c>
      <c r="AA2" t="s">
        <v>26</v>
      </c>
      <c r="AB2" t="s">
        <v>27</v>
      </c>
      <c r="AC2" t="s">
        <v>28</v>
      </c>
      <c r="AD2" t="s">
        <v>29</v>
      </c>
      <c r="AE2" t="s">
        <v>30</v>
      </c>
      <c r="AF2" t="s">
        <v>31</v>
      </c>
      <c r="AG2" t="s">
        <v>32</v>
      </c>
    </row>
    <row r="3" spans="1:33" x14ac:dyDescent="0.25">
      <c r="A3" s="1">
        <v>44054</v>
      </c>
      <c r="B3">
        <v>15899.1499619845</v>
      </c>
      <c r="C3">
        <v>10968.882375695801</v>
      </c>
      <c r="D3">
        <v>13592.893449617801</v>
      </c>
      <c r="E3">
        <v>15099.4590264986</v>
      </c>
      <c r="F3">
        <v>16167.564966759601</v>
      </c>
      <c r="G3">
        <v>14496.1721365103</v>
      </c>
      <c r="H3">
        <v>34113.559742951802</v>
      </c>
      <c r="I3">
        <v>17919.874881784701</v>
      </c>
      <c r="J3">
        <v>1119.1487999569299</v>
      </c>
      <c r="K3">
        <v>1821.6917615791299</v>
      </c>
      <c r="L3">
        <v>334.354635604848</v>
      </c>
      <c r="M3">
        <v>13719.9489129347</v>
      </c>
      <c r="N3">
        <v>3682.0455207508298</v>
      </c>
      <c r="O3">
        <v>462.50457529358403</v>
      </c>
      <c r="P3">
        <v>2091.1844549925599</v>
      </c>
      <c r="Q3">
        <v>11317.6703601804</v>
      </c>
      <c r="R3">
        <v>731.55017557781002</v>
      </c>
      <c r="S3">
        <v>156.52564505838399</v>
      </c>
      <c r="T3">
        <v>324.63211904580101</v>
      </c>
      <c r="U3">
        <v>156.55141000189801</v>
      </c>
      <c r="V3">
        <v>328.84967230480999</v>
      </c>
      <c r="W3">
        <v>158.90334149723199</v>
      </c>
      <c r="X3">
        <v>190.905913448674</v>
      </c>
      <c r="Y3">
        <v>319.79430757096202</v>
      </c>
      <c r="Z3">
        <v>324.63126381152802</v>
      </c>
      <c r="AA3">
        <v>315.49213361379799</v>
      </c>
      <c r="AB3">
        <v>336.88657201228199</v>
      </c>
      <c r="AC3">
        <v>422.03320663017502</v>
      </c>
      <c r="AD3">
        <v>302.83734037353003</v>
      </c>
      <c r="AE3">
        <v>521.86996125618703</v>
      </c>
      <c r="AF3">
        <v>369.91483106035099</v>
      </c>
      <c r="AG3">
        <v>286.13794333213298</v>
      </c>
    </row>
    <row r="4" spans="1:33" x14ac:dyDescent="0.25">
      <c r="A4" s="1">
        <v>44055</v>
      </c>
      <c r="B4">
        <v>15707.191924381201</v>
      </c>
      <c r="C4">
        <v>10522.7071162877</v>
      </c>
      <c r="D4">
        <v>13804.327335898501</v>
      </c>
      <c r="E4">
        <v>14907.550390141299</v>
      </c>
      <c r="F4">
        <v>17052.5391559202</v>
      </c>
      <c r="G4">
        <v>16473.417899364998</v>
      </c>
      <c r="H4">
        <v>33652.518794434603</v>
      </c>
      <c r="I4">
        <v>17839.423753788298</v>
      </c>
      <c r="J4">
        <v>1202.0731794956901</v>
      </c>
      <c r="K4">
        <v>1946.6623124641501</v>
      </c>
      <c r="L4">
        <v>377.00727998145101</v>
      </c>
      <c r="M4">
        <v>14542.6989426693</v>
      </c>
      <c r="N4">
        <v>4235.5161431234401</v>
      </c>
      <c r="O4">
        <v>608.97842464044197</v>
      </c>
      <c r="P4">
        <v>2415.9345451294198</v>
      </c>
      <c r="Q4">
        <v>12348.237091208</v>
      </c>
      <c r="R4">
        <v>843.871843535322</v>
      </c>
      <c r="S4">
        <v>157.11939699890999</v>
      </c>
      <c r="T4">
        <v>350.82402610003902</v>
      </c>
      <c r="U4">
        <v>158.547541260846</v>
      </c>
      <c r="V4">
        <v>332.12553592655502</v>
      </c>
      <c r="W4">
        <v>159.90489041645901</v>
      </c>
      <c r="X4">
        <v>202.22278359563299</v>
      </c>
      <c r="Y4">
        <v>319.53759479222202</v>
      </c>
      <c r="Z4">
        <v>309.72753553334098</v>
      </c>
      <c r="AA4">
        <v>320.75545408965701</v>
      </c>
      <c r="AB4">
        <v>316.35347422297002</v>
      </c>
      <c r="AC4">
        <v>429.33460956870101</v>
      </c>
      <c r="AD4">
        <v>328.71756732869</v>
      </c>
      <c r="AE4">
        <v>522.89232288602898</v>
      </c>
      <c r="AF4">
        <v>362.747430276307</v>
      </c>
      <c r="AG4">
        <v>285.12723712006903</v>
      </c>
    </row>
    <row r="5" spans="1:33" x14ac:dyDescent="0.25">
      <c r="A5" s="1">
        <v>44056</v>
      </c>
      <c r="B5">
        <v>15341.502524531499</v>
      </c>
      <c r="C5">
        <v>10644.625739679601</v>
      </c>
      <c r="D5">
        <v>13920.5688359453</v>
      </c>
      <c r="E5">
        <v>14991.9990363574</v>
      </c>
      <c r="F5">
        <v>17487.4615850804</v>
      </c>
      <c r="G5">
        <v>16924.310931703301</v>
      </c>
      <c r="H5">
        <v>32376.5601326623</v>
      </c>
      <c r="I5">
        <v>18273.0952993432</v>
      </c>
      <c r="J5">
        <v>1237.6414243331899</v>
      </c>
      <c r="K5">
        <v>2120.21016399584</v>
      </c>
      <c r="L5">
        <v>488.367909427283</v>
      </c>
      <c r="M5">
        <v>14968.353442923901</v>
      </c>
      <c r="N5">
        <v>4418.8297561070003</v>
      </c>
      <c r="O5">
        <v>635.08109023136603</v>
      </c>
      <c r="P5">
        <v>2693.86268676488</v>
      </c>
      <c r="Q5">
        <v>12887.1681886571</v>
      </c>
      <c r="R5">
        <v>869.530280006976</v>
      </c>
      <c r="S5">
        <v>157.48950670277401</v>
      </c>
      <c r="T5">
        <v>310.76722072041503</v>
      </c>
      <c r="U5">
        <v>159.16276730959299</v>
      </c>
      <c r="V5">
        <v>283.23026005139798</v>
      </c>
      <c r="W5">
        <v>153.69114547938099</v>
      </c>
      <c r="X5">
        <v>173.45704067607301</v>
      </c>
      <c r="Y5">
        <v>328.25445212875798</v>
      </c>
      <c r="Z5">
        <v>293.10410567528999</v>
      </c>
      <c r="AA5">
        <v>316.77028285142802</v>
      </c>
      <c r="AB5">
        <v>346.14396266226203</v>
      </c>
      <c r="AC5">
        <v>437.94419364137798</v>
      </c>
      <c r="AD5">
        <v>379.13110693237098</v>
      </c>
      <c r="AE5">
        <v>587.13227409028002</v>
      </c>
      <c r="AF5">
        <v>360.575661675508</v>
      </c>
      <c r="AG5">
        <v>335.66013640827299</v>
      </c>
    </row>
    <row r="6" spans="1:33" x14ac:dyDescent="0.25">
      <c r="A6" s="1">
        <v>44057</v>
      </c>
      <c r="B6">
        <v>15026.5981435346</v>
      </c>
      <c r="C6">
        <v>11565.0270210748</v>
      </c>
      <c r="D6">
        <v>14082.844641400799</v>
      </c>
      <c r="E6">
        <v>15183.6827102961</v>
      </c>
      <c r="F6">
        <v>17661.862294997201</v>
      </c>
      <c r="G6">
        <v>17144.685002101</v>
      </c>
      <c r="H6">
        <v>31483.9858242425</v>
      </c>
      <c r="I6">
        <v>19189.363727609601</v>
      </c>
      <c r="J6">
        <v>1285.9892429314</v>
      </c>
      <c r="K6">
        <v>2270.97196697035</v>
      </c>
      <c r="L6">
        <v>581.82059129008996</v>
      </c>
      <c r="M6">
        <v>15170.4086394237</v>
      </c>
      <c r="N6">
        <v>4576.9849192701404</v>
      </c>
      <c r="O6">
        <v>639.666245203259</v>
      </c>
      <c r="P6">
        <v>2861.8302155811298</v>
      </c>
      <c r="Q6">
        <v>13150.014125468901</v>
      </c>
      <c r="R6">
        <v>891.60306073740401</v>
      </c>
      <c r="S6">
        <v>157.55478309440301</v>
      </c>
      <c r="T6">
        <v>300.183324867789</v>
      </c>
      <c r="U6">
        <v>147.083887530168</v>
      </c>
      <c r="V6">
        <v>289.11852783793501</v>
      </c>
      <c r="W6">
        <v>138.84885123496301</v>
      </c>
      <c r="X6">
        <v>177.791758729446</v>
      </c>
      <c r="Y6">
        <v>364.257823722441</v>
      </c>
      <c r="Z6">
        <v>261.14492760573199</v>
      </c>
      <c r="AA6">
        <v>315.98949469614701</v>
      </c>
      <c r="AB6">
        <v>387.50133655379801</v>
      </c>
      <c r="AC6">
        <v>446.88236581294899</v>
      </c>
      <c r="AD6">
        <v>441.75384846457899</v>
      </c>
      <c r="AE6">
        <v>591.26947389257305</v>
      </c>
      <c r="AF6">
        <v>358.33149794465299</v>
      </c>
      <c r="AG6">
        <v>345.00087102072399</v>
      </c>
    </row>
    <row r="7" spans="1:33" x14ac:dyDescent="0.25">
      <c r="A7" s="1">
        <v>44058</v>
      </c>
      <c r="B7">
        <v>14981.9627895662</v>
      </c>
      <c r="C7">
        <v>12234.0068986973</v>
      </c>
      <c r="D7">
        <v>14273.5057373158</v>
      </c>
      <c r="E7">
        <v>15561.3016686188</v>
      </c>
      <c r="F7">
        <v>18102.6825724304</v>
      </c>
      <c r="G7">
        <v>17943.854809444802</v>
      </c>
      <c r="H7">
        <v>31577.5062777198</v>
      </c>
      <c r="I7">
        <v>19939.573215180699</v>
      </c>
      <c r="J7">
        <v>1384.78677132289</v>
      </c>
      <c r="K7">
        <v>2509.5934425257201</v>
      </c>
      <c r="L7">
        <v>671.90650361041003</v>
      </c>
      <c r="M7">
        <v>15876.403862627199</v>
      </c>
      <c r="N7">
        <v>5126.6152221153498</v>
      </c>
      <c r="O7">
        <v>704.673306107597</v>
      </c>
      <c r="P7">
        <v>3146.4092327816702</v>
      </c>
      <c r="Q7">
        <v>13888.3446146969</v>
      </c>
      <c r="R7">
        <v>965.381730340834</v>
      </c>
      <c r="S7">
        <v>157.48342250297</v>
      </c>
      <c r="T7">
        <v>346.99121679633498</v>
      </c>
      <c r="U7">
        <v>136.15655207729199</v>
      </c>
      <c r="V7">
        <v>336.25509755928999</v>
      </c>
      <c r="W7">
        <v>133.154251348223</v>
      </c>
      <c r="X7">
        <v>198.28626274476301</v>
      </c>
      <c r="Y7">
        <v>384.14379004210002</v>
      </c>
      <c r="Z7">
        <v>225.308997183542</v>
      </c>
      <c r="AA7">
        <v>316.99665559814099</v>
      </c>
      <c r="AB7">
        <v>398.54840954201899</v>
      </c>
      <c r="AC7">
        <v>452.63302021757403</v>
      </c>
      <c r="AD7">
        <v>516.29601378487905</v>
      </c>
      <c r="AE7">
        <v>560.60161683178796</v>
      </c>
      <c r="AF7">
        <v>352.38203157276303</v>
      </c>
      <c r="AG7">
        <v>344.82653454036603</v>
      </c>
    </row>
    <row r="8" spans="1:33" x14ac:dyDescent="0.25">
      <c r="A8" s="1">
        <v>44059</v>
      </c>
      <c r="B8">
        <v>15091.820086517901</v>
      </c>
      <c r="C8">
        <v>12832.0171708938</v>
      </c>
      <c r="D8">
        <v>14473.043618621001</v>
      </c>
      <c r="E8">
        <v>15902.338118870701</v>
      </c>
      <c r="F8">
        <v>18626.413611989199</v>
      </c>
      <c r="G8">
        <v>18318.726156178</v>
      </c>
      <c r="H8">
        <v>31259.517408040199</v>
      </c>
      <c r="I8">
        <v>20737.377436641</v>
      </c>
      <c r="J8">
        <v>1504.7902451933401</v>
      </c>
      <c r="K8">
        <v>2682.7122402145901</v>
      </c>
      <c r="L8">
        <v>738.88301624266205</v>
      </c>
      <c r="M8">
        <v>16268.205666244299</v>
      </c>
      <c r="N8">
        <v>5439.51696954402</v>
      </c>
      <c r="O8">
        <v>757.767759271145</v>
      </c>
      <c r="P8">
        <v>3298.8727099756302</v>
      </c>
      <c r="Q8">
        <v>14260.692987286</v>
      </c>
      <c r="R8">
        <v>1024.0668714206799</v>
      </c>
      <c r="S8">
        <v>157.56136935325901</v>
      </c>
      <c r="T8">
        <v>402.41320357869699</v>
      </c>
      <c r="U8">
        <v>131.74809309308199</v>
      </c>
      <c r="V8">
        <v>372.26105292292903</v>
      </c>
      <c r="W8">
        <v>132.406039975504</v>
      </c>
      <c r="X8">
        <v>208.764473038349</v>
      </c>
      <c r="Y8">
        <v>394.22122686244597</v>
      </c>
      <c r="Z8">
        <v>186.39576823494599</v>
      </c>
      <c r="AA8">
        <v>316.70632033199001</v>
      </c>
      <c r="AB8">
        <v>405.19167133781502</v>
      </c>
      <c r="AC8">
        <v>457.957588139677</v>
      </c>
      <c r="AD8">
        <v>574.66728770107602</v>
      </c>
      <c r="AE8">
        <v>567.06969163960605</v>
      </c>
      <c r="AF8">
        <v>346.77131116282101</v>
      </c>
      <c r="AG8">
        <v>341.437030847019</v>
      </c>
    </row>
    <row r="9" spans="1:33" x14ac:dyDescent="0.25">
      <c r="A9" s="1">
        <v>44060</v>
      </c>
      <c r="B9">
        <v>15227.2863278557</v>
      </c>
      <c r="C9">
        <v>13404.828657627</v>
      </c>
      <c r="D9">
        <v>14646.162101796899</v>
      </c>
      <c r="E9">
        <v>16156.649834116</v>
      </c>
      <c r="F9">
        <v>18675.274192929399</v>
      </c>
      <c r="G9">
        <v>18033.329441387701</v>
      </c>
      <c r="H9">
        <v>30364.788160127799</v>
      </c>
      <c r="I9">
        <v>21445.852213719099</v>
      </c>
      <c r="J9">
        <v>1596.01225850686</v>
      </c>
      <c r="K9">
        <v>2708.2631137291</v>
      </c>
      <c r="L9">
        <v>779.24680460827199</v>
      </c>
      <c r="M9">
        <v>15983.513775372699</v>
      </c>
      <c r="N9">
        <v>5371.5814633555501</v>
      </c>
      <c r="O9">
        <v>756.75619792897703</v>
      </c>
      <c r="P9">
        <v>3328.4437624114498</v>
      </c>
      <c r="Q9">
        <v>14003.4344317822</v>
      </c>
      <c r="R9">
        <v>1029.83447786643</v>
      </c>
      <c r="S9">
        <v>157.931263732296</v>
      </c>
      <c r="T9">
        <v>412.75268814287801</v>
      </c>
      <c r="U9">
        <v>131.526099635793</v>
      </c>
      <c r="V9">
        <v>380.63491815630101</v>
      </c>
      <c r="W9">
        <v>134.52613027156301</v>
      </c>
      <c r="X9">
        <v>210.122632322643</v>
      </c>
      <c r="Y9">
        <v>405.12233161937502</v>
      </c>
      <c r="Z9">
        <v>169.38709049313101</v>
      </c>
      <c r="AA9">
        <v>318.56030227260101</v>
      </c>
      <c r="AB9">
        <v>417.111616827251</v>
      </c>
      <c r="AC9">
        <v>465.869135033649</v>
      </c>
      <c r="AD9">
        <v>604.07267535807898</v>
      </c>
      <c r="AE9">
        <v>553.35796000644098</v>
      </c>
      <c r="AF9">
        <v>346.56075843171601</v>
      </c>
      <c r="AG9">
        <v>335.71469682665298</v>
      </c>
    </row>
    <row r="10" spans="1:33" x14ac:dyDescent="0.25">
      <c r="A10" s="1">
        <v>44061</v>
      </c>
      <c r="B10">
        <v>15471.280461455101</v>
      </c>
      <c r="C10">
        <v>13837.527359417199</v>
      </c>
      <c r="D10">
        <v>14905.7245446508</v>
      </c>
      <c r="E10">
        <v>16511.453196777798</v>
      </c>
      <c r="F10">
        <v>18578.8436394571</v>
      </c>
      <c r="G10">
        <v>17907.5472909731</v>
      </c>
      <c r="H10">
        <v>30012.340492010098</v>
      </c>
      <c r="I10">
        <v>21657.1754864535</v>
      </c>
      <c r="J10">
        <v>1707.9949382060299</v>
      </c>
      <c r="K10">
        <v>2746.9321652695398</v>
      </c>
      <c r="L10">
        <v>812.36746564832299</v>
      </c>
      <c r="M10">
        <v>15851.476605502499</v>
      </c>
      <c r="N10">
        <v>5411.25562995768</v>
      </c>
      <c r="O10">
        <v>760.00950139004794</v>
      </c>
      <c r="P10">
        <v>3347.6037981239601</v>
      </c>
      <c r="Q10">
        <v>13882.4542963035</v>
      </c>
      <c r="R10">
        <v>1046.00950348168</v>
      </c>
      <c r="S10">
        <v>158.63744760276899</v>
      </c>
      <c r="T10">
        <v>414.54265808684403</v>
      </c>
      <c r="U10">
        <v>138.26796593290999</v>
      </c>
      <c r="V10">
        <v>390.00899777071101</v>
      </c>
      <c r="W10">
        <v>137.81650657824801</v>
      </c>
      <c r="X10">
        <v>211.84322392267799</v>
      </c>
      <c r="Y10">
        <v>421.480699292672</v>
      </c>
      <c r="Z10">
        <v>161.21585424139701</v>
      </c>
      <c r="AA10">
        <v>325.21899612685598</v>
      </c>
      <c r="AB10">
        <v>427.90193415979201</v>
      </c>
      <c r="AC10">
        <v>473.45741600723301</v>
      </c>
      <c r="AD10">
        <v>629.86734295228098</v>
      </c>
      <c r="AE10">
        <v>521.47275931463003</v>
      </c>
      <c r="AF10">
        <v>348.649461344104</v>
      </c>
      <c r="AG10">
        <v>332.32612521190202</v>
      </c>
    </row>
    <row r="11" spans="1:33" x14ac:dyDescent="0.25">
      <c r="A11" s="1">
        <v>44062</v>
      </c>
      <c r="B11">
        <v>15840.459415793899</v>
      </c>
      <c r="C11">
        <v>14127.9222230293</v>
      </c>
      <c r="D11">
        <v>15254.223465048801</v>
      </c>
      <c r="E11">
        <v>16956.305729907101</v>
      </c>
      <c r="F11">
        <v>18655.695460390099</v>
      </c>
      <c r="G11">
        <v>18172.849248646398</v>
      </c>
      <c r="H11">
        <v>30129.1092342255</v>
      </c>
      <c r="I11">
        <v>21747.195121752</v>
      </c>
      <c r="J11">
        <v>1839.19105207898</v>
      </c>
      <c r="K11">
        <v>2846.59077397484</v>
      </c>
      <c r="L11">
        <v>864.57606354887696</v>
      </c>
      <c r="M11">
        <v>16113.224609223</v>
      </c>
      <c r="N11">
        <v>5640.2449997007398</v>
      </c>
      <c r="O11">
        <v>807.55261290654505</v>
      </c>
      <c r="P11">
        <v>3428.6847448988101</v>
      </c>
      <c r="Q11">
        <v>14141.1264525764</v>
      </c>
      <c r="R11">
        <v>1107.8834458573399</v>
      </c>
      <c r="S11">
        <v>160.19454869629001</v>
      </c>
      <c r="T11">
        <v>451.93363798761601</v>
      </c>
      <c r="U11">
        <v>138.570156525794</v>
      </c>
      <c r="V11">
        <v>426.66502072527601</v>
      </c>
      <c r="W11">
        <v>138.73804935516199</v>
      </c>
      <c r="X11">
        <v>225.756221061719</v>
      </c>
      <c r="Y11">
        <v>438.69419513167799</v>
      </c>
      <c r="Z11">
        <v>152.33219562268599</v>
      </c>
      <c r="AA11">
        <v>334.13801102773903</v>
      </c>
      <c r="AB11">
        <v>460.17909593220401</v>
      </c>
      <c r="AC11">
        <v>478.41255723948098</v>
      </c>
      <c r="AD11">
        <v>671.05448745896194</v>
      </c>
      <c r="AE11">
        <v>553.07792111322601</v>
      </c>
      <c r="AF11">
        <v>346.91006685311498</v>
      </c>
      <c r="AG11">
        <v>334.74732230511103</v>
      </c>
    </row>
    <row r="12" spans="1:33" x14ac:dyDescent="0.25">
      <c r="A12" s="1">
        <v>44063</v>
      </c>
      <c r="B12">
        <v>16239.811477228501</v>
      </c>
      <c r="C12">
        <v>14378.243098787299</v>
      </c>
      <c r="D12">
        <v>15623.539750248199</v>
      </c>
      <c r="E12">
        <v>17378.3323972742</v>
      </c>
      <c r="F12">
        <v>18791.176008461</v>
      </c>
      <c r="G12">
        <v>18384.142890396099</v>
      </c>
      <c r="H12">
        <v>30099.9787512355</v>
      </c>
      <c r="I12">
        <v>21883.463129239601</v>
      </c>
      <c r="J12">
        <v>1965.7186841683399</v>
      </c>
      <c r="K12">
        <v>2903.1556509974398</v>
      </c>
      <c r="L12">
        <v>921.97292852566898</v>
      </c>
      <c r="M12">
        <v>16428.740245294499</v>
      </c>
      <c r="N12">
        <v>5854.4495147056596</v>
      </c>
      <c r="O12">
        <v>850.512471270113</v>
      </c>
      <c r="P12">
        <v>3506.1014925663499</v>
      </c>
      <c r="Q12">
        <v>14376.197901608501</v>
      </c>
      <c r="R12">
        <v>1173.4621453098</v>
      </c>
      <c r="S12">
        <v>162.60431686937099</v>
      </c>
      <c r="T12">
        <v>463.70671713185197</v>
      </c>
      <c r="U12">
        <v>138.55547420669399</v>
      </c>
      <c r="V12">
        <v>417.91771179790101</v>
      </c>
      <c r="W12">
        <v>138.669789870062</v>
      </c>
      <c r="X12">
        <v>213.60454519325199</v>
      </c>
      <c r="Y12">
        <v>468.40085364343997</v>
      </c>
      <c r="Z12">
        <v>143.424729730754</v>
      </c>
      <c r="AA12">
        <v>344.969541755146</v>
      </c>
      <c r="AB12">
        <v>485.52642859558199</v>
      </c>
      <c r="AC12">
        <v>480.88726387043101</v>
      </c>
      <c r="AD12">
        <v>711.51082574837005</v>
      </c>
      <c r="AE12">
        <v>517.11354407173496</v>
      </c>
      <c r="AF12">
        <v>344.60009898127601</v>
      </c>
      <c r="AG12">
        <v>344.53003361780497</v>
      </c>
    </row>
    <row r="13" spans="1:33" x14ac:dyDescent="0.25">
      <c r="A13" s="1">
        <v>44064</v>
      </c>
      <c r="B13">
        <v>16619.2332158278</v>
      </c>
      <c r="C13">
        <v>14494.337975410101</v>
      </c>
      <c r="D13">
        <v>16033.481759475</v>
      </c>
      <c r="E13">
        <v>17760.170227290298</v>
      </c>
      <c r="F13">
        <v>18968.857602034299</v>
      </c>
      <c r="G13">
        <v>18575.101831547701</v>
      </c>
      <c r="H13">
        <v>30075.0480200723</v>
      </c>
      <c r="I13">
        <v>22018.1256248303</v>
      </c>
      <c r="J13">
        <v>2066.5415441435998</v>
      </c>
      <c r="K13">
        <v>3036.0069543540499</v>
      </c>
      <c r="L13">
        <v>994.75426663717997</v>
      </c>
      <c r="M13">
        <v>16712.071300869498</v>
      </c>
      <c r="N13">
        <v>5988.6423143591001</v>
      </c>
      <c r="O13">
        <v>871.45724490980695</v>
      </c>
      <c r="P13">
        <v>3667.9626013298798</v>
      </c>
      <c r="Q13">
        <v>14633.646119639299</v>
      </c>
      <c r="R13">
        <v>1225.80041958729</v>
      </c>
      <c r="S13">
        <v>165.34692080103699</v>
      </c>
      <c r="T13">
        <v>440.22020518233097</v>
      </c>
      <c r="U13">
        <v>137.58239299299299</v>
      </c>
      <c r="V13">
        <v>388.01672962877097</v>
      </c>
      <c r="W13">
        <v>139.662971173464</v>
      </c>
      <c r="X13">
        <v>197.844787989053</v>
      </c>
      <c r="Y13">
        <v>505.09890376028602</v>
      </c>
      <c r="Z13">
        <v>139.74212106211999</v>
      </c>
      <c r="AA13">
        <v>359.83218392084098</v>
      </c>
      <c r="AB13">
        <v>511.94813374368499</v>
      </c>
      <c r="AC13">
        <v>482.95644343811</v>
      </c>
      <c r="AD13">
        <v>758.398543381997</v>
      </c>
      <c r="AE13">
        <v>558.83812622650998</v>
      </c>
      <c r="AF13">
        <v>342.12375547333102</v>
      </c>
      <c r="AG13">
        <v>361.87535194725098</v>
      </c>
    </row>
    <row r="14" spans="1:33" x14ac:dyDescent="0.25">
      <c r="A14" s="1">
        <v>44065</v>
      </c>
      <c r="B14">
        <v>16855.054411299701</v>
      </c>
      <c r="C14">
        <v>14683.6910908225</v>
      </c>
      <c r="D14">
        <v>16197.031880112299</v>
      </c>
      <c r="E14">
        <v>17851.5335865501</v>
      </c>
      <c r="F14">
        <v>18821.971018334501</v>
      </c>
      <c r="G14">
        <v>18322.8927015673</v>
      </c>
      <c r="H14">
        <v>29585.339024839199</v>
      </c>
      <c r="I14">
        <v>22099.2835359784</v>
      </c>
      <c r="J14">
        <v>2139.5760371780102</v>
      </c>
      <c r="K14">
        <v>3065.9034417905</v>
      </c>
      <c r="L14">
        <v>1030.8962512641699</v>
      </c>
      <c r="M14">
        <v>16430.545136789598</v>
      </c>
      <c r="N14">
        <v>5436.1079885731697</v>
      </c>
      <c r="O14">
        <v>845.80014245976895</v>
      </c>
      <c r="P14">
        <v>3696.5707308688998</v>
      </c>
      <c r="Q14">
        <v>14399.6279901535</v>
      </c>
      <c r="R14">
        <v>1229.2477448894499</v>
      </c>
      <c r="S14">
        <v>167.67274198298199</v>
      </c>
      <c r="T14">
        <v>351.87194913912998</v>
      </c>
      <c r="U14">
        <v>140.37776417697</v>
      </c>
      <c r="V14">
        <v>315.45070202804698</v>
      </c>
      <c r="W14">
        <v>140.897159676824</v>
      </c>
      <c r="X14">
        <v>173.03785880763701</v>
      </c>
      <c r="Y14">
        <v>532.71110791457204</v>
      </c>
      <c r="Z14">
        <v>141.79969483383101</v>
      </c>
      <c r="AA14">
        <v>377.37549733584899</v>
      </c>
      <c r="AB14">
        <v>553.60039133779799</v>
      </c>
      <c r="AC14">
        <v>484.59057330749499</v>
      </c>
      <c r="AD14">
        <v>782.80422513563701</v>
      </c>
      <c r="AE14">
        <v>498.437568527157</v>
      </c>
      <c r="AF14">
        <v>341.79684563116098</v>
      </c>
      <c r="AG14">
        <v>387.03240994996401</v>
      </c>
    </row>
    <row r="15" spans="1:33" x14ac:dyDescent="0.25">
      <c r="A15" s="1">
        <v>44066</v>
      </c>
      <c r="B15">
        <v>17073.888762848499</v>
      </c>
      <c r="C15">
        <v>14793.300628986</v>
      </c>
      <c r="D15">
        <v>16535.786230353799</v>
      </c>
      <c r="E15">
        <v>18119.9640003001</v>
      </c>
      <c r="F15">
        <v>18918.905464626201</v>
      </c>
      <c r="G15">
        <v>18674.026296888202</v>
      </c>
      <c r="H15">
        <v>30226.2533786151</v>
      </c>
      <c r="I15">
        <v>22167.105532629801</v>
      </c>
      <c r="J15">
        <v>2262.9597352619699</v>
      </c>
      <c r="K15">
        <v>3302.4818805315299</v>
      </c>
      <c r="L15">
        <v>1095.18744778773</v>
      </c>
      <c r="M15">
        <v>16729.622218443499</v>
      </c>
      <c r="N15">
        <v>5401.6536879482301</v>
      </c>
      <c r="O15">
        <v>926.13966285278798</v>
      </c>
      <c r="P15">
        <v>3935.4061204192699</v>
      </c>
      <c r="Q15">
        <v>14797.4933388851</v>
      </c>
      <c r="R15">
        <v>1346.84177898284</v>
      </c>
      <c r="S15">
        <v>171.117340662831</v>
      </c>
      <c r="T15">
        <v>348.67303389930402</v>
      </c>
      <c r="U15">
        <v>140.99266388387201</v>
      </c>
      <c r="V15">
        <v>305.79472982864399</v>
      </c>
      <c r="W15">
        <v>140.72579139281299</v>
      </c>
      <c r="X15">
        <v>174.287769622523</v>
      </c>
      <c r="Y15">
        <v>592.531274984628</v>
      </c>
      <c r="Z15">
        <v>143.240117370033</v>
      </c>
      <c r="AA15">
        <v>396.65289157330102</v>
      </c>
      <c r="AB15">
        <v>625.32961554725603</v>
      </c>
      <c r="AC15">
        <v>483.76631895505398</v>
      </c>
      <c r="AD15">
        <v>842.21383000541198</v>
      </c>
      <c r="AE15">
        <v>511.81685856090701</v>
      </c>
      <c r="AF15">
        <v>337.652512941027</v>
      </c>
      <c r="AG15">
        <v>416.25143454187003</v>
      </c>
    </row>
    <row r="16" spans="1:33" x14ac:dyDescent="0.25">
      <c r="A16" s="1">
        <v>44067</v>
      </c>
      <c r="B16">
        <v>17451.648149802601</v>
      </c>
      <c r="C16">
        <v>14862.5761336992</v>
      </c>
      <c r="D16">
        <v>16792.825575970801</v>
      </c>
      <c r="E16">
        <v>18308.785169502498</v>
      </c>
      <c r="F16">
        <v>19308.294613563401</v>
      </c>
      <c r="G16">
        <v>18931.663686624699</v>
      </c>
      <c r="H16">
        <v>30621.686108610898</v>
      </c>
      <c r="I16">
        <v>22301.1228033156</v>
      </c>
      <c r="J16">
        <v>2415.1724293252901</v>
      </c>
      <c r="K16">
        <v>3518.5340742660701</v>
      </c>
      <c r="L16">
        <v>1171.5920103324599</v>
      </c>
      <c r="M16">
        <v>17136.3738566838</v>
      </c>
      <c r="N16">
        <v>5544.2884120772796</v>
      </c>
      <c r="O16">
        <v>1023.35887232321</v>
      </c>
      <c r="P16">
        <v>4164.5573763238899</v>
      </c>
      <c r="Q16">
        <v>15173.665398971099</v>
      </c>
      <c r="R16">
        <v>1493.18593899442</v>
      </c>
      <c r="S16">
        <v>174.93036658473201</v>
      </c>
      <c r="T16">
        <v>347.47122197764003</v>
      </c>
      <c r="U16">
        <v>140.397581283958</v>
      </c>
      <c r="V16">
        <v>281.56427339289598</v>
      </c>
      <c r="W16">
        <v>139.57594035963601</v>
      </c>
      <c r="X16">
        <v>170.97135224329199</v>
      </c>
      <c r="Y16">
        <v>631.78924656662105</v>
      </c>
      <c r="Z16">
        <v>142.76998581054301</v>
      </c>
      <c r="AA16">
        <v>415.07958244872702</v>
      </c>
      <c r="AB16">
        <v>649.24629222279702</v>
      </c>
      <c r="AC16">
        <v>479.12520768489298</v>
      </c>
      <c r="AD16">
        <v>904.91175623893901</v>
      </c>
      <c r="AE16">
        <v>485.58398100395999</v>
      </c>
      <c r="AF16">
        <v>333.32808268161602</v>
      </c>
      <c r="AG16">
        <v>446.74637103411101</v>
      </c>
    </row>
    <row r="17" spans="1:33" x14ac:dyDescent="0.25">
      <c r="A17" s="1">
        <v>44068</v>
      </c>
      <c r="B17">
        <v>17787.778068764899</v>
      </c>
      <c r="C17">
        <v>14940.250112875399</v>
      </c>
      <c r="D17">
        <v>17028.496981798999</v>
      </c>
      <c r="E17">
        <v>18497.612843554802</v>
      </c>
      <c r="F17">
        <v>19752.305895699599</v>
      </c>
      <c r="G17">
        <v>19058.671048134402</v>
      </c>
      <c r="H17">
        <v>31095.409350284801</v>
      </c>
      <c r="I17">
        <v>22405.576436256899</v>
      </c>
      <c r="J17">
        <v>2552.3464028206699</v>
      </c>
      <c r="K17">
        <v>3728.9171005414901</v>
      </c>
      <c r="L17">
        <v>1245.30641941774</v>
      </c>
      <c r="M17">
        <v>17356.676760504201</v>
      </c>
      <c r="N17">
        <v>5669.99330782385</v>
      </c>
      <c r="O17">
        <v>1202.0013558533501</v>
      </c>
      <c r="P17">
        <v>4346.3430839652101</v>
      </c>
      <c r="Q17">
        <v>15325.282508107401</v>
      </c>
      <c r="R17">
        <v>1666.0302455261001</v>
      </c>
      <c r="S17">
        <v>178.603665636519</v>
      </c>
      <c r="T17">
        <v>360.67047913447198</v>
      </c>
      <c r="U17">
        <v>139.21637630034999</v>
      </c>
      <c r="V17">
        <v>279.22282533773603</v>
      </c>
      <c r="W17">
        <v>139.906298246348</v>
      </c>
      <c r="X17">
        <v>171.05139556993501</v>
      </c>
      <c r="Y17">
        <v>684.333168701418</v>
      </c>
      <c r="Z17">
        <v>142.97171529900299</v>
      </c>
      <c r="AA17">
        <v>435.746641649026</v>
      </c>
      <c r="AB17">
        <v>697.327262568538</v>
      </c>
      <c r="AC17">
        <v>470.08173527465902</v>
      </c>
      <c r="AD17">
        <v>965.59283300013897</v>
      </c>
      <c r="AE17">
        <v>506.88678885343103</v>
      </c>
      <c r="AF17">
        <v>329.59327965223002</v>
      </c>
      <c r="AG17">
        <v>475.91945060169502</v>
      </c>
    </row>
    <row r="18" spans="1:33" x14ac:dyDescent="0.25">
      <c r="A18" s="1">
        <v>44069</v>
      </c>
      <c r="B18">
        <v>18013.371413773501</v>
      </c>
      <c r="C18">
        <v>15065.4188319533</v>
      </c>
      <c r="D18">
        <v>17176.336592676002</v>
      </c>
      <c r="E18">
        <v>18689.169892368802</v>
      </c>
      <c r="F18">
        <v>19921.644482930798</v>
      </c>
      <c r="G18">
        <v>18918.7133326287</v>
      </c>
      <c r="H18">
        <v>30953.5624084542</v>
      </c>
      <c r="I18">
        <v>22552.2773113859</v>
      </c>
      <c r="J18">
        <v>2650.6174702368098</v>
      </c>
      <c r="K18">
        <v>3844.20644019872</v>
      </c>
      <c r="L18">
        <v>1330.70419574167</v>
      </c>
      <c r="M18">
        <v>17458.228232376699</v>
      </c>
      <c r="N18">
        <v>5879.5069085306104</v>
      </c>
      <c r="O18">
        <v>1276.2895777756701</v>
      </c>
      <c r="P18">
        <v>4504.4039029321202</v>
      </c>
      <c r="Q18">
        <v>15370.584611493299</v>
      </c>
      <c r="R18">
        <v>1769.2445862695599</v>
      </c>
      <c r="S18">
        <v>182.13921666659499</v>
      </c>
      <c r="T18">
        <v>359.53935293082998</v>
      </c>
      <c r="U18">
        <v>141.94790703162499</v>
      </c>
      <c r="V18">
        <v>278.68938845871298</v>
      </c>
      <c r="W18">
        <v>146.364843413899</v>
      </c>
      <c r="X18">
        <v>165.94971554793</v>
      </c>
      <c r="Y18">
        <v>711.26363278321105</v>
      </c>
      <c r="Z18">
        <v>143.447481293447</v>
      </c>
      <c r="AA18">
        <v>461.36674291838199</v>
      </c>
      <c r="AB18">
        <v>767.27730828666904</v>
      </c>
      <c r="AC18">
        <v>463.46473532357197</v>
      </c>
      <c r="AD18">
        <v>1020.87263405132</v>
      </c>
      <c r="AE18">
        <v>466.93057275236299</v>
      </c>
      <c r="AF18">
        <v>329.38581607941501</v>
      </c>
      <c r="AG18">
        <v>507.57680824411699</v>
      </c>
    </row>
    <row r="19" spans="1:33" x14ac:dyDescent="0.25">
      <c r="A19" s="1">
        <v>44070</v>
      </c>
      <c r="B19">
        <v>18116.0083279797</v>
      </c>
      <c r="C19">
        <v>15391.3777811254</v>
      </c>
      <c r="D19">
        <v>17181.742968361599</v>
      </c>
      <c r="E19">
        <v>18774.314448772901</v>
      </c>
      <c r="F19">
        <v>19801.183712434002</v>
      </c>
      <c r="G19">
        <v>18597.239611013101</v>
      </c>
      <c r="H19">
        <v>30569.939161544</v>
      </c>
      <c r="I19">
        <v>22674.451376114899</v>
      </c>
      <c r="J19">
        <v>2713.6445657239901</v>
      </c>
      <c r="K19">
        <v>3861.0415190766898</v>
      </c>
      <c r="L19">
        <v>1411.59068578188</v>
      </c>
      <c r="M19">
        <v>17010.058815474898</v>
      </c>
      <c r="N19">
        <v>5630.3113613221603</v>
      </c>
      <c r="O19">
        <v>1284.4925047347699</v>
      </c>
      <c r="P19">
        <v>4570.3979436251102</v>
      </c>
      <c r="Q19">
        <v>15063.0866852402</v>
      </c>
      <c r="R19">
        <v>1794.76077085303</v>
      </c>
      <c r="S19">
        <v>185.461553248336</v>
      </c>
      <c r="T19">
        <v>324.50325771660403</v>
      </c>
      <c r="U19">
        <v>143.97384333909099</v>
      </c>
      <c r="V19">
        <v>259.82011929057097</v>
      </c>
      <c r="W19">
        <v>143.45503010818101</v>
      </c>
      <c r="X19">
        <v>157.13792611832699</v>
      </c>
      <c r="Y19">
        <v>743.66072278795104</v>
      </c>
      <c r="Z19">
        <v>143.51850475796601</v>
      </c>
      <c r="AA19">
        <v>479.85625148794298</v>
      </c>
      <c r="AB19">
        <v>876.61325542305497</v>
      </c>
      <c r="AC19">
        <v>459.55443300514997</v>
      </c>
      <c r="AD19">
        <v>1050.8026920325501</v>
      </c>
      <c r="AE19">
        <v>553.96932587249898</v>
      </c>
      <c r="AF19">
        <v>329.63506478651999</v>
      </c>
      <c r="AG19">
        <v>535.18226229068102</v>
      </c>
    </row>
    <row r="20" spans="1:33" x14ac:dyDescent="0.25">
      <c r="A20" s="1">
        <v>44071</v>
      </c>
      <c r="B20">
        <v>18155.106148447601</v>
      </c>
      <c r="C20">
        <v>15833.216754175201</v>
      </c>
      <c r="D20">
        <v>17270.040255600099</v>
      </c>
      <c r="E20">
        <v>18971.049525435901</v>
      </c>
      <c r="F20">
        <v>19708.546865144101</v>
      </c>
      <c r="G20">
        <v>18528.948242774699</v>
      </c>
      <c r="H20">
        <v>30566.567394108799</v>
      </c>
      <c r="I20">
        <v>22738.053363630799</v>
      </c>
      <c r="J20">
        <v>2801.43738218096</v>
      </c>
      <c r="K20">
        <v>3931.39855125646</v>
      </c>
      <c r="L20">
        <v>1461.6226218255899</v>
      </c>
      <c r="M20">
        <v>16919.174376004201</v>
      </c>
      <c r="N20">
        <v>5621.1067472323803</v>
      </c>
      <c r="O20">
        <v>1320.41126404448</v>
      </c>
      <c r="P20">
        <v>4567.4381058417102</v>
      </c>
      <c r="Q20">
        <v>14908.9698691301</v>
      </c>
      <c r="R20">
        <v>1840.39108212012</v>
      </c>
      <c r="S20">
        <v>187.794715585918</v>
      </c>
      <c r="T20">
        <v>329.31862790102599</v>
      </c>
      <c r="U20">
        <v>145.13911177379299</v>
      </c>
      <c r="V20">
        <v>279.73457794165</v>
      </c>
      <c r="W20">
        <v>150.71799585829501</v>
      </c>
      <c r="X20">
        <v>165.19440660910999</v>
      </c>
      <c r="Y20">
        <v>806.49773515920106</v>
      </c>
      <c r="Z20">
        <v>143.20679397683199</v>
      </c>
      <c r="AA20">
        <v>504.03416086370601</v>
      </c>
      <c r="AB20">
        <v>909.51642167972</v>
      </c>
      <c r="AC20">
        <v>455.81394482647602</v>
      </c>
      <c r="AD20">
        <v>1110.3460406249701</v>
      </c>
      <c r="AE20">
        <v>577.69609924626297</v>
      </c>
      <c r="AF20">
        <v>329.42124428350598</v>
      </c>
      <c r="AG20">
        <v>564.27338654558696</v>
      </c>
    </row>
    <row r="21" spans="1:33" x14ac:dyDescent="0.25">
      <c r="A21" s="1">
        <v>44072</v>
      </c>
      <c r="B21">
        <v>18244.729004752098</v>
      </c>
      <c r="C21">
        <v>16080.9307003249</v>
      </c>
      <c r="D21">
        <v>17368.186653839799</v>
      </c>
      <c r="E21">
        <v>19116.9189487527</v>
      </c>
      <c r="F21">
        <v>19766.063711768998</v>
      </c>
      <c r="G21">
        <v>18512.1866320667</v>
      </c>
      <c r="H21">
        <v>30477.038945917498</v>
      </c>
      <c r="I21">
        <v>22804.6128663245</v>
      </c>
      <c r="J21">
        <v>2875.9227566865702</v>
      </c>
      <c r="K21">
        <v>3966.6448842154</v>
      </c>
      <c r="L21">
        <v>1518.72547767931</v>
      </c>
      <c r="M21">
        <v>16733.6595869907</v>
      </c>
      <c r="N21">
        <v>5831.7877525165404</v>
      </c>
      <c r="O21">
        <v>1345.8448750723801</v>
      </c>
      <c r="P21">
        <v>4564.2066334706597</v>
      </c>
      <c r="Q21">
        <v>14902.526228278401</v>
      </c>
      <c r="R21">
        <v>1863.3147242070399</v>
      </c>
      <c r="S21">
        <v>191.310753708134</v>
      </c>
      <c r="T21">
        <v>384.51933116530103</v>
      </c>
      <c r="U21">
        <v>150.37146147520099</v>
      </c>
      <c r="V21">
        <v>311.29463086813502</v>
      </c>
      <c r="W21">
        <v>152.70501790170599</v>
      </c>
      <c r="X21">
        <v>174.003868501412</v>
      </c>
      <c r="Y21">
        <v>823.12114468089999</v>
      </c>
      <c r="Z21">
        <v>143.69197989828001</v>
      </c>
      <c r="AA21">
        <v>527.78041147056103</v>
      </c>
      <c r="AB21">
        <v>912.85627312646602</v>
      </c>
      <c r="AC21">
        <v>450.70365704159599</v>
      </c>
      <c r="AD21">
        <v>1159.0568829418601</v>
      </c>
      <c r="AE21">
        <v>516.838492188906</v>
      </c>
      <c r="AF21">
        <v>329.10830754054899</v>
      </c>
      <c r="AG21">
        <v>591.95659786417104</v>
      </c>
    </row>
    <row r="22" spans="1:33" x14ac:dyDescent="0.25">
      <c r="A22" s="1">
        <v>44073</v>
      </c>
      <c r="B22">
        <v>18376.037059264701</v>
      </c>
      <c r="C22">
        <v>16274.910906367</v>
      </c>
      <c r="D22">
        <v>17483.7931532004</v>
      </c>
      <c r="E22">
        <v>19220.369380088901</v>
      </c>
      <c r="F22">
        <v>19691.554763442098</v>
      </c>
      <c r="G22">
        <v>18312.464795992499</v>
      </c>
      <c r="H22">
        <v>30217.0448450802</v>
      </c>
      <c r="I22">
        <v>22852.0340225162</v>
      </c>
      <c r="J22">
        <v>2945.5580706171299</v>
      </c>
      <c r="K22">
        <v>3916.9469014891201</v>
      </c>
      <c r="L22">
        <v>1535.0176643552199</v>
      </c>
      <c r="M22">
        <v>16509.856970770099</v>
      </c>
      <c r="N22">
        <v>5719.63127878457</v>
      </c>
      <c r="O22">
        <v>1332.07115669329</v>
      </c>
      <c r="P22">
        <v>4516.9126085519301</v>
      </c>
      <c r="Q22">
        <v>14688.798164354101</v>
      </c>
      <c r="R22">
        <v>1835.36959737241</v>
      </c>
      <c r="S22">
        <v>193.53392446538101</v>
      </c>
      <c r="T22">
        <v>391.99237373582901</v>
      </c>
      <c r="U22">
        <v>154.259724955645</v>
      </c>
      <c r="V22">
        <v>330.83647266976999</v>
      </c>
      <c r="W22">
        <v>155.77897953323799</v>
      </c>
      <c r="X22">
        <v>182.45503662952501</v>
      </c>
      <c r="Y22">
        <v>861.51183013350396</v>
      </c>
      <c r="Z22">
        <v>145.41539240900801</v>
      </c>
      <c r="AA22">
        <v>551.23877354343301</v>
      </c>
      <c r="AB22">
        <v>971.79707858020197</v>
      </c>
      <c r="AC22">
        <v>448.45575661274103</v>
      </c>
      <c r="AD22">
        <v>1182.4896241215999</v>
      </c>
      <c r="AE22">
        <v>472.03635218774002</v>
      </c>
      <c r="AF22">
        <v>329.84776874169802</v>
      </c>
      <c r="AG22">
        <v>621.35621549432699</v>
      </c>
    </row>
    <row r="23" spans="1:33" x14ac:dyDescent="0.25">
      <c r="A23" s="1">
        <v>44074</v>
      </c>
      <c r="B23">
        <v>18572.328263393701</v>
      </c>
      <c r="C23">
        <v>16414.7540098768</v>
      </c>
      <c r="D23">
        <v>17708.393726308801</v>
      </c>
      <c r="E23">
        <v>19419.960545353599</v>
      </c>
      <c r="F23">
        <v>19564.854832659999</v>
      </c>
      <c r="G23">
        <v>18370.5324611299</v>
      </c>
      <c r="H23">
        <v>30205.765234018501</v>
      </c>
      <c r="I23">
        <v>22854.3614395197</v>
      </c>
      <c r="J23">
        <v>2999.6467650813302</v>
      </c>
      <c r="K23">
        <v>3910.6837856145798</v>
      </c>
      <c r="L23">
        <v>1563.9107352195899</v>
      </c>
      <c r="M23">
        <v>16600.371744128799</v>
      </c>
      <c r="N23">
        <v>5965.8030760557704</v>
      </c>
      <c r="O23">
        <v>1323.79357094325</v>
      </c>
      <c r="P23">
        <v>4495.7674994542604</v>
      </c>
      <c r="Q23">
        <v>14768.8795879479</v>
      </c>
      <c r="R23">
        <v>1835.10552038013</v>
      </c>
      <c r="S23">
        <v>195.71302968245001</v>
      </c>
      <c r="T23">
        <v>415.91233191964699</v>
      </c>
      <c r="U23">
        <v>154.62154880362101</v>
      </c>
      <c r="V23">
        <v>372.81669225263602</v>
      </c>
      <c r="W23">
        <v>155.48705550657499</v>
      </c>
      <c r="X23">
        <v>198.24215636125501</v>
      </c>
      <c r="Y23">
        <v>900.92629338675397</v>
      </c>
      <c r="Z23">
        <v>146.58354171005101</v>
      </c>
      <c r="AA23">
        <v>571.04358924423298</v>
      </c>
      <c r="AB23">
        <v>1029.61179014151</v>
      </c>
      <c r="AC23">
        <v>450.282541349322</v>
      </c>
      <c r="AD23">
        <v>1205.3652457716601</v>
      </c>
      <c r="AE23">
        <v>502.86783969188099</v>
      </c>
      <c r="AF23">
        <v>331.40055408236299</v>
      </c>
      <c r="AG23">
        <v>644.23607135908298</v>
      </c>
    </row>
    <row r="24" spans="1:33" x14ac:dyDescent="0.25">
      <c r="A24" s="1">
        <v>44075</v>
      </c>
      <c r="B24">
        <v>18873.450991111102</v>
      </c>
      <c r="C24">
        <v>16449.546655718299</v>
      </c>
      <c r="D24">
        <v>17939.738865965799</v>
      </c>
      <c r="E24">
        <v>19556.756797290702</v>
      </c>
      <c r="F24">
        <v>19506.292641113701</v>
      </c>
      <c r="G24">
        <v>18521.271336723799</v>
      </c>
      <c r="H24">
        <v>30159.102614744599</v>
      </c>
      <c r="I24">
        <v>22885.589650298502</v>
      </c>
      <c r="J24">
        <v>3038.7818089821899</v>
      </c>
      <c r="K24">
        <v>3876.11469480306</v>
      </c>
      <c r="L24">
        <v>1596.42974026768</v>
      </c>
      <c r="M24">
        <v>16738.1058992418</v>
      </c>
      <c r="N24">
        <v>6116.9666893150697</v>
      </c>
      <c r="O24">
        <v>1371.69760665021</v>
      </c>
      <c r="P24">
        <v>4435.8398441377203</v>
      </c>
      <c r="Q24">
        <v>14935.8694836341</v>
      </c>
      <c r="R24">
        <v>1885.9651181957599</v>
      </c>
      <c r="S24">
        <v>197.70018788795099</v>
      </c>
      <c r="T24">
        <v>444.31086254059898</v>
      </c>
      <c r="U24">
        <v>154.91153275349299</v>
      </c>
      <c r="V24">
        <v>396.55509140176798</v>
      </c>
      <c r="W24">
        <v>156.005695871119</v>
      </c>
      <c r="X24">
        <v>211.69214545338301</v>
      </c>
      <c r="Y24">
        <v>903.84936639248303</v>
      </c>
      <c r="Z24">
        <v>148.81445226500199</v>
      </c>
      <c r="AA24">
        <v>606.79009063672504</v>
      </c>
      <c r="AB24">
        <v>1057.44397152183</v>
      </c>
      <c r="AC24">
        <v>451.68809040935503</v>
      </c>
      <c r="AD24">
        <v>1227.5315461907601</v>
      </c>
      <c r="AE24">
        <v>560.28790803424795</v>
      </c>
      <c r="AF24">
        <v>332.62090862836698</v>
      </c>
      <c r="AG24">
        <v>668.88008846152002</v>
      </c>
    </row>
    <row r="25" spans="1:33" x14ac:dyDescent="0.25">
      <c r="A25" s="1">
        <v>44076</v>
      </c>
      <c r="B25">
        <v>19057.740636997602</v>
      </c>
      <c r="C25">
        <v>16458.626858375101</v>
      </c>
      <c r="D25">
        <v>18055.381665037901</v>
      </c>
      <c r="E25">
        <v>19599.3933041604</v>
      </c>
      <c r="F25">
        <v>19182.443062333201</v>
      </c>
      <c r="G25">
        <v>17876.3335438344</v>
      </c>
      <c r="H25">
        <v>29558.291157010499</v>
      </c>
      <c r="I25">
        <v>22906.168089951901</v>
      </c>
      <c r="J25">
        <v>3025.1734128240601</v>
      </c>
      <c r="K25">
        <v>3636.5711167528798</v>
      </c>
      <c r="L25">
        <v>1545.84461990111</v>
      </c>
      <c r="M25">
        <v>16215.003864751399</v>
      </c>
      <c r="N25">
        <v>5685.1965598482902</v>
      </c>
      <c r="O25">
        <v>1279.1443568812099</v>
      </c>
      <c r="P25">
        <v>4155.6976874435504</v>
      </c>
      <c r="Q25">
        <v>14375.2433755722</v>
      </c>
      <c r="R25">
        <v>1775.0474182053899</v>
      </c>
      <c r="S25">
        <v>198.69445471889699</v>
      </c>
      <c r="T25">
        <v>389.87217084818099</v>
      </c>
      <c r="U25">
        <v>155.793273757669</v>
      </c>
      <c r="V25">
        <v>343.058248241694</v>
      </c>
      <c r="W25">
        <v>155.86753741689699</v>
      </c>
      <c r="X25">
        <v>196.534372314188</v>
      </c>
      <c r="Y25">
        <v>996.83667948303798</v>
      </c>
      <c r="Z25">
        <v>151.67103215987001</v>
      </c>
      <c r="AA25">
        <v>632.13576742094801</v>
      </c>
      <c r="AB25">
        <v>1165.50635847284</v>
      </c>
      <c r="AC25">
        <v>460.43828865451201</v>
      </c>
      <c r="AD25">
        <v>1181.5647912944901</v>
      </c>
      <c r="AE25">
        <v>555.23650327949099</v>
      </c>
      <c r="AF25">
        <v>336.01446784534397</v>
      </c>
      <c r="AG25">
        <v>689.19832762545104</v>
      </c>
    </row>
    <row r="26" spans="1:33" x14ac:dyDescent="0.25">
      <c r="A26" s="1">
        <v>44077</v>
      </c>
      <c r="B26">
        <v>19151.232909284099</v>
      </c>
      <c r="C26">
        <v>16434.8189830458</v>
      </c>
      <c r="D26">
        <v>18133.304834098901</v>
      </c>
      <c r="E26">
        <v>19608.168418204201</v>
      </c>
      <c r="F26">
        <v>18510.4765722991</v>
      </c>
      <c r="G26">
        <v>17310.786636381701</v>
      </c>
      <c r="H26">
        <v>29122.7981363607</v>
      </c>
      <c r="I26">
        <v>22832.905657588999</v>
      </c>
      <c r="J26">
        <v>3013.3736349699402</v>
      </c>
      <c r="K26">
        <v>3414.48141107832</v>
      </c>
      <c r="L26">
        <v>1458.46704504847</v>
      </c>
      <c r="M26">
        <v>15629.0766373691</v>
      </c>
      <c r="N26">
        <v>5015.3941330178704</v>
      </c>
      <c r="O26">
        <v>1194.2612217979599</v>
      </c>
      <c r="P26">
        <v>3865.3002016088899</v>
      </c>
      <c r="Q26">
        <v>13755.6096472476</v>
      </c>
      <c r="R26">
        <v>1657.6224224755899</v>
      </c>
      <c r="S26">
        <v>198.616599523524</v>
      </c>
      <c r="T26">
        <v>330.44158330802298</v>
      </c>
      <c r="U26">
        <v>155.707939197142</v>
      </c>
      <c r="V26">
        <v>304.462790898462</v>
      </c>
      <c r="W26">
        <v>156.50530889592099</v>
      </c>
      <c r="X26">
        <v>184.980979446307</v>
      </c>
      <c r="Y26">
        <v>983.99541233592902</v>
      </c>
      <c r="Z26">
        <v>154.34077269267701</v>
      </c>
      <c r="AA26">
        <v>636.44318778801403</v>
      </c>
      <c r="AB26">
        <v>1181.6280652416899</v>
      </c>
      <c r="AC26">
        <v>482.15352446328598</v>
      </c>
      <c r="AD26">
        <v>1123.1617506387299</v>
      </c>
      <c r="AE26">
        <v>547.46437793747396</v>
      </c>
      <c r="AF26">
        <v>341.20180865466</v>
      </c>
      <c r="AG26">
        <v>717.74788513475301</v>
      </c>
    </row>
    <row r="27" spans="1:33" x14ac:dyDescent="0.25">
      <c r="A27" s="1">
        <v>44078</v>
      </c>
      <c r="B27">
        <v>19284.400617776599</v>
      </c>
      <c r="C27">
        <v>16351.780760895899</v>
      </c>
      <c r="D27">
        <v>18236.062694673001</v>
      </c>
      <c r="E27">
        <v>19662.164220165101</v>
      </c>
      <c r="F27">
        <v>17878.641193081901</v>
      </c>
      <c r="G27">
        <v>16807.435189211101</v>
      </c>
      <c r="H27">
        <v>28661.439555360001</v>
      </c>
      <c r="I27">
        <v>22708.9197525284</v>
      </c>
      <c r="J27">
        <v>2982.75140166351</v>
      </c>
      <c r="K27">
        <v>3215.57139864789</v>
      </c>
      <c r="L27">
        <v>1386.57895683693</v>
      </c>
      <c r="M27">
        <v>15156.291470938901</v>
      </c>
      <c r="N27">
        <v>4478.8954754119504</v>
      </c>
      <c r="O27">
        <v>1121.18631276773</v>
      </c>
      <c r="P27">
        <v>3640.0215754989499</v>
      </c>
      <c r="Q27">
        <v>13248.827855699001</v>
      </c>
      <c r="R27">
        <v>1566.63584769419</v>
      </c>
      <c r="S27">
        <v>198.46903539665701</v>
      </c>
      <c r="T27">
        <v>292.50756985599998</v>
      </c>
      <c r="U27">
        <v>156.51980422713601</v>
      </c>
      <c r="V27">
        <v>266.070089980842</v>
      </c>
      <c r="W27">
        <v>154.548662646292</v>
      </c>
      <c r="X27">
        <v>176.188206426123</v>
      </c>
      <c r="Y27">
        <v>996.50439730929997</v>
      </c>
      <c r="Z27">
        <v>156.14136755176199</v>
      </c>
      <c r="AA27">
        <v>650.12325345051397</v>
      </c>
      <c r="AB27">
        <v>1213.6825192287299</v>
      </c>
      <c r="AC27">
        <v>505.61753423508799</v>
      </c>
      <c r="AD27">
        <v>1069.46112779395</v>
      </c>
      <c r="AE27">
        <v>542.31043076522496</v>
      </c>
      <c r="AF27">
        <v>346.504507420268</v>
      </c>
      <c r="AG27">
        <v>725.99842418383196</v>
      </c>
    </row>
    <row r="28" spans="1:33" x14ac:dyDescent="0.25">
      <c r="A28" s="1">
        <v>44079</v>
      </c>
      <c r="B28">
        <v>19478.116709757</v>
      </c>
      <c r="C28">
        <v>16134.0033756711</v>
      </c>
      <c r="D28">
        <v>18308.626235741001</v>
      </c>
      <c r="E28">
        <v>19710.484783406198</v>
      </c>
      <c r="F28">
        <v>17314.533903651201</v>
      </c>
      <c r="G28">
        <v>16322.8414368786</v>
      </c>
      <c r="H28">
        <v>28085.1188102954</v>
      </c>
      <c r="I28">
        <v>22455.1164797735</v>
      </c>
      <c r="J28">
        <v>2938.37159451563</v>
      </c>
      <c r="K28">
        <v>3046.5224148065499</v>
      </c>
      <c r="L28">
        <v>1290.1425580673199</v>
      </c>
      <c r="M28">
        <v>14556.9866692212</v>
      </c>
      <c r="N28">
        <v>3904.9839603802902</v>
      </c>
      <c r="O28">
        <v>979.91007044216497</v>
      </c>
      <c r="P28">
        <v>3445.03542216713</v>
      </c>
      <c r="Q28">
        <v>12605.185105337099</v>
      </c>
      <c r="R28">
        <v>1427.40381373181</v>
      </c>
      <c r="S28">
        <v>197.10165319241301</v>
      </c>
      <c r="T28">
        <v>255.619912729026</v>
      </c>
      <c r="U28">
        <v>154.26931732532699</v>
      </c>
      <c r="V28">
        <v>235.869143502311</v>
      </c>
      <c r="W28">
        <v>154.81308050165899</v>
      </c>
      <c r="X28">
        <v>170.934435535467</v>
      </c>
      <c r="Y28">
        <v>1028.63280426657</v>
      </c>
      <c r="Z28">
        <v>157.32778812552201</v>
      </c>
      <c r="AA28">
        <v>679.07139559793302</v>
      </c>
      <c r="AB28">
        <v>1203.4761228953</v>
      </c>
      <c r="AC28">
        <v>530.73167448701099</v>
      </c>
      <c r="AD28">
        <v>1009.81458585119</v>
      </c>
      <c r="AE28">
        <v>541.73316735448395</v>
      </c>
      <c r="AF28">
        <v>352.70585297468301</v>
      </c>
      <c r="AG28">
        <v>734.44799505879996</v>
      </c>
    </row>
    <row r="29" spans="1:33" x14ac:dyDescent="0.25">
      <c r="A29" s="1">
        <v>44080</v>
      </c>
      <c r="B29">
        <v>19765.144279427099</v>
      </c>
      <c r="C29">
        <v>15769.207876271101</v>
      </c>
      <c r="D29">
        <v>18460.7259615695</v>
      </c>
      <c r="E29">
        <v>19813.324359128899</v>
      </c>
      <c r="F29">
        <v>17040.577531640301</v>
      </c>
      <c r="G29">
        <v>16317.553399242401</v>
      </c>
      <c r="H29">
        <v>28186.386071606801</v>
      </c>
      <c r="I29">
        <v>22133.128939958398</v>
      </c>
      <c r="J29">
        <v>2909.1998858923698</v>
      </c>
      <c r="K29">
        <v>2958.5165088865301</v>
      </c>
      <c r="L29">
        <v>1200.6698681841201</v>
      </c>
      <c r="M29">
        <v>14417.3879864138</v>
      </c>
      <c r="N29">
        <v>3783.6030173977401</v>
      </c>
      <c r="O29">
        <v>962.55472664315096</v>
      </c>
      <c r="P29">
        <v>3345.0097106289099</v>
      </c>
      <c r="Q29">
        <v>12487.279996543501</v>
      </c>
      <c r="R29">
        <v>1376.02707610524</v>
      </c>
      <c r="S29">
        <v>197.08902804974599</v>
      </c>
      <c r="T29">
        <v>243.30251507889301</v>
      </c>
      <c r="U29">
        <v>154.91350032817601</v>
      </c>
      <c r="V29">
        <v>230.69612957861</v>
      </c>
      <c r="W29">
        <v>153.71964719414001</v>
      </c>
      <c r="X29">
        <v>166.90533540411499</v>
      </c>
      <c r="Y29">
        <v>1085.8922712041201</v>
      </c>
      <c r="Z29">
        <v>158.31356559810899</v>
      </c>
      <c r="AA29">
        <v>689.59152714303002</v>
      </c>
      <c r="AB29">
        <v>1225.50181257342</v>
      </c>
      <c r="AC29">
        <v>547.81610609859501</v>
      </c>
      <c r="AD29">
        <v>960.63946903243198</v>
      </c>
      <c r="AE29">
        <v>572.72179964938005</v>
      </c>
      <c r="AF29">
        <v>357.24719772971599</v>
      </c>
      <c r="AG29">
        <v>748.90140814925303</v>
      </c>
    </row>
    <row r="30" spans="1:33" x14ac:dyDescent="0.25">
      <c r="A30" s="1">
        <v>44081</v>
      </c>
      <c r="B30">
        <v>20096.1692656001</v>
      </c>
      <c r="C30">
        <v>15331.462739406499</v>
      </c>
      <c r="D30">
        <v>18750.0535516702</v>
      </c>
      <c r="E30">
        <v>19995.6952338029</v>
      </c>
      <c r="F30">
        <v>17322.883627430499</v>
      </c>
      <c r="G30">
        <v>16884.9429439372</v>
      </c>
      <c r="H30">
        <v>29503.379657350899</v>
      </c>
      <c r="I30">
        <v>21850.0195476386</v>
      </c>
      <c r="J30">
        <v>2907.7670357207999</v>
      </c>
      <c r="K30">
        <v>2963.2553755559702</v>
      </c>
      <c r="L30">
        <v>1153.85049158831</v>
      </c>
      <c r="M30">
        <v>14893.9816463889</v>
      </c>
      <c r="N30">
        <v>4132.2966137465401</v>
      </c>
      <c r="O30">
        <v>1038.34898910577</v>
      </c>
      <c r="P30">
        <v>3378.2360197534099</v>
      </c>
      <c r="Q30">
        <v>12973.957591825299</v>
      </c>
      <c r="R30">
        <v>1424.4597756076901</v>
      </c>
      <c r="S30">
        <v>198.92286851723199</v>
      </c>
      <c r="T30">
        <v>252.693004002956</v>
      </c>
      <c r="U30">
        <v>153.79071437396999</v>
      </c>
      <c r="V30">
        <v>241.99678910491099</v>
      </c>
      <c r="W30">
        <v>154.839836218009</v>
      </c>
      <c r="X30">
        <v>167.94585793145501</v>
      </c>
      <c r="Y30">
        <v>1132.39473340021</v>
      </c>
      <c r="Z30">
        <v>158.549874207757</v>
      </c>
      <c r="AA30">
        <v>703.31908368766597</v>
      </c>
      <c r="AB30">
        <v>1267.6943544635101</v>
      </c>
      <c r="AC30">
        <v>557.51809451729002</v>
      </c>
      <c r="AD30">
        <v>937.12025116495795</v>
      </c>
      <c r="AE30">
        <v>574.47655149273396</v>
      </c>
      <c r="AF30">
        <v>359.71783728345798</v>
      </c>
      <c r="AG30">
        <v>764.73608224337295</v>
      </c>
    </row>
    <row r="31" spans="1:33" x14ac:dyDescent="0.25">
      <c r="A31" s="1">
        <v>44082</v>
      </c>
      <c r="B31">
        <v>20375.422362202899</v>
      </c>
      <c r="C31">
        <v>14611.079497987301</v>
      </c>
      <c r="D31">
        <v>18755.0378159389</v>
      </c>
      <c r="E31">
        <v>19989.0476667314</v>
      </c>
      <c r="F31">
        <v>17744.9279305858</v>
      </c>
      <c r="G31">
        <v>17061.104796900101</v>
      </c>
      <c r="H31">
        <v>29558.3637039196</v>
      </c>
      <c r="I31">
        <v>21720.066572240099</v>
      </c>
      <c r="J31">
        <v>2905.1074558370501</v>
      </c>
      <c r="K31">
        <v>2895.8553802442898</v>
      </c>
      <c r="L31">
        <v>1086.73468343846</v>
      </c>
      <c r="M31">
        <v>14644.535748422901</v>
      </c>
      <c r="N31">
        <v>3579.5643069428602</v>
      </c>
      <c r="O31">
        <v>1194.1411071699499</v>
      </c>
      <c r="P31">
        <v>3241.2525939161201</v>
      </c>
      <c r="Q31">
        <v>12672.5770564708</v>
      </c>
      <c r="R31">
        <v>1481.3260109524699</v>
      </c>
      <c r="S31">
        <v>204.35808394181799</v>
      </c>
      <c r="T31">
        <v>232.986242318065</v>
      </c>
      <c r="U31">
        <v>155.389432429995</v>
      </c>
      <c r="V31">
        <v>185.92609253831799</v>
      </c>
      <c r="W31">
        <v>153.64255411880899</v>
      </c>
      <c r="X31">
        <v>158.55804006415201</v>
      </c>
      <c r="Y31">
        <v>1130.9849056630001</v>
      </c>
      <c r="Z31">
        <v>158.70770035260301</v>
      </c>
      <c r="AA31">
        <v>720.62088375064695</v>
      </c>
      <c r="AB31">
        <v>1301.5698403604799</v>
      </c>
      <c r="AC31">
        <v>563.30539513602798</v>
      </c>
      <c r="AD31">
        <v>894.93861204888401</v>
      </c>
      <c r="AE31">
        <v>603.97604056026898</v>
      </c>
      <c r="AF31">
        <v>362.701765883907</v>
      </c>
      <c r="AG31">
        <v>770.63707600308101</v>
      </c>
    </row>
    <row r="32" spans="1:33" x14ac:dyDescent="0.25">
      <c r="A32" s="1">
        <v>44083</v>
      </c>
      <c r="B32">
        <v>20380.011069885601</v>
      </c>
      <c r="C32">
        <v>13440.553699353901</v>
      </c>
      <c r="D32">
        <v>18064.888756965898</v>
      </c>
      <c r="E32">
        <v>20049.326301390302</v>
      </c>
      <c r="F32">
        <v>17608.567727233502</v>
      </c>
      <c r="G32">
        <v>16919.4097242442</v>
      </c>
      <c r="H32">
        <v>30647.853069820299</v>
      </c>
      <c r="I32">
        <v>21785.073355340399</v>
      </c>
      <c r="J32">
        <v>2894.3822913356498</v>
      </c>
      <c r="K32">
        <v>2905.6355581975599</v>
      </c>
      <c r="L32">
        <v>1053.2745436292801</v>
      </c>
      <c r="M32">
        <v>15093.9217000587</v>
      </c>
      <c r="N32">
        <v>4066.9119472585699</v>
      </c>
      <c r="O32">
        <v>1099.6566331670399</v>
      </c>
      <c r="P32">
        <v>3284.4033569889102</v>
      </c>
      <c r="Q32">
        <v>12968.6074794299</v>
      </c>
      <c r="R32">
        <v>1435.63575563118</v>
      </c>
      <c r="S32">
        <v>209.11676669745199</v>
      </c>
      <c r="T32">
        <v>237.95033772930699</v>
      </c>
      <c r="U32">
        <v>157.17558021234501</v>
      </c>
      <c r="V32">
        <v>213.75278890804901</v>
      </c>
      <c r="W32">
        <v>155.354368109121</v>
      </c>
      <c r="X32">
        <v>159.14340462869299</v>
      </c>
      <c r="Y32">
        <v>1073.4880585910801</v>
      </c>
      <c r="Z32">
        <v>157.762897482521</v>
      </c>
      <c r="AA32">
        <v>693.80720698279003</v>
      </c>
      <c r="AB32">
        <v>1367.7356452158599</v>
      </c>
      <c r="AC32">
        <v>563.29867276744403</v>
      </c>
      <c r="AD32">
        <v>878.99507442485299</v>
      </c>
      <c r="AE32">
        <v>583.95474962729395</v>
      </c>
      <c r="AF32">
        <v>371.33728465863601</v>
      </c>
      <c r="AG32">
        <v>775.96098657568098</v>
      </c>
    </row>
    <row r="33" spans="1:33" x14ac:dyDescent="0.25">
      <c r="A33" s="1">
        <v>44084</v>
      </c>
      <c r="B33">
        <v>20209.3111041456</v>
      </c>
      <c r="C33">
        <v>12495.7741125538</v>
      </c>
      <c r="D33">
        <v>17191.556720006101</v>
      </c>
      <c r="E33">
        <v>19889.684867294302</v>
      </c>
      <c r="F33">
        <v>17355.7228491282</v>
      </c>
      <c r="G33">
        <v>16364.181669134699</v>
      </c>
      <c r="H33">
        <v>30096.433958918798</v>
      </c>
      <c r="I33">
        <v>22002.7415519444</v>
      </c>
      <c r="J33">
        <v>2873.5615078833098</v>
      </c>
      <c r="K33">
        <v>2816.96931835134</v>
      </c>
      <c r="L33">
        <v>1075.0894252381199</v>
      </c>
      <c r="M33">
        <v>14597.7728467585</v>
      </c>
      <c r="N33">
        <v>3809.4852663093902</v>
      </c>
      <c r="O33">
        <v>917.31126814872596</v>
      </c>
      <c r="P33">
        <v>3143.9655844367599</v>
      </c>
      <c r="Q33">
        <v>12524.920239287499</v>
      </c>
      <c r="R33">
        <v>1354.0871445576099</v>
      </c>
      <c r="S33">
        <v>216.467807672839</v>
      </c>
      <c r="T33">
        <v>230.20215077304701</v>
      </c>
      <c r="U33">
        <v>158.409400319246</v>
      </c>
      <c r="V33">
        <v>203.68927413849599</v>
      </c>
      <c r="W33">
        <v>158.38025597479799</v>
      </c>
      <c r="X33">
        <v>156.916836716078</v>
      </c>
      <c r="Y33">
        <v>1096.5027069402399</v>
      </c>
      <c r="Z33">
        <v>156.99875802989899</v>
      </c>
      <c r="AA33">
        <v>688.91128238225997</v>
      </c>
      <c r="AB33">
        <v>1384.13614413713</v>
      </c>
      <c r="AC33">
        <v>564.43033288907804</v>
      </c>
      <c r="AD33">
        <v>858.36620164158398</v>
      </c>
      <c r="AE33">
        <v>583.55229382041796</v>
      </c>
      <c r="AF33">
        <v>377.53910559936202</v>
      </c>
      <c r="AG33">
        <v>782.33294612161296</v>
      </c>
    </row>
    <row r="34" spans="1:33" x14ac:dyDescent="0.25">
      <c r="A34" s="1">
        <v>44085</v>
      </c>
      <c r="B34">
        <v>19940.5790835306</v>
      </c>
      <c r="C34">
        <v>11965.059329396099</v>
      </c>
      <c r="D34">
        <v>16146.934524795901</v>
      </c>
      <c r="E34">
        <v>19695.362823498999</v>
      </c>
      <c r="F34">
        <v>17035.187379585299</v>
      </c>
      <c r="G34">
        <v>16186.4507609311</v>
      </c>
      <c r="H34">
        <v>29831.848671159001</v>
      </c>
      <c r="I34">
        <v>21936.272274629799</v>
      </c>
      <c r="J34">
        <v>2847.2691311898002</v>
      </c>
      <c r="K34">
        <v>2738.2397313183801</v>
      </c>
      <c r="L34">
        <v>1069.6342166330701</v>
      </c>
      <c r="M34">
        <v>14415.1809701002</v>
      </c>
      <c r="N34">
        <v>3754.0602000768499</v>
      </c>
      <c r="O34">
        <v>858.97357191419098</v>
      </c>
      <c r="P34">
        <v>3076.8401849853899</v>
      </c>
      <c r="Q34">
        <v>12400.812197272</v>
      </c>
      <c r="R34">
        <v>1299.2964117106701</v>
      </c>
      <c r="S34">
        <v>232.09996991360001</v>
      </c>
      <c r="T34">
        <v>241.11618893865199</v>
      </c>
      <c r="U34">
        <v>160.76820836281701</v>
      </c>
      <c r="V34">
        <v>225.62672384400199</v>
      </c>
      <c r="W34">
        <v>154.32537396107199</v>
      </c>
      <c r="X34">
        <v>160.20884806668499</v>
      </c>
      <c r="Y34">
        <v>1140.66729308704</v>
      </c>
      <c r="Z34">
        <v>157.036096924596</v>
      </c>
      <c r="AA34">
        <v>687.52718166200498</v>
      </c>
      <c r="AB34">
        <v>1376.0394923086999</v>
      </c>
      <c r="AC34">
        <v>566.94702083829497</v>
      </c>
      <c r="AD34">
        <v>847.15711085926705</v>
      </c>
      <c r="AE34">
        <v>543.74836938043495</v>
      </c>
      <c r="AF34">
        <v>383.76727512118799</v>
      </c>
      <c r="AG34">
        <v>778.91109123939202</v>
      </c>
    </row>
    <row r="35" spans="1:33" x14ac:dyDescent="0.25">
      <c r="A35" s="1">
        <v>44086</v>
      </c>
      <c r="B35">
        <v>19653.1617230351</v>
      </c>
      <c r="C35">
        <v>11877.1473517347</v>
      </c>
      <c r="D35">
        <v>15138.6218097496</v>
      </c>
      <c r="E35">
        <v>19363.382403985099</v>
      </c>
      <c r="F35">
        <v>17092.4682083228</v>
      </c>
      <c r="G35">
        <v>16617.055008660402</v>
      </c>
      <c r="H35">
        <v>29996.439911146699</v>
      </c>
      <c r="I35">
        <v>21669.001920432998</v>
      </c>
      <c r="J35">
        <v>2812.5749595928401</v>
      </c>
      <c r="K35">
        <v>2716.6468725797099</v>
      </c>
      <c r="L35">
        <v>1089.9671797834601</v>
      </c>
      <c r="M35">
        <v>14771.039562214301</v>
      </c>
      <c r="N35">
        <v>4121.3282244677803</v>
      </c>
      <c r="O35">
        <v>894.923651664624</v>
      </c>
      <c r="P35">
        <v>3131.8410837372298</v>
      </c>
      <c r="Q35">
        <v>12739.5674777818</v>
      </c>
      <c r="R35">
        <v>1306.696487597</v>
      </c>
      <c r="S35">
        <v>242.317005959939</v>
      </c>
      <c r="T35">
        <v>258.37536093741102</v>
      </c>
      <c r="U35">
        <v>155.133186695955</v>
      </c>
      <c r="V35">
        <v>250.42091070337301</v>
      </c>
      <c r="W35">
        <v>150.43624495810801</v>
      </c>
      <c r="X35">
        <v>166.74974324113401</v>
      </c>
      <c r="Y35">
        <v>1174.50882649752</v>
      </c>
      <c r="Z35">
        <v>157.15080269133401</v>
      </c>
      <c r="AA35">
        <v>688.00202893799406</v>
      </c>
      <c r="AB35">
        <v>1373.12099874711</v>
      </c>
      <c r="AC35">
        <v>568.48290637278706</v>
      </c>
      <c r="AD35">
        <v>855.89518106720902</v>
      </c>
      <c r="AE35">
        <v>530.64606336372697</v>
      </c>
      <c r="AF35">
        <v>386.61217105288603</v>
      </c>
      <c r="AG35">
        <v>794.10790447045201</v>
      </c>
    </row>
    <row r="36" spans="1:33" x14ac:dyDescent="0.25">
      <c r="A36" s="1">
        <v>44087</v>
      </c>
      <c r="B36">
        <v>19271.683230718099</v>
      </c>
      <c r="C36">
        <v>12337.556666082</v>
      </c>
      <c r="D36">
        <v>14191.1320259477</v>
      </c>
      <c r="E36">
        <v>18813.3923881599</v>
      </c>
      <c r="F36">
        <v>17469.0141570407</v>
      </c>
      <c r="G36">
        <v>16914.8798256271</v>
      </c>
      <c r="H36">
        <v>30054.1966803217</v>
      </c>
      <c r="I36">
        <v>21472.470948985901</v>
      </c>
      <c r="J36">
        <v>2768.8456496260401</v>
      </c>
      <c r="K36">
        <v>2692.3956125640698</v>
      </c>
      <c r="L36">
        <v>1115.02665141432</v>
      </c>
      <c r="M36">
        <v>15114.7571930511</v>
      </c>
      <c r="N36">
        <v>4413.7062213394402</v>
      </c>
      <c r="O36">
        <v>971.93767335949701</v>
      </c>
      <c r="P36">
        <v>3070.2870424238299</v>
      </c>
      <c r="Q36">
        <v>12994.3630428055</v>
      </c>
      <c r="R36">
        <v>1345.06504664677</v>
      </c>
      <c r="S36">
        <v>241.456081342971</v>
      </c>
      <c r="T36">
        <v>294.22538392743502</v>
      </c>
      <c r="U36">
        <v>154.927676924135</v>
      </c>
      <c r="V36">
        <v>283.86958151116102</v>
      </c>
      <c r="W36">
        <v>155.03081388654601</v>
      </c>
      <c r="X36">
        <v>174.953242875515</v>
      </c>
      <c r="Y36">
        <v>1176.93869990486</v>
      </c>
      <c r="Z36">
        <v>157.53029172390799</v>
      </c>
      <c r="AA36">
        <v>690.47967894815997</v>
      </c>
      <c r="AB36">
        <v>1380.80281206464</v>
      </c>
      <c r="AC36">
        <v>569.92478807155499</v>
      </c>
      <c r="AD36">
        <v>870.755425239342</v>
      </c>
      <c r="AE36">
        <v>505.27976423482397</v>
      </c>
      <c r="AF36">
        <v>389.08704348291502</v>
      </c>
      <c r="AG36">
        <v>811.86842644941601</v>
      </c>
    </row>
    <row r="37" spans="1:33" x14ac:dyDescent="0.25">
      <c r="A37" s="1">
        <v>44088</v>
      </c>
      <c r="B37">
        <v>18754.775532334701</v>
      </c>
      <c r="C37">
        <v>12790.386493611401</v>
      </c>
      <c r="D37">
        <v>13469.660553424401</v>
      </c>
      <c r="E37">
        <v>18116.173733965501</v>
      </c>
      <c r="F37">
        <v>17631.341862834099</v>
      </c>
      <c r="G37">
        <v>16668.112830354701</v>
      </c>
      <c r="H37">
        <v>29221.949549675799</v>
      </c>
      <c r="I37">
        <v>21437.885944089801</v>
      </c>
      <c r="J37">
        <v>2724.4996024126699</v>
      </c>
      <c r="K37">
        <v>2600.6704887535602</v>
      </c>
      <c r="L37">
        <v>1120.9026831363501</v>
      </c>
      <c r="M37">
        <v>14811.163498865901</v>
      </c>
      <c r="N37">
        <v>4363.7645024022204</v>
      </c>
      <c r="O37">
        <v>953.78497383668503</v>
      </c>
      <c r="P37">
        <v>2972.7109452640502</v>
      </c>
      <c r="Q37">
        <v>12784.8942715627</v>
      </c>
      <c r="R37">
        <v>1286.77070703492</v>
      </c>
      <c r="S37">
        <v>245.512583416116</v>
      </c>
      <c r="T37">
        <v>324.06451259402502</v>
      </c>
      <c r="U37">
        <v>154.617308193589</v>
      </c>
      <c r="V37">
        <v>294.47659342053799</v>
      </c>
      <c r="W37">
        <v>149.154862011077</v>
      </c>
      <c r="X37">
        <v>181.34607591022001</v>
      </c>
      <c r="Y37">
        <v>1113.14100889109</v>
      </c>
      <c r="Z37">
        <v>158.564629409665</v>
      </c>
      <c r="AA37">
        <v>690.26416116727501</v>
      </c>
      <c r="AB37">
        <v>1372.38552011144</v>
      </c>
      <c r="AC37">
        <v>572.07833584541299</v>
      </c>
      <c r="AD37">
        <v>869.00461151998695</v>
      </c>
      <c r="AE37">
        <v>514.05129313239604</v>
      </c>
      <c r="AF37">
        <v>398.74401235130699</v>
      </c>
      <c r="AG37">
        <v>816.99452106941703</v>
      </c>
    </row>
    <row r="38" spans="1:33" x14ac:dyDescent="0.25">
      <c r="A38" s="1">
        <v>44089</v>
      </c>
      <c r="B38">
        <v>18106.280175696898</v>
      </c>
      <c r="C38">
        <v>12216.651148209699</v>
      </c>
      <c r="D38">
        <v>13141.4124902106</v>
      </c>
      <c r="E38">
        <v>17360.826227635702</v>
      </c>
      <c r="F38">
        <v>17382.3796266424</v>
      </c>
      <c r="G38">
        <v>16333.515989883999</v>
      </c>
      <c r="H38">
        <v>28421.750658310699</v>
      </c>
      <c r="I38">
        <v>21333.162916873898</v>
      </c>
      <c r="J38">
        <v>2678.88760265161</v>
      </c>
      <c r="K38">
        <v>2508.6232408156702</v>
      </c>
      <c r="L38">
        <v>1095.3930223990899</v>
      </c>
      <c r="M38">
        <v>14459.2190222464</v>
      </c>
      <c r="N38">
        <v>4206.30391747467</v>
      </c>
      <c r="O38">
        <v>906.15136902927895</v>
      </c>
      <c r="P38">
        <v>2865.0807924259002</v>
      </c>
      <c r="Q38">
        <v>12412.369159277499</v>
      </c>
      <c r="R38">
        <v>1227.7037948598299</v>
      </c>
      <c r="S38">
        <v>254.081766315328</v>
      </c>
      <c r="T38">
        <v>317.81842834658403</v>
      </c>
      <c r="U38">
        <v>147.052892001278</v>
      </c>
      <c r="V38">
        <v>306.28304958037597</v>
      </c>
      <c r="W38">
        <v>146.84676479549199</v>
      </c>
      <c r="X38">
        <v>190.630857976568</v>
      </c>
      <c r="Y38">
        <v>1098.30641028734</v>
      </c>
      <c r="Z38">
        <v>159.27798754366401</v>
      </c>
      <c r="AA38">
        <v>677.49184909540702</v>
      </c>
      <c r="AB38">
        <v>1305.2388441401899</v>
      </c>
      <c r="AC38">
        <v>572.62494852719703</v>
      </c>
      <c r="AD38">
        <v>851.69732971074905</v>
      </c>
      <c r="AE38">
        <v>536.82474914555701</v>
      </c>
      <c r="AF38">
        <v>411.06918390415802</v>
      </c>
      <c r="AG38">
        <v>810.40082679626801</v>
      </c>
    </row>
    <row r="39" spans="1:33" x14ac:dyDescent="0.25">
      <c r="A39" s="1">
        <v>44090</v>
      </c>
      <c r="B39">
        <v>17299.1335512435</v>
      </c>
      <c r="C39">
        <v>11215.5724827824</v>
      </c>
      <c r="D39">
        <v>13116.8969640224</v>
      </c>
      <c r="E39">
        <v>16647.240000841601</v>
      </c>
      <c r="F39">
        <v>17185.649658955801</v>
      </c>
      <c r="G39">
        <v>16451.1354496153</v>
      </c>
      <c r="H39">
        <v>28169.174480231701</v>
      </c>
      <c r="I39">
        <v>21140.628015219099</v>
      </c>
      <c r="J39">
        <v>2632.62643267965</v>
      </c>
      <c r="K39">
        <v>2474.0066295738702</v>
      </c>
      <c r="L39">
        <v>1070.8634975571099</v>
      </c>
      <c r="M39">
        <v>14516.0076348889</v>
      </c>
      <c r="N39">
        <v>4333.9997587569296</v>
      </c>
      <c r="O39">
        <v>890.25470801766198</v>
      </c>
      <c r="P39">
        <v>2835.5925209281199</v>
      </c>
      <c r="Q39">
        <v>12430.101960526201</v>
      </c>
      <c r="R39">
        <v>1199.1547465441299</v>
      </c>
      <c r="S39">
        <v>260.96582350096799</v>
      </c>
      <c r="T39">
        <v>317.32896823371402</v>
      </c>
      <c r="U39">
        <v>147.46924396185699</v>
      </c>
      <c r="V39">
        <v>328.10279023691498</v>
      </c>
      <c r="W39">
        <v>149.837720172171</v>
      </c>
      <c r="X39">
        <v>196.56639169175801</v>
      </c>
      <c r="Y39">
        <v>1079.3869032822299</v>
      </c>
      <c r="Z39">
        <v>158.82664539337199</v>
      </c>
      <c r="AA39">
        <v>658.68720281285198</v>
      </c>
      <c r="AB39">
        <v>1256.7378271144801</v>
      </c>
      <c r="AC39">
        <v>571.16130778230001</v>
      </c>
      <c r="AD39">
        <v>838.43831666741301</v>
      </c>
      <c r="AE39">
        <v>532.14093932166804</v>
      </c>
      <c r="AF39">
        <v>420.46959571912703</v>
      </c>
      <c r="AG39">
        <v>790.01979261370604</v>
      </c>
    </row>
    <row r="40" spans="1:33" x14ac:dyDescent="0.25">
      <c r="A40" s="1">
        <v>44091</v>
      </c>
      <c r="B40">
        <v>16469.212055092001</v>
      </c>
      <c r="C40">
        <v>11011.110652321</v>
      </c>
      <c r="D40">
        <v>13005.500783532099</v>
      </c>
      <c r="E40">
        <v>16136.718491275</v>
      </c>
      <c r="F40">
        <v>17314.690979422099</v>
      </c>
      <c r="G40">
        <v>16986.363879054301</v>
      </c>
      <c r="H40">
        <v>28302.108107505399</v>
      </c>
      <c r="I40">
        <v>21028.344091823801</v>
      </c>
      <c r="J40">
        <v>2596.1811306170698</v>
      </c>
      <c r="K40">
        <v>2497.2231622345198</v>
      </c>
      <c r="L40">
        <v>1067.92215486701</v>
      </c>
      <c r="M40">
        <v>14940.889822687999</v>
      </c>
      <c r="N40">
        <v>4756.9844502245896</v>
      </c>
      <c r="O40">
        <v>932.84685215038701</v>
      </c>
      <c r="P40">
        <v>2893.0937362304899</v>
      </c>
      <c r="Q40">
        <v>12914.979674017801</v>
      </c>
      <c r="R40">
        <v>1215.0274418368001</v>
      </c>
      <c r="S40">
        <v>260.09988934049397</v>
      </c>
      <c r="T40">
        <v>344.207028892126</v>
      </c>
      <c r="U40">
        <v>151.56636293248101</v>
      </c>
      <c r="V40">
        <v>379.76494115189701</v>
      </c>
      <c r="W40">
        <v>152.39664972026901</v>
      </c>
      <c r="X40">
        <v>212.75581505834</v>
      </c>
      <c r="Y40">
        <v>1081.39431114848</v>
      </c>
      <c r="Z40">
        <v>157.506612052603</v>
      </c>
      <c r="AA40">
        <v>644.71985362302996</v>
      </c>
      <c r="AB40">
        <v>1215.4293802330701</v>
      </c>
      <c r="AC40">
        <v>569.98384573391695</v>
      </c>
      <c r="AD40">
        <v>840.01106913589501</v>
      </c>
      <c r="AE40">
        <v>569.15513697935103</v>
      </c>
      <c r="AF40">
        <v>424.885635360023</v>
      </c>
      <c r="AG40">
        <v>768.724615354501</v>
      </c>
    </row>
    <row r="41" spans="1:33" x14ac:dyDescent="0.25">
      <c r="A41" s="1">
        <v>44092</v>
      </c>
      <c r="B41">
        <v>15806.3160232262</v>
      </c>
      <c r="C41">
        <v>11437.256775301799</v>
      </c>
      <c r="D41">
        <v>12759.219119514401</v>
      </c>
      <c r="E41">
        <v>15742.0078164674</v>
      </c>
      <c r="F41">
        <v>17603.892075592601</v>
      </c>
      <c r="G41">
        <v>17342.4374815025</v>
      </c>
      <c r="H41">
        <v>28517.3267585414</v>
      </c>
      <c r="I41">
        <v>21027.7931104165</v>
      </c>
      <c r="J41">
        <v>2578.2547502052798</v>
      </c>
      <c r="K41">
        <v>2524.2437221034802</v>
      </c>
      <c r="L41">
        <v>1070.9429867277099</v>
      </c>
      <c r="M41">
        <v>15334.132718103499</v>
      </c>
      <c r="N41">
        <v>5054.9290809970598</v>
      </c>
      <c r="O41">
        <v>987.12317358682003</v>
      </c>
      <c r="P41">
        <v>2946.1769926278098</v>
      </c>
      <c r="Q41">
        <v>13279.330478624401</v>
      </c>
      <c r="R41">
        <v>1242.86814753095</v>
      </c>
      <c r="S41">
        <v>253.770330122205</v>
      </c>
      <c r="T41">
        <v>373.088955489905</v>
      </c>
      <c r="U41">
        <v>152.333587069001</v>
      </c>
      <c r="V41">
        <v>412.38719542869501</v>
      </c>
      <c r="W41">
        <v>148.48723987784001</v>
      </c>
      <c r="X41">
        <v>226.391902881748</v>
      </c>
      <c r="Y41">
        <v>1051.4522283026499</v>
      </c>
      <c r="Z41">
        <v>156.451177162254</v>
      </c>
      <c r="AA41">
        <v>631.42759870889302</v>
      </c>
      <c r="AB41">
        <v>1189.4370816836899</v>
      </c>
      <c r="AC41">
        <v>570.04532139736898</v>
      </c>
      <c r="AD41">
        <v>840.31440583927997</v>
      </c>
      <c r="AE41">
        <v>601.493641743137</v>
      </c>
      <c r="AF41">
        <v>429.09728246447298</v>
      </c>
      <c r="AG41">
        <v>753.55598657967505</v>
      </c>
    </row>
    <row r="42" spans="1:33" x14ac:dyDescent="0.25">
      <c r="A42" s="1">
        <v>44093</v>
      </c>
      <c r="B42">
        <v>15289.595816938299</v>
      </c>
      <c r="C42">
        <v>11705.9997103407</v>
      </c>
      <c r="D42">
        <v>12513.154195828</v>
      </c>
      <c r="E42">
        <v>15395.1691010063</v>
      </c>
      <c r="F42">
        <v>17675.390157965801</v>
      </c>
      <c r="G42">
        <v>17276.529519116601</v>
      </c>
      <c r="H42">
        <v>28279.825195667901</v>
      </c>
      <c r="I42">
        <v>21022.433684417701</v>
      </c>
      <c r="J42">
        <v>2569.19331437449</v>
      </c>
      <c r="K42">
        <v>2543.4370796360899</v>
      </c>
      <c r="L42">
        <v>1075.93636008405</v>
      </c>
      <c r="M42">
        <v>15424.4267979509</v>
      </c>
      <c r="N42">
        <v>5135.7029995650801</v>
      </c>
      <c r="O42">
        <v>951.96832741731305</v>
      </c>
      <c r="P42">
        <v>2974.5950498305301</v>
      </c>
      <c r="Q42">
        <v>13303.7324693142</v>
      </c>
      <c r="R42">
        <v>1220.0181067948399</v>
      </c>
      <c r="S42">
        <v>251.732658323712</v>
      </c>
      <c r="T42">
        <v>377.10776698522398</v>
      </c>
      <c r="U42">
        <v>149.38998242221101</v>
      </c>
      <c r="V42">
        <v>411.67253268419699</v>
      </c>
      <c r="W42">
        <v>152.49116535664001</v>
      </c>
      <c r="X42">
        <v>227.08134480855401</v>
      </c>
      <c r="Y42">
        <v>1018.31254880829</v>
      </c>
      <c r="Z42">
        <v>153.366639160012</v>
      </c>
      <c r="AA42">
        <v>626.87375206763295</v>
      </c>
      <c r="AB42">
        <v>1165.8574751317001</v>
      </c>
      <c r="AC42">
        <v>570.32059784947</v>
      </c>
      <c r="AD42">
        <v>837.62071921483096</v>
      </c>
      <c r="AE42">
        <v>598.23600279643097</v>
      </c>
      <c r="AF42">
        <v>437.46323259471598</v>
      </c>
      <c r="AG42">
        <v>738.11451277621904</v>
      </c>
    </row>
    <row r="43" spans="1:33" x14ac:dyDescent="0.25">
      <c r="A43" s="1">
        <v>44094</v>
      </c>
      <c r="B43">
        <v>14923.275946818299</v>
      </c>
      <c r="C43">
        <v>11741.027931332201</v>
      </c>
      <c r="D43">
        <v>12389.9469106384</v>
      </c>
      <c r="E43">
        <v>15142.5229671379</v>
      </c>
      <c r="F43">
        <v>17741.652261920801</v>
      </c>
      <c r="G43">
        <v>17354.380285829699</v>
      </c>
      <c r="H43">
        <v>28261.152025138301</v>
      </c>
      <c r="I43">
        <v>20971.368287970701</v>
      </c>
      <c r="J43">
        <v>2568.1473221667202</v>
      </c>
      <c r="K43">
        <v>2598.4333695098198</v>
      </c>
      <c r="L43">
        <v>1071.2589518580101</v>
      </c>
      <c r="M43">
        <v>15500.370948408799</v>
      </c>
      <c r="N43">
        <v>5111.0183938520604</v>
      </c>
      <c r="O43">
        <v>931.14276157963104</v>
      </c>
      <c r="P43">
        <v>3040.09072786356</v>
      </c>
      <c r="Q43">
        <v>13488.497670184999</v>
      </c>
      <c r="R43">
        <v>1216.32473296137</v>
      </c>
      <c r="S43">
        <v>252.03394962247901</v>
      </c>
      <c r="T43">
        <v>396.50799554886902</v>
      </c>
      <c r="U43">
        <v>147.67436557977899</v>
      </c>
      <c r="V43">
        <v>424.01337414030598</v>
      </c>
      <c r="W43">
        <v>141.52067631363201</v>
      </c>
      <c r="X43">
        <v>232.24047315700099</v>
      </c>
      <c r="Y43">
        <v>966.04594319611294</v>
      </c>
      <c r="Z43">
        <v>150.73921153594401</v>
      </c>
      <c r="AA43">
        <v>611.56447934872199</v>
      </c>
      <c r="AB43">
        <v>1177.0741546391</v>
      </c>
      <c r="AC43">
        <v>570.16403321802397</v>
      </c>
      <c r="AD43">
        <v>840.84517633640303</v>
      </c>
      <c r="AE43">
        <v>601.989865877169</v>
      </c>
      <c r="AF43">
        <v>445.04825272460198</v>
      </c>
      <c r="AG43">
        <v>724.13724115399702</v>
      </c>
    </row>
    <row r="44" spans="1:33" x14ac:dyDescent="0.25">
      <c r="A44" s="1">
        <v>44095</v>
      </c>
      <c r="B44">
        <v>14756.2606960256</v>
      </c>
      <c r="C44">
        <v>12142.262350827301</v>
      </c>
      <c r="D44">
        <v>12349.5924700984</v>
      </c>
      <c r="E44">
        <v>14996.131240422499</v>
      </c>
      <c r="F44">
        <v>18010.048771642701</v>
      </c>
      <c r="G44">
        <v>17643.4058031981</v>
      </c>
      <c r="H44">
        <v>28814.022253984502</v>
      </c>
      <c r="I44">
        <v>21000.667375439501</v>
      </c>
      <c r="J44">
        <v>2580.38545843985</v>
      </c>
      <c r="K44">
        <v>2719.9857148127999</v>
      </c>
      <c r="L44">
        <v>1087.7848786340001</v>
      </c>
      <c r="M44">
        <v>15858.808335687099</v>
      </c>
      <c r="N44">
        <v>5415.6970756497903</v>
      </c>
      <c r="O44">
        <v>963.94968890059795</v>
      </c>
      <c r="P44">
        <v>3185.5838036519299</v>
      </c>
      <c r="Q44">
        <v>13898.0604607079</v>
      </c>
      <c r="R44">
        <v>1265.0747588609299</v>
      </c>
      <c r="S44">
        <v>249.181851199878</v>
      </c>
      <c r="T44">
        <v>447.36988503516898</v>
      </c>
      <c r="U44">
        <v>141.241973886869</v>
      </c>
      <c r="V44">
        <v>460.96928402447799</v>
      </c>
      <c r="W44">
        <v>145.055472719715</v>
      </c>
      <c r="X44">
        <v>250.91631162246</v>
      </c>
      <c r="Y44">
        <v>981.92265896422805</v>
      </c>
      <c r="Z44">
        <v>151.62661580329899</v>
      </c>
      <c r="AA44">
        <v>607.54906912611</v>
      </c>
      <c r="AB44">
        <v>1144.1754696728101</v>
      </c>
      <c r="AC44">
        <v>570.42930922114499</v>
      </c>
      <c r="AD44">
        <v>857.38847385012002</v>
      </c>
      <c r="AE44">
        <v>571.68476606065303</v>
      </c>
      <c r="AF44">
        <v>449.290952835513</v>
      </c>
      <c r="AG44">
        <v>708.94802662735799</v>
      </c>
    </row>
    <row r="45" spans="1:33" x14ac:dyDescent="0.25">
      <c r="A45" s="1">
        <v>44096</v>
      </c>
      <c r="B45">
        <v>14675.8502618721</v>
      </c>
      <c r="C45">
        <v>12788.914725549501</v>
      </c>
      <c r="D45">
        <v>12278.5532896285</v>
      </c>
      <c r="E45">
        <v>14903.668232518299</v>
      </c>
      <c r="F45">
        <v>18253.892202392701</v>
      </c>
      <c r="G45">
        <v>17706.556001019399</v>
      </c>
      <c r="H45">
        <v>29127.631191060202</v>
      </c>
      <c r="I45">
        <v>21096.4823087726</v>
      </c>
      <c r="J45">
        <v>2598.4028562449998</v>
      </c>
      <c r="K45">
        <v>2780.3394287866299</v>
      </c>
      <c r="L45">
        <v>1097.7300357542799</v>
      </c>
      <c r="M45">
        <v>15976.597867176901</v>
      </c>
      <c r="N45">
        <v>5627.9495470395304</v>
      </c>
      <c r="O45">
        <v>977.91953129674596</v>
      </c>
      <c r="P45">
        <v>3245.2360620477998</v>
      </c>
      <c r="Q45">
        <v>14029.6159773702</v>
      </c>
      <c r="R45">
        <v>1300.68702460643</v>
      </c>
      <c r="S45">
        <v>248.719019197878</v>
      </c>
      <c r="T45">
        <v>460.22080226799602</v>
      </c>
      <c r="U45">
        <v>143.094884658572</v>
      </c>
      <c r="V45">
        <v>455.00480551715299</v>
      </c>
      <c r="W45">
        <v>139.58628094726399</v>
      </c>
      <c r="X45">
        <v>235.059930505728</v>
      </c>
      <c r="Y45">
        <v>983.49106866367094</v>
      </c>
      <c r="Z45">
        <v>153.046301715775</v>
      </c>
      <c r="AA45">
        <v>618.18698444245501</v>
      </c>
      <c r="AB45">
        <v>1165.30846817818</v>
      </c>
      <c r="AC45">
        <v>573.91441477374701</v>
      </c>
      <c r="AD45">
        <v>863.45821519559502</v>
      </c>
      <c r="AE45">
        <v>584.951356276654</v>
      </c>
      <c r="AF45">
        <v>455.25820153834297</v>
      </c>
      <c r="AG45">
        <v>699.44149363461202</v>
      </c>
    </row>
    <row r="46" spans="1:33" x14ac:dyDescent="0.25">
      <c r="A46" s="1">
        <v>44097</v>
      </c>
      <c r="B46">
        <v>14610.052057565201</v>
      </c>
      <c r="C46">
        <v>13438.3399926845</v>
      </c>
      <c r="D46">
        <v>12299.2255494495</v>
      </c>
      <c r="E46">
        <v>14851.4807393216</v>
      </c>
      <c r="F46">
        <v>18211.846833121701</v>
      </c>
      <c r="G46">
        <v>17382.1364653007</v>
      </c>
      <c r="H46">
        <v>29151.392135234699</v>
      </c>
      <c r="I46">
        <v>21166.297328290599</v>
      </c>
      <c r="J46">
        <v>2609.7437387596801</v>
      </c>
      <c r="K46">
        <v>2804.8861347264601</v>
      </c>
      <c r="L46">
        <v>1097.9503338803299</v>
      </c>
      <c r="M46">
        <v>15788.092277153901</v>
      </c>
      <c r="N46">
        <v>5462.4908582979197</v>
      </c>
      <c r="O46">
        <v>977.84238471214803</v>
      </c>
      <c r="P46">
        <v>3235.5644687030999</v>
      </c>
      <c r="Q46">
        <v>13758.635142712399</v>
      </c>
      <c r="R46">
        <v>1315.0452677457499</v>
      </c>
      <c r="S46">
        <v>254.14140567643199</v>
      </c>
      <c r="T46">
        <v>454.53063355230199</v>
      </c>
      <c r="U46">
        <v>137.76689604973899</v>
      </c>
      <c r="V46">
        <v>424.158064781257</v>
      </c>
      <c r="W46">
        <v>133.17530089639001</v>
      </c>
      <c r="X46">
        <v>222.278402072804</v>
      </c>
      <c r="Y46">
        <v>982.12779123547398</v>
      </c>
      <c r="Z46">
        <v>152.92180016839899</v>
      </c>
      <c r="AA46">
        <v>603.35047235551497</v>
      </c>
      <c r="AB46">
        <v>1158.4207657601801</v>
      </c>
      <c r="AC46">
        <v>577.68578446247705</v>
      </c>
      <c r="AD46">
        <v>866.04320422697003</v>
      </c>
      <c r="AE46">
        <v>615.93974299912804</v>
      </c>
      <c r="AF46">
        <v>464.70903723037299</v>
      </c>
      <c r="AG46">
        <v>695.56285006387998</v>
      </c>
    </row>
    <row r="47" spans="1:33" x14ac:dyDescent="0.25">
      <c r="A47" s="1">
        <v>44098</v>
      </c>
      <c r="B47">
        <v>14517.137321558501</v>
      </c>
      <c r="C47">
        <v>13140.250403144701</v>
      </c>
      <c r="D47">
        <v>12599.7661527487</v>
      </c>
      <c r="E47">
        <v>14868.6057951118</v>
      </c>
      <c r="F47">
        <v>18224.4069155939</v>
      </c>
      <c r="G47">
        <v>17456.7748406028</v>
      </c>
      <c r="H47">
        <v>29458.367288483001</v>
      </c>
      <c r="I47">
        <v>21193.9444747735</v>
      </c>
      <c r="J47">
        <v>2630.3052801845502</v>
      </c>
      <c r="K47">
        <v>2886.8200636401102</v>
      </c>
      <c r="L47">
        <v>1106.00924259161</v>
      </c>
      <c r="M47">
        <v>15941.463282373599</v>
      </c>
      <c r="N47">
        <v>5814.3450994783798</v>
      </c>
      <c r="O47">
        <v>1023.68057593845</v>
      </c>
      <c r="P47">
        <v>3320.9751620372899</v>
      </c>
      <c r="Q47">
        <v>13904.0432057255</v>
      </c>
      <c r="R47">
        <v>1370.57653015811</v>
      </c>
      <c r="S47">
        <v>252.84421943146501</v>
      </c>
      <c r="T47">
        <v>474.00783498013402</v>
      </c>
      <c r="U47">
        <v>131.459867994582</v>
      </c>
      <c r="V47">
        <v>432.77898345195803</v>
      </c>
      <c r="W47">
        <v>126.490538142456</v>
      </c>
      <c r="X47">
        <v>220.911559504069</v>
      </c>
      <c r="Y47">
        <v>998.20297381762305</v>
      </c>
      <c r="Z47">
        <v>152.80293452808701</v>
      </c>
      <c r="AA47">
        <v>590.50729038847203</v>
      </c>
      <c r="AB47">
        <v>1129.68259646452</v>
      </c>
      <c r="AC47">
        <v>578.73815669906799</v>
      </c>
      <c r="AD47">
        <v>878.04604697259504</v>
      </c>
      <c r="AE47">
        <v>653.23281591691398</v>
      </c>
      <c r="AF47">
        <v>467.530270024515</v>
      </c>
      <c r="AG47">
        <v>686.58403700280701</v>
      </c>
    </row>
    <row r="48" spans="1:33" x14ac:dyDescent="0.25">
      <c r="A48" s="1">
        <v>44099</v>
      </c>
      <c r="B48">
        <v>14479.0470530682</v>
      </c>
      <c r="C48">
        <v>13780.3567090094</v>
      </c>
      <c r="D48">
        <v>12877.249555218699</v>
      </c>
      <c r="E48">
        <v>15006.2534211782</v>
      </c>
      <c r="F48">
        <v>18227.448506798399</v>
      </c>
      <c r="G48">
        <v>17329.054266703701</v>
      </c>
      <c r="H48">
        <v>29027.993344066199</v>
      </c>
      <c r="I48">
        <v>21234.455465543298</v>
      </c>
      <c r="J48">
        <v>2633.3567298601702</v>
      </c>
      <c r="K48">
        <v>2848.6925850684802</v>
      </c>
      <c r="L48">
        <v>1123.82527116595</v>
      </c>
      <c r="M48">
        <v>15681.8587184139</v>
      </c>
      <c r="N48">
        <v>5655.3942414959402</v>
      </c>
      <c r="O48">
        <v>1010.99333748749</v>
      </c>
      <c r="P48">
        <v>3334.7615367762</v>
      </c>
      <c r="Q48">
        <v>13777.831094372201</v>
      </c>
      <c r="R48">
        <v>1360.10378858114</v>
      </c>
      <c r="S48">
        <v>247.134649856279</v>
      </c>
      <c r="T48">
        <v>433.33422413384301</v>
      </c>
      <c r="U48">
        <v>126.017140232919</v>
      </c>
      <c r="V48">
        <v>374.64568524869401</v>
      </c>
      <c r="W48">
        <v>133.03663317081899</v>
      </c>
      <c r="X48">
        <v>185.448675435468</v>
      </c>
      <c r="Y48">
        <v>988.35716824746999</v>
      </c>
      <c r="Z48">
        <v>151.48579708736801</v>
      </c>
      <c r="AA48">
        <v>591.49979588053395</v>
      </c>
      <c r="AB48">
        <v>1092.37295132896</v>
      </c>
      <c r="AC48">
        <v>580.10118784662495</v>
      </c>
      <c r="AD48">
        <v>868.68651113898704</v>
      </c>
      <c r="AE48">
        <v>631.91934136215605</v>
      </c>
      <c r="AF48">
        <v>473.55373079348999</v>
      </c>
      <c r="AG48">
        <v>673.47739317288995</v>
      </c>
    </row>
    <row r="49" spans="1:33" x14ac:dyDescent="0.25">
      <c r="A49" s="1">
        <v>44100</v>
      </c>
      <c r="B49">
        <v>14562.5211134334</v>
      </c>
      <c r="C49">
        <v>14123.790067845401</v>
      </c>
      <c r="D49">
        <v>13105.478003235099</v>
      </c>
      <c r="E49">
        <v>15124.339792188999</v>
      </c>
      <c r="F49">
        <v>17839.599037651798</v>
      </c>
      <c r="G49">
        <v>16631.3562795002</v>
      </c>
      <c r="H49">
        <v>27971.712297634</v>
      </c>
      <c r="I49">
        <v>21194.1133625086</v>
      </c>
      <c r="J49">
        <v>2625.6986543920302</v>
      </c>
      <c r="K49">
        <v>2770.6117679383001</v>
      </c>
      <c r="L49">
        <v>1114.53632274707</v>
      </c>
      <c r="M49">
        <v>14914.4418588549</v>
      </c>
      <c r="N49">
        <v>4964.3718534780401</v>
      </c>
      <c r="O49">
        <v>916.79294459430298</v>
      </c>
      <c r="P49">
        <v>3243.6836894063199</v>
      </c>
      <c r="Q49">
        <v>12997.2600321561</v>
      </c>
      <c r="R49">
        <v>1272.64766211595</v>
      </c>
      <c r="S49">
        <v>248.219977226563</v>
      </c>
      <c r="T49">
        <v>369.81938372277398</v>
      </c>
      <c r="U49">
        <v>132.5744187695</v>
      </c>
      <c r="V49">
        <v>317.63567006464501</v>
      </c>
      <c r="W49">
        <v>131.17805018539801</v>
      </c>
      <c r="X49">
        <v>166.77848052031601</v>
      </c>
      <c r="Y49">
        <v>956.91594176774095</v>
      </c>
      <c r="Z49">
        <v>148.414336089708</v>
      </c>
      <c r="AA49">
        <v>586.09968571507898</v>
      </c>
      <c r="AB49">
        <v>1067.8576395579601</v>
      </c>
      <c r="AC49">
        <v>579.75505511308404</v>
      </c>
      <c r="AD49">
        <v>853.58571582062405</v>
      </c>
      <c r="AE49">
        <v>629.16303999424804</v>
      </c>
      <c r="AF49">
        <v>483.14224318095199</v>
      </c>
      <c r="AG49">
        <v>676.50579793091595</v>
      </c>
    </row>
    <row r="50" spans="1:33" x14ac:dyDescent="0.25">
      <c r="A50" s="1">
        <v>44101</v>
      </c>
      <c r="B50">
        <v>14761.9161195406</v>
      </c>
      <c r="C50">
        <v>14219.3738794786</v>
      </c>
      <c r="D50">
        <v>13520.574865196901</v>
      </c>
      <c r="E50">
        <v>15472.2853561228</v>
      </c>
      <c r="F50">
        <v>17608.9917433968</v>
      </c>
      <c r="G50">
        <v>16524.392502402501</v>
      </c>
      <c r="H50">
        <v>27648.7186565456</v>
      </c>
      <c r="I50">
        <v>21055.138133664601</v>
      </c>
      <c r="J50">
        <v>2629.81930630534</v>
      </c>
      <c r="K50">
        <v>2797.5488433955902</v>
      </c>
      <c r="L50">
        <v>1091.5804944829299</v>
      </c>
      <c r="M50">
        <v>14811.145664256501</v>
      </c>
      <c r="N50">
        <v>4856.8511245111304</v>
      </c>
      <c r="O50">
        <v>899.72841289718201</v>
      </c>
      <c r="P50">
        <v>3287.9129593113298</v>
      </c>
      <c r="Q50">
        <v>12831.2344938803</v>
      </c>
      <c r="R50">
        <v>1252.71276316587</v>
      </c>
      <c r="S50">
        <v>246.758012815624</v>
      </c>
      <c r="T50">
        <v>356.84794843475601</v>
      </c>
      <c r="U50">
        <v>129.769761501755</v>
      </c>
      <c r="V50">
        <v>336.89568138297199</v>
      </c>
      <c r="W50">
        <v>129.17738032441</v>
      </c>
      <c r="X50">
        <v>177.11137141713201</v>
      </c>
      <c r="Y50">
        <v>957.91788570963104</v>
      </c>
      <c r="Z50">
        <v>146.99919856160599</v>
      </c>
      <c r="AA50">
        <v>585.31628548072001</v>
      </c>
      <c r="AB50">
        <v>1060.2148970430301</v>
      </c>
      <c r="AC50">
        <v>580.68231599702904</v>
      </c>
      <c r="AD50">
        <v>847.159160124962</v>
      </c>
      <c r="AE50">
        <v>628.53481991689603</v>
      </c>
      <c r="AF50">
        <v>489.70967656137401</v>
      </c>
      <c r="AG50">
        <v>679.67777332636001</v>
      </c>
    </row>
    <row r="51" spans="1:33" x14ac:dyDescent="0.25">
      <c r="A51" s="1">
        <v>44102</v>
      </c>
      <c r="B51">
        <v>15106.292829760599</v>
      </c>
      <c r="C51">
        <v>14167.168724494901</v>
      </c>
      <c r="D51">
        <v>14033.7277110986</v>
      </c>
      <c r="E51">
        <v>15941.6333608477</v>
      </c>
      <c r="F51">
        <v>17775.823377012901</v>
      </c>
      <c r="G51">
        <v>16921.300002199299</v>
      </c>
      <c r="H51">
        <v>28231.787345408698</v>
      </c>
      <c r="I51">
        <v>20940.782703782701</v>
      </c>
      <c r="J51">
        <v>2643.9662639641401</v>
      </c>
      <c r="K51">
        <v>2905.9338883331702</v>
      </c>
      <c r="L51">
        <v>1111.59068078368</v>
      </c>
      <c r="M51">
        <v>15209.276872021301</v>
      </c>
      <c r="N51">
        <v>5200.9289043590297</v>
      </c>
      <c r="O51">
        <v>955.63223544678794</v>
      </c>
      <c r="P51">
        <v>3437.7831063705598</v>
      </c>
      <c r="Q51">
        <v>13228.124321818201</v>
      </c>
      <c r="R51">
        <v>1302.3219887759899</v>
      </c>
      <c r="S51">
        <v>244.5328887851</v>
      </c>
      <c r="T51">
        <v>384.52209884492902</v>
      </c>
      <c r="U51">
        <v>127.13117803355701</v>
      </c>
      <c r="V51">
        <v>390.49610807632803</v>
      </c>
      <c r="W51">
        <v>126.554033521295</v>
      </c>
      <c r="X51">
        <v>199.65802068077701</v>
      </c>
      <c r="Y51">
        <v>980.33483272478099</v>
      </c>
      <c r="Z51">
        <v>143.721531733772</v>
      </c>
      <c r="AA51">
        <v>590.479725576124</v>
      </c>
      <c r="AB51">
        <v>1049.6883005295499</v>
      </c>
      <c r="AC51">
        <v>584.63394847287202</v>
      </c>
      <c r="AD51">
        <v>863.34729730638799</v>
      </c>
      <c r="AE51">
        <v>658.08043539466098</v>
      </c>
      <c r="AF51">
        <v>492.76927938364202</v>
      </c>
      <c r="AG51">
        <v>675.09065695550305</v>
      </c>
    </row>
    <row r="52" spans="1:33" x14ac:dyDescent="0.25">
      <c r="A52" s="1">
        <v>44103</v>
      </c>
      <c r="B52">
        <v>15576.5521054787</v>
      </c>
      <c r="C52">
        <v>14108.822098737901</v>
      </c>
      <c r="D52">
        <v>14476.758582377301</v>
      </c>
      <c r="E52">
        <v>16352.9761172493</v>
      </c>
      <c r="F52">
        <v>18151.509184760202</v>
      </c>
      <c r="G52">
        <v>17600.7511558611</v>
      </c>
      <c r="H52">
        <v>29042.908766392698</v>
      </c>
      <c r="I52">
        <v>20935.602033998199</v>
      </c>
      <c r="J52">
        <v>2681.4757678843898</v>
      </c>
      <c r="K52">
        <v>3073.7004885923302</v>
      </c>
      <c r="L52">
        <v>1161.22539487772</v>
      </c>
      <c r="M52">
        <v>15790.5106183881</v>
      </c>
      <c r="N52">
        <v>5705.2014338152003</v>
      </c>
      <c r="O52">
        <v>1057.2148320880201</v>
      </c>
      <c r="P52">
        <v>3650.1390331357902</v>
      </c>
      <c r="Q52">
        <v>13992.382602171399</v>
      </c>
      <c r="R52">
        <v>1408.3798519457901</v>
      </c>
      <c r="S52">
        <v>241.07869855517399</v>
      </c>
      <c r="T52">
        <v>442.71595990513902</v>
      </c>
      <c r="U52">
        <v>123.91592876473401</v>
      </c>
      <c r="V52">
        <v>447.10257147368998</v>
      </c>
      <c r="W52">
        <v>118.589070686273</v>
      </c>
      <c r="X52">
        <v>219.850021840854</v>
      </c>
      <c r="Y52">
        <v>967.734993059776</v>
      </c>
      <c r="Z52">
        <v>138.82916636250499</v>
      </c>
      <c r="AA52">
        <v>588.18076508943</v>
      </c>
      <c r="AB52">
        <v>1047.11694602032</v>
      </c>
      <c r="AC52">
        <v>589.23125517780602</v>
      </c>
      <c r="AD52">
        <v>897.10789249869799</v>
      </c>
      <c r="AE52">
        <v>682.55468469832101</v>
      </c>
      <c r="AF52">
        <v>492.58215261523702</v>
      </c>
      <c r="AG52">
        <v>671.16423980827096</v>
      </c>
    </row>
    <row r="53" spans="1:33" x14ac:dyDescent="0.25">
      <c r="A53" s="1">
        <v>44104</v>
      </c>
      <c r="B53">
        <v>15901.829118941499</v>
      </c>
      <c r="C53">
        <v>14100.5591340335</v>
      </c>
      <c r="D53">
        <v>14730.756430298599</v>
      </c>
      <c r="E53">
        <v>16534.084980339299</v>
      </c>
      <c r="F53">
        <v>18308.292974641601</v>
      </c>
      <c r="G53">
        <v>17518.491941948199</v>
      </c>
      <c r="H53">
        <v>28842.457674892601</v>
      </c>
      <c r="I53">
        <v>21076.311204923099</v>
      </c>
      <c r="J53">
        <v>2728.3846497491099</v>
      </c>
      <c r="K53">
        <v>3134.40019421754</v>
      </c>
      <c r="L53">
        <v>1170.2003017136601</v>
      </c>
      <c r="M53">
        <v>15769.948533959399</v>
      </c>
      <c r="N53">
        <v>5598.3607786334596</v>
      </c>
      <c r="O53">
        <v>1067.1690323907901</v>
      </c>
      <c r="P53">
        <v>3689.1261816761798</v>
      </c>
      <c r="Q53">
        <v>13925.8020932285</v>
      </c>
      <c r="R53">
        <v>1436.6369239396299</v>
      </c>
      <c r="S53">
        <v>239.789784429343</v>
      </c>
      <c r="T53">
        <v>412.03277197619502</v>
      </c>
      <c r="U53">
        <v>118.28955061136401</v>
      </c>
      <c r="V53">
        <v>400.20466573058002</v>
      </c>
      <c r="W53">
        <v>118.96121301267701</v>
      </c>
      <c r="X53">
        <v>197.35844727225501</v>
      </c>
      <c r="Y53">
        <v>936.03045266737502</v>
      </c>
      <c r="Z53">
        <v>135.72140734896001</v>
      </c>
      <c r="AA53">
        <v>589.00367315110498</v>
      </c>
      <c r="AB53">
        <v>1010.6593610027199</v>
      </c>
      <c r="AC53">
        <v>595.23706290816403</v>
      </c>
      <c r="AD53">
        <v>906.13634026206205</v>
      </c>
      <c r="AE53">
        <v>605.90907558746096</v>
      </c>
      <c r="AF53">
        <v>495.09925997529001</v>
      </c>
      <c r="AG53">
        <v>668.98648816823595</v>
      </c>
    </row>
    <row r="54" spans="1:33" x14ac:dyDescent="0.25">
      <c r="A54" s="1">
        <v>44105</v>
      </c>
      <c r="B54">
        <v>16340.8651348287</v>
      </c>
      <c r="C54">
        <v>14098.009181387701</v>
      </c>
      <c r="D54">
        <v>15144.4147769836</v>
      </c>
      <c r="E54">
        <v>16896.3941192608</v>
      </c>
      <c r="F54">
        <v>18262.8193888879</v>
      </c>
      <c r="G54">
        <v>17597.647845125201</v>
      </c>
      <c r="H54">
        <v>28753.430151419401</v>
      </c>
      <c r="I54">
        <v>21215.149048820302</v>
      </c>
      <c r="J54">
        <v>2771.7989896055801</v>
      </c>
      <c r="K54">
        <v>3156.5827899465098</v>
      </c>
      <c r="L54">
        <v>1169.7353620004501</v>
      </c>
      <c r="M54">
        <v>15814.0751949235</v>
      </c>
      <c r="N54">
        <v>5484.9733889798299</v>
      </c>
      <c r="O54">
        <v>1039.3380519585201</v>
      </c>
      <c r="P54">
        <v>3724.16246927876</v>
      </c>
      <c r="Q54">
        <v>13920.605397682901</v>
      </c>
      <c r="R54">
        <v>1416.69051535165</v>
      </c>
      <c r="S54">
        <v>239.08182625537501</v>
      </c>
      <c r="T54">
        <v>379.04229110499199</v>
      </c>
      <c r="U54">
        <v>116.74857655488</v>
      </c>
      <c r="V54">
        <v>373.45185075556799</v>
      </c>
      <c r="W54">
        <v>114.047677987345</v>
      </c>
      <c r="X54">
        <v>183.64472115517799</v>
      </c>
      <c r="Y54">
        <v>959.76622190016099</v>
      </c>
      <c r="Z54">
        <v>136.09489626581299</v>
      </c>
      <c r="AA54">
        <v>598.73868761716005</v>
      </c>
      <c r="AB54">
        <v>1051.4256954748701</v>
      </c>
      <c r="AC54">
        <v>604.13074328071104</v>
      </c>
      <c r="AD54">
        <v>899.151766985829</v>
      </c>
      <c r="AE54">
        <v>598.99575473928098</v>
      </c>
      <c r="AF54">
        <v>500.56200450034902</v>
      </c>
      <c r="AG54">
        <v>668.68915556843206</v>
      </c>
    </row>
    <row r="55" spans="1:33" x14ac:dyDescent="0.25">
      <c r="A55" s="1">
        <v>44106</v>
      </c>
      <c r="B55">
        <v>16902.643134003902</v>
      </c>
      <c r="C55">
        <v>14079.822919796001</v>
      </c>
      <c r="D55">
        <v>15688.8554478159</v>
      </c>
      <c r="E55">
        <v>17342.995904925399</v>
      </c>
      <c r="F55">
        <v>18459.510571116702</v>
      </c>
      <c r="G55">
        <v>17975.623595804402</v>
      </c>
      <c r="H55">
        <v>29266.829373690201</v>
      </c>
      <c r="I55">
        <v>21326.574396499302</v>
      </c>
      <c r="J55">
        <v>2831.0532200786802</v>
      </c>
      <c r="K55">
        <v>3232.0942741828399</v>
      </c>
      <c r="L55">
        <v>1186.9673738941201</v>
      </c>
      <c r="M55">
        <v>16133.247915746901</v>
      </c>
      <c r="N55">
        <v>5696.3162846776204</v>
      </c>
      <c r="O55">
        <v>1069.19715862612</v>
      </c>
      <c r="P55">
        <v>3812.13861251034</v>
      </c>
      <c r="Q55">
        <v>14247.6656616498</v>
      </c>
      <c r="R55">
        <v>1440.13568415848</v>
      </c>
      <c r="S55">
        <v>237.94707733057999</v>
      </c>
      <c r="T55">
        <v>392.014488299128</v>
      </c>
      <c r="U55">
        <v>114.58812200529999</v>
      </c>
      <c r="V55">
        <v>402.49507486677498</v>
      </c>
      <c r="W55">
        <v>120.473731892873</v>
      </c>
      <c r="X55">
        <v>189.35687309117901</v>
      </c>
      <c r="Y55">
        <v>969.89974730886695</v>
      </c>
      <c r="Z55">
        <v>135.05583484915999</v>
      </c>
      <c r="AA55">
        <v>595.98930971587504</v>
      </c>
      <c r="AB55">
        <v>1075.8395949606299</v>
      </c>
      <c r="AC55">
        <v>611.48585517064203</v>
      </c>
      <c r="AD55">
        <v>912.30243899063601</v>
      </c>
      <c r="AE55">
        <v>652.408919210357</v>
      </c>
      <c r="AF55">
        <v>503.341647015224</v>
      </c>
      <c r="AG55">
        <v>673.12830665451395</v>
      </c>
    </row>
    <row r="56" spans="1:33" x14ac:dyDescent="0.25">
      <c r="A56" s="1">
        <v>44107</v>
      </c>
      <c r="B56">
        <v>17463.617251020401</v>
      </c>
      <c r="C56">
        <v>14065.6614432203</v>
      </c>
      <c r="D56">
        <v>16225.0717110522</v>
      </c>
      <c r="E56">
        <v>17753.9502264246</v>
      </c>
      <c r="F56">
        <v>18779.8268658659</v>
      </c>
      <c r="G56">
        <v>18383.292467814801</v>
      </c>
      <c r="H56">
        <v>29805.662483722299</v>
      </c>
      <c r="I56">
        <v>21464.929229298399</v>
      </c>
      <c r="J56">
        <v>2892.2536257649699</v>
      </c>
      <c r="K56">
        <v>3330.9549897041202</v>
      </c>
      <c r="L56">
        <v>1215.4594539908001</v>
      </c>
      <c r="M56">
        <v>16573.438366963499</v>
      </c>
      <c r="N56">
        <v>5955.8342630171401</v>
      </c>
      <c r="O56">
        <v>1124.7569778788099</v>
      </c>
      <c r="P56">
        <v>3937.2080446630498</v>
      </c>
      <c r="Q56">
        <v>14736.404050105901</v>
      </c>
      <c r="R56">
        <v>1495.25639539843</v>
      </c>
      <c r="S56">
        <v>237.130327540216</v>
      </c>
      <c r="T56">
        <v>410.607179863819</v>
      </c>
      <c r="U56">
        <v>119.91647071722799</v>
      </c>
      <c r="V56">
        <v>415.51936133954598</v>
      </c>
      <c r="W56">
        <v>114.72471580377901</v>
      </c>
      <c r="X56">
        <v>190.570289036151</v>
      </c>
      <c r="Y56">
        <v>969.73247160851201</v>
      </c>
      <c r="Z56">
        <v>132.569288981639</v>
      </c>
      <c r="AA56">
        <v>599.20575270788504</v>
      </c>
      <c r="AB56">
        <v>1084.1339842489899</v>
      </c>
      <c r="AC56">
        <v>617.51433921872604</v>
      </c>
      <c r="AD56">
        <v>933.80895976279396</v>
      </c>
      <c r="AE56">
        <v>634.11911895422895</v>
      </c>
      <c r="AF56">
        <v>505.02173768294801</v>
      </c>
      <c r="AG56">
        <v>674.87751269738806</v>
      </c>
    </row>
    <row r="57" spans="1:33" x14ac:dyDescent="0.25">
      <c r="A57" s="1">
        <v>44108</v>
      </c>
      <c r="B57">
        <v>17876.9518273004</v>
      </c>
      <c r="C57">
        <v>14096.2306441655</v>
      </c>
      <c r="D57">
        <v>16529.992190153302</v>
      </c>
      <c r="E57">
        <v>17961.2337214176</v>
      </c>
      <c r="F57">
        <v>18897.498103269802</v>
      </c>
      <c r="G57">
        <v>18372.575106649401</v>
      </c>
      <c r="H57">
        <v>29850.015931327001</v>
      </c>
      <c r="I57">
        <v>21627.5580408815</v>
      </c>
      <c r="J57">
        <v>2941.0115867427098</v>
      </c>
      <c r="K57">
        <v>3359.8256430015399</v>
      </c>
      <c r="L57">
        <v>1227.6024183719601</v>
      </c>
      <c r="M57">
        <v>16584.9107686362</v>
      </c>
      <c r="N57">
        <v>5849.3974515745304</v>
      </c>
      <c r="O57">
        <v>1119.8768126515899</v>
      </c>
      <c r="P57">
        <v>3951.83439849866</v>
      </c>
      <c r="Q57">
        <v>14691.9643238915</v>
      </c>
      <c r="R57">
        <v>1506.7824960892301</v>
      </c>
      <c r="S57">
        <v>236.99236891377799</v>
      </c>
      <c r="T57">
        <v>398.89069581562899</v>
      </c>
      <c r="U57">
        <v>115.24504520589301</v>
      </c>
      <c r="V57">
        <v>380.66979490301401</v>
      </c>
      <c r="W57">
        <v>112.72828058848501</v>
      </c>
      <c r="X57">
        <v>179.531836351745</v>
      </c>
      <c r="Y57">
        <v>954.25123669474101</v>
      </c>
      <c r="Z57">
        <v>129.15914143047101</v>
      </c>
      <c r="AA57">
        <v>605.49271611550398</v>
      </c>
      <c r="AB57">
        <v>1080.75276038978</v>
      </c>
      <c r="AC57">
        <v>623.01460142666303</v>
      </c>
      <c r="AD57">
        <v>943.00757472577698</v>
      </c>
      <c r="AE57">
        <v>644.22529898801497</v>
      </c>
      <c r="AF57">
        <v>508.99895740079802</v>
      </c>
      <c r="AG57">
        <v>672.39392950943602</v>
      </c>
    </row>
    <row r="58" spans="1:33" x14ac:dyDescent="0.25">
      <c r="A58" s="1">
        <v>44109</v>
      </c>
      <c r="B58">
        <v>18160.2837713544</v>
      </c>
      <c r="C58">
        <v>14188.1634416365</v>
      </c>
      <c r="D58">
        <v>16721.7860080067</v>
      </c>
      <c r="E58">
        <v>18116.128111349801</v>
      </c>
      <c r="F58">
        <v>18880.810859832902</v>
      </c>
      <c r="G58">
        <v>18180.683978552301</v>
      </c>
      <c r="H58">
        <v>29654.49144754</v>
      </c>
      <c r="I58">
        <v>21751.053429977201</v>
      </c>
      <c r="J58">
        <v>2969.5365797642198</v>
      </c>
      <c r="K58">
        <v>3359.70064999345</v>
      </c>
      <c r="L58">
        <v>1221.9516891393</v>
      </c>
      <c r="M58">
        <v>16393.757875172301</v>
      </c>
      <c r="N58">
        <v>5554.3083109372801</v>
      </c>
      <c r="O58">
        <v>1096.35387018489</v>
      </c>
      <c r="P58">
        <v>3938.3396678479799</v>
      </c>
      <c r="Q58">
        <v>14483.9254529509</v>
      </c>
      <c r="R58">
        <v>1494.3250917803</v>
      </c>
      <c r="S58">
        <v>237.19139768411901</v>
      </c>
      <c r="T58">
        <v>380.01100916990998</v>
      </c>
      <c r="U58">
        <v>114.29060205405401</v>
      </c>
      <c r="V58">
        <v>353.51987939294901</v>
      </c>
      <c r="W58">
        <v>112.580743593712</v>
      </c>
      <c r="X58">
        <v>173.895167230753</v>
      </c>
      <c r="Y58">
        <v>939.53656349216203</v>
      </c>
      <c r="Z58">
        <v>126.179345224568</v>
      </c>
      <c r="AA58">
        <v>604.17309077974505</v>
      </c>
      <c r="AB58">
        <v>1121.0204029199999</v>
      </c>
      <c r="AC58">
        <v>620.66147287930505</v>
      </c>
      <c r="AD58">
        <v>938.48433478561003</v>
      </c>
      <c r="AE58">
        <v>622.63063935391403</v>
      </c>
      <c r="AF58">
        <v>515.32920120826498</v>
      </c>
      <c r="AG58">
        <v>674.39593262414201</v>
      </c>
    </row>
    <row r="59" spans="1:33" x14ac:dyDescent="0.25">
      <c r="A59" s="1">
        <v>44110</v>
      </c>
      <c r="B59">
        <v>18491.8831781435</v>
      </c>
      <c r="C59">
        <v>14309.734540204699</v>
      </c>
      <c r="D59">
        <v>17094.2345238122</v>
      </c>
      <c r="E59">
        <v>18513.520714067399</v>
      </c>
      <c r="F59">
        <v>18923.756792886001</v>
      </c>
      <c r="G59">
        <v>18406.7044791935</v>
      </c>
      <c r="H59">
        <v>30449.2931129842</v>
      </c>
      <c r="I59">
        <v>21807.7060004657</v>
      </c>
      <c r="J59">
        <v>3012.6801012585502</v>
      </c>
      <c r="K59">
        <v>3473.2057570269399</v>
      </c>
      <c r="L59">
        <v>1240.91626910482</v>
      </c>
      <c r="M59">
        <v>16743.143887656599</v>
      </c>
      <c r="N59">
        <v>5952.8759725407399</v>
      </c>
      <c r="O59">
        <v>1164.12892590311</v>
      </c>
      <c r="P59">
        <v>4055.2570113724701</v>
      </c>
      <c r="Q59">
        <v>14823.273975579699</v>
      </c>
      <c r="R59">
        <v>1554.7723129538399</v>
      </c>
      <c r="S59">
        <v>237.06550125995901</v>
      </c>
      <c r="T59">
        <v>434.25719992698799</v>
      </c>
      <c r="U59">
        <v>113.969216725848</v>
      </c>
      <c r="V59">
        <v>408.272191466057</v>
      </c>
      <c r="W59">
        <v>112.17833197302301</v>
      </c>
      <c r="X59">
        <v>183.254188809505</v>
      </c>
      <c r="Y59">
        <v>954.97613055035094</v>
      </c>
      <c r="Z59">
        <v>124.095502019151</v>
      </c>
      <c r="AA59">
        <v>605.96888991230696</v>
      </c>
      <c r="AB59">
        <v>1124.57178043208</v>
      </c>
      <c r="AC59">
        <v>619.314209904363</v>
      </c>
      <c r="AD59">
        <v>959.29007958524596</v>
      </c>
      <c r="AE59">
        <v>570.40695445680797</v>
      </c>
      <c r="AF59">
        <v>519.02332193952805</v>
      </c>
      <c r="AG59">
        <v>675.00407017690202</v>
      </c>
    </row>
    <row r="60" spans="1:33" x14ac:dyDescent="0.25">
      <c r="A60" s="1">
        <v>44111</v>
      </c>
      <c r="B60">
        <v>18805.954784043999</v>
      </c>
      <c r="C60">
        <v>14423.1667182732</v>
      </c>
      <c r="D60">
        <v>17469.022724021401</v>
      </c>
      <c r="E60">
        <v>18890.332801552398</v>
      </c>
      <c r="F60">
        <v>19224.4446804461</v>
      </c>
      <c r="G60">
        <v>18622.720918898201</v>
      </c>
      <c r="H60">
        <v>31220.8086996231</v>
      </c>
      <c r="I60">
        <v>21897.3497420776</v>
      </c>
      <c r="J60">
        <v>3069.5277064813199</v>
      </c>
      <c r="K60">
        <v>3555.2501672424801</v>
      </c>
      <c r="L60">
        <v>1269.39849338211</v>
      </c>
      <c r="M60">
        <v>17190.9312542685</v>
      </c>
      <c r="N60">
        <v>6651.5955652734301</v>
      </c>
      <c r="O60">
        <v>1266.48413752789</v>
      </c>
      <c r="P60">
        <v>4114.9421865330496</v>
      </c>
      <c r="Q60">
        <v>15227.6672845142</v>
      </c>
      <c r="R60">
        <v>1699.35693504346</v>
      </c>
      <c r="S60">
        <v>237.26285967800101</v>
      </c>
      <c r="T60">
        <v>523.82262761313302</v>
      </c>
      <c r="U60">
        <v>113.23843231530699</v>
      </c>
      <c r="V60">
        <v>463.38000027760802</v>
      </c>
      <c r="W60">
        <v>113.024432161256</v>
      </c>
      <c r="X60">
        <v>190.92215055602199</v>
      </c>
      <c r="Y60">
        <v>974.35082018301296</v>
      </c>
      <c r="Z60">
        <v>122.41948491408201</v>
      </c>
      <c r="AA60">
        <v>607.97004275028098</v>
      </c>
      <c r="AB60">
        <v>1140.54989388887</v>
      </c>
      <c r="AC60">
        <v>621.29916868270004</v>
      </c>
      <c r="AD60">
        <v>994.59022068860099</v>
      </c>
      <c r="AE60">
        <v>538.44987620878896</v>
      </c>
      <c r="AF60">
        <v>521.17196005585004</v>
      </c>
      <c r="AG60">
        <v>676.10994932957101</v>
      </c>
    </row>
    <row r="61" spans="1:33" x14ac:dyDescent="0.25">
      <c r="A61" s="1">
        <v>44112</v>
      </c>
      <c r="B61">
        <v>19081.3267709551</v>
      </c>
      <c r="C61">
        <v>14568.1172227067</v>
      </c>
      <c r="D61">
        <v>17678.762423479599</v>
      </c>
      <c r="E61">
        <v>19180.029894284398</v>
      </c>
      <c r="F61">
        <v>19402.183555235999</v>
      </c>
      <c r="G61">
        <v>18710.8523878458</v>
      </c>
      <c r="H61">
        <v>31399.804149246</v>
      </c>
      <c r="I61">
        <v>22031.4144001526</v>
      </c>
      <c r="J61">
        <v>3113.98960803316</v>
      </c>
      <c r="K61">
        <v>3575.32679041032</v>
      </c>
      <c r="L61">
        <v>1277.48207470641</v>
      </c>
      <c r="M61">
        <v>17315.794486414899</v>
      </c>
      <c r="N61">
        <v>6986.7261168452796</v>
      </c>
      <c r="O61">
        <v>1282.56297682891</v>
      </c>
      <c r="P61">
        <v>4152.5108805923201</v>
      </c>
      <c r="Q61">
        <v>15333.7932468011</v>
      </c>
      <c r="R61">
        <v>1746.2720160024901</v>
      </c>
      <c r="S61">
        <v>237.71145724474999</v>
      </c>
      <c r="T61">
        <v>557.23243810910299</v>
      </c>
      <c r="U61">
        <v>112.077053748407</v>
      </c>
      <c r="V61">
        <v>459.803414714952</v>
      </c>
      <c r="W61">
        <v>110.24987077656</v>
      </c>
      <c r="X61">
        <v>174.560308315399</v>
      </c>
      <c r="Y61">
        <v>979.41627635493796</v>
      </c>
      <c r="Z61">
        <v>122.911956489638</v>
      </c>
      <c r="AA61">
        <v>604.61926352388798</v>
      </c>
      <c r="AB61">
        <v>1168.3504099213201</v>
      </c>
      <c r="AC61">
        <v>621.12771266534503</v>
      </c>
      <c r="AD61">
        <v>1001.93751222046</v>
      </c>
      <c r="AE61">
        <v>549.34275562507196</v>
      </c>
      <c r="AF61">
        <v>526.14356496571395</v>
      </c>
      <c r="AG61">
        <v>678.17602269108102</v>
      </c>
    </row>
    <row r="62" spans="1:33" x14ac:dyDescent="0.25">
      <c r="A62" s="1">
        <v>44113</v>
      </c>
      <c r="B62">
        <v>19264.0827050019</v>
      </c>
      <c r="C62">
        <v>15031.638334712699</v>
      </c>
      <c r="D62">
        <v>17550.900744807699</v>
      </c>
      <c r="E62">
        <v>19346.880437158699</v>
      </c>
      <c r="F62">
        <v>19056.6906211231</v>
      </c>
      <c r="G62">
        <v>18398.147025333499</v>
      </c>
      <c r="H62">
        <v>30897.442521893001</v>
      </c>
      <c r="I62">
        <v>22201.982640099701</v>
      </c>
      <c r="J62">
        <v>3085.9330149669699</v>
      </c>
      <c r="K62">
        <v>3469.9499029060898</v>
      </c>
      <c r="L62">
        <v>1263.1719005519201</v>
      </c>
      <c r="M62">
        <v>16840.215935803899</v>
      </c>
      <c r="N62">
        <v>6571.8780738085798</v>
      </c>
      <c r="O62">
        <v>1154.70609018563</v>
      </c>
      <c r="P62">
        <v>3991.81548828717</v>
      </c>
      <c r="Q62">
        <v>14888.8081010802</v>
      </c>
      <c r="R62">
        <v>1638.83507860245</v>
      </c>
      <c r="S62">
        <v>237.709039296833</v>
      </c>
      <c r="T62">
        <v>472.85833873412298</v>
      </c>
      <c r="U62">
        <v>110.40675196560299</v>
      </c>
      <c r="V62">
        <v>380.738312979022</v>
      </c>
      <c r="W62">
        <v>110.557381905409</v>
      </c>
      <c r="X62">
        <v>159.961750048971</v>
      </c>
      <c r="Y62">
        <v>959.49600940235598</v>
      </c>
      <c r="Z62">
        <v>122.192432475639</v>
      </c>
      <c r="AA62">
        <v>609.23124247097701</v>
      </c>
      <c r="AB62">
        <v>1158.55594158998</v>
      </c>
      <c r="AC62">
        <v>618.06156832988802</v>
      </c>
      <c r="AD62">
        <v>978.13208697473397</v>
      </c>
      <c r="AE62">
        <v>549.14367397736896</v>
      </c>
      <c r="AF62">
        <v>534.35660090398403</v>
      </c>
      <c r="AG62">
        <v>680.87599043398802</v>
      </c>
    </row>
    <row r="63" spans="1:33" x14ac:dyDescent="0.25">
      <c r="A63" s="1">
        <v>44114</v>
      </c>
      <c r="B63">
        <v>19259.648863323899</v>
      </c>
      <c r="C63">
        <v>15400.938767846499</v>
      </c>
      <c r="D63">
        <v>16667.576108555899</v>
      </c>
      <c r="E63">
        <v>19338.560945638499</v>
      </c>
      <c r="F63">
        <v>18767.435552081599</v>
      </c>
      <c r="G63">
        <v>18148.6742732483</v>
      </c>
      <c r="H63">
        <v>30560.399765276899</v>
      </c>
      <c r="I63">
        <v>22219.8718551397</v>
      </c>
      <c r="J63">
        <v>3057.9473280246898</v>
      </c>
      <c r="K63">
        <v>3376.0670196478</v>
      </c>
      <c r="L63">
        <v>1243.69959618648</v>
      </c>
      <c r="M63">
        <v>16558.246989002499</v>
      </c>
      <c r="N63">
        <v>6289.5487281634396</v>
      </c>
      <c r="O63">
        <v>1078.7222053519399</v>
      </c>
      <c r="P63">
        <v>3828.97757287886</v>
      </c>
      <c r="Q63">
        <v>14497.530466449</v>
      </c>
      <c r="R63">
        <v>1574.8105984241599</v>
      </c>
      <c r="S63">
        <v>237.57071341024499</v>
      </c>
      <c r="T63">
        <v>458.366000429221</v>
      </c>
      <c r="U63">
        <v>110.796833395823</v>
      </c>
      <c r="V63">
        <v>411.662079948393</v>
      </c>
      <c r="W63">
        <v>110.219479852506</v>
      </c>
      <c r="X63">
        <v>189.82692302506899</v>
      </c>
      <c r="Y63">
        <v>959.62063583157999</v>
      </c>
      <c r="Z63">
        <v>121.223010078523</v>
      </c>
      <c r="AA63">
        <v>607.83793614030196</v>
      </c>
      <c r="AB63">
        <v>1146.2694195119</v>
      </c>
      <c r="AC63">
        <v>612.29561062652294</v>
      </c>
      <c r="AD63">
        <v>952.86587245691396</v>
      </c>
      <c r="AE63">
        <v>510.77617006957399</v>
      </c>
      <c r="AF63">
        <v>542.21480640158097</v>
      </c>
      <c r="AG63">
        <v>684.588433768816</v>
      </c>
    </row>
    <row r="64" spans="1:33" x14ac:dyDescent="0.25">
      <c r="A64" s="1">
        <v>44115</v>
      </c>
      <c r="B64">
        <v>19159.607441951601</v>
      </c>
      <c r="C64">
        <v>14315.8134003102</v>
      </c>
      <c r="D64">
        <v>15662.175070761299</v>
      </c>
      <c r="E64">
        <v>18846.105192227202</v>
      </c>
      <c r="F64">
        <v>18422.920888309</v>
      </c>
      <c r="G64">
        <v>17443.1255275166</v>
      </c>
      <c r="H64">
        <v>29116.1356251045</v>
      </c>
      <c r="I64">
        <v>22134.710091302899</v>
      </c>
      <c r="J64">
        <v>2993.3370309143002</v>
      </c>
      <c r="K64">
        <v>3064.5869362021299</v>
      </c>
      <c r="L64">
        <v>1187.59888578865</v>
      </c>
      <c r="M64">
        <v>15648.1786523224</v>
      </c>
      <c r="N64">
        <v>5201.3218503112003</v>
      </c>
      <c r="O64">
        <v>969.07266789405196</v>
      </c>
      <c r="P64">
        <v>3498.8303452816599</v>
      </c>
      <c r="Q64">
        <v>13656.4116212626</v>
      </c>
      <c r="R64">
        <v>1384.47121941756</v>
      </c>
      <c r="S64">
        <v>237.36672093564201</v>
      </c>
      <c r="T64">
        <v>351.82985258043902</v>
      </c>
      <c r="U64">
        <v>111.501907550236</v>
      </c>
      <c r="V64">
        <v>281.46660959326402</v>
      </c>
      <c r="W64">
        <v>112.10990093245201</v>
      </c>
      <c r="X64">
        <v>144.971994162725</v>
      </c>
      <c r="Y64">
        <v>959.25435296991895</v>
      </c>
      <c r="Z64">
        <v>120.711546048613</v>
      </c>
      <c r="AA64">
        <v>620.18403808587902</v>
      </c>
      <c r="AB64">
        <v>1134.8136031433</v>
      </c>
      <c r="AC64">
        <v>606.273971606803</v>
      </c>
      <c r="AD64">
        <v>897.05861962141</v>
      </c>
      <c r="AE64">
        <v>501.60781913848001</v>
      </c>
      <c r="AF64">
        <v>552.72706101318499</v>
      </c>
      <c r="AG64">
        <v>688.72677930185898</v>
      </c>
    </row>
    <row r="65" spans="1:33" x14ac:dyDescent="0.25">
      <c r="A65" s="1">
        <v>44116</v>
      </c>
      <c r="B65">
        <v>18780.163441319299</v>
      </c>
      <c r="C65">
        <v>13440.672865865699</v>
      </c>
      <c r="D65">
        <v>15441.1335779459</v>
      </c>
      <c r="E65">
        <v>18462.983694742801</v>
      </c>
      <c r="F65">
        <v>18081.522250560301</v>
      </c>
      <c r="G65">
        <v>17199.364177479601</v>
      </c>
      <c r="H65">
        <v>28752.173806854102</v>
      </c>
      <c r="I65">
        <v>21949.842432635502</v>
      </c>
      <c r="J65">
        <v>2972.23127904999</v>
      </c>
      <c r="K65">
        <v>2962.2221012516702</v>
      </c>
      <c r="L65">
        <v>1146.5761616483401</v>
      </c>
      <c r="M65">
        <v>15311.0929407688</v>
      </c>
      <c r="N65">
        <v>4898.6518351262703</v>
      </c>
      <c r="O65">
        <v>922.13728298255205</v>
      </c>
      <c r="P65">
        <v>3397.8200063269001</v>
      </c>
      <c r="Q65">
        <v>13179.170983780799</v>
      </c>
      <c r="R65">
        <v>1296.2601150109101</v>
      </c>
      <c r="S65">
        <v>237.471125645424</v>
      </c>
      <c r="T65">
        <v>343.25194839027802</v>
      </c>
      <c r="U65">
        <v>113.58468433627699</v>
      </c>
      <c r="V65">
        <v>334.71340903887699</v>
      </c>
      <c r="W65">
        <v>112.782386797619</v>
      </c>
      <c r="X65">
        <v>157.42390051662801</v>
      </c>
      <c r="Y65">
        <v>965.31944584743303</v>
      </c>
      <c r="Z65">
        <v>121.03588998062</v>
      </c>
      <c r="AA65">
        <v>622.54795224961595</v>
      </c>
      <c r="AB65">
        <v>1046.3891631368999</v>
      </c>
      <c r="AC65">
        <v>600.87711450903601</v>
      </c>
      <c r="AD65">
        <v>877.89615036629505</v>
      </c>
      <c r="AE65">
        <v>521.65850572683496</v>
      </c>
      <c r="AF65">
        <v>562.94200793218704</v>
      </c>
      <c r="AG65">
        <v>692.61502144059398</v>
      </c>
    </row>
    <row r="66" spans="1:33" x14ac:dyDescent="0.25">
      <c r="A66" s="1">
        <v>44117</v>
      </c>
      <c r="B66">
        <v>18403.4419858894</v>
      </c>
      <c r="C66">
        <v>12773.533221465001</v>
      </c>
      <c r="D66">
        <v>15185.781584136799</v>
      </c>
      <c r="E66">
        <v>18198.094526359098</v>
      </c>
      <c r="F66">
        <v>18370.278862228399</v>
      </c>
      <c r="G66">
        <v>17762.443968590698</v>
      </c>
      <c r="H66">
        <v>29043.2704576531</v>
      </c>
      <c r="I66">
        <v>21791.1248921806</v>
      </c>
      <c r="J66">
        <v>2961.1761246012302</v>
      </c>
      <c r="K66">
        <v>3022.6882767228799</v>
      </c>
      <c r="L66">
        <v>1156.22990158432</v>
      </c>
      <c r="M66">
        <v>15851.249242083501</v>
      </c>
      <c r="N66">
        <v>5410.41155543476</v>
      </c>
      <c r="O66">
        <v>998.80499242861799</v>
      </c>
      <c r="P66">
        <v>3509.2456033434801</v>
      </c>
      <c r="Q66">
        <v>13804.6902331243</v>
      </c>
      <c r="R66">
        <v>1346.20984097784</v>
      </c>
      <c r="S66">
        <v>237.21888622115</v>
      </c>
      <c r="T66">
        <v>412.57026742359801</v>
      </c>
      <c r="U66">
        <v>113.21833077155399</v>
      </c>
      <c r="V66">
        <v>442.99135887732302</v>
      </c>
      <c r="W66">
        <v>109.940409525463</v>
      </c>
      <c r="X66">
        <v>213.80198100651401</v>
      </c>
      <c r="Y66">
        <v>977.58267429197303</v>
      </c>
      <c r="Z66">
        <v>120.809470679119</v>
      </c>
      <c r="AA66">
        <v>632.29665663673995</v>
      </c>
      <c r="AB66">
        <v>1109.8560737164601</v>
      </c>
      <c r="AC66">
        <v>595.48984505116096</v>
      </c>
      <c r="AD66">
        <v>890.26339988106599</v>
      </c>
      <c r="AE66">
        <v>513.66175959722</v>
      </c>
      <c r="AF66">
        <v>568.00501637753496</v>
      </c>
      <c r="AG66">
        <v>699.06720820642602</v>
      </c>
    </row>
    <row r="67" spans="1:33" x14ac:dyDescent="0.25">
      <c r="A67" s="1">
        <v>44118</v>
      </c>
      <c r="B67">
        <v>17972.0243435907</v>
      </c>
      <c r="C67">
        <v>12766.356832613999</v>
      </c>
      <c r="D67">
        <v>14667.4330147615</v>
      </c>
      <c r="E67">
        <v>17812.614015828902</v>
      </c>
      <c r="F67">
        <v>18593.3478179089</v>
      </c>
      <c r="G67">
        <v>17780.1603069718</v>
      </c>
      <c r="H67">
        <v>28677.377259975801</v>
      </c>
      <c r="I67">
        <v>21762.806541227699</v>
      </c>
      <c r="J67">
        <v>2951.3803975696801</v>
      </c>
      <c r="K67">
        <v>3038.79065732562</v>
      </c>
      <c r="L67">
        <v>1185.69071869185</v>
      </c>
      <c r="M67">
        <v>15876.1224310252</v>
      </c>
      <c r="N67">
        <v>5413.4115971559204</v>
      </c>
      <c r="O67">
        <v>1107.0569872385699</v>
      </c>
      <c r="P67">
        <v>3554.2951588392998</v>
      </c>
      <c r="Q67">
        <v>13777.9105209175</v>
      </c>
      <c r="R67">
        <v>1390.3976045920599</v>
      </c>
      <c r="S67">
        <v>236.749362768688</v>
      </c>
      <c r="T67">
        <v>424.52290865563401</v>
      </c>
      <c r="U67">
        <v>111.454655422081</v>
      </c>
      <c r="V67">
        <v>383.70030077406398</v>
      </c>
      <c r="W67">
        <v>109.70389835605501</v>
      </c>
      <c r="X67">
        <v>168.46185733289701</v>
      </c>
      <c r="Y67">
        <v>990.21729050450904</v>
      </c>
      <c r="Z67">
        <v>120.588769674631</v>
      </c>
      <c r="AA67">
        <v>643.57607271014399</v>
      </c>
      <c r="AB67">
        <v>1102.6338622071501</v>
      </c>
      <c r="AC67">
        <v>587.33631875249205</v>
      </c>
      <c r="AD67">
        <v>895.28084434712002</v>
      </c>
      <c r="AE67">
        <v>508.12655759151198</v>
      </c>
      <c r="AF67">
        <v>573.02737667991005</v>
      </c>
      <c r="AG67">
        <v>700.35965014520002</v>
      </c>
    </row>
    <row r="68" spans="1:33" x14ac:dyDescent="0.25">
      <c r="A68" s="1">
        <v>44119</v>
      </c>
      <c r="B68">
        <v>17394.699591271401</v>
      </c>
      <c r="C68">
        <v>12569.495887023701</v>
      </c>
      <c r="D68">
        <v>14332.0193482821</v>
      </c>
      <c r="E68">
        <v>17478.575831046201</v>
      </c>
      <c r="F68">
        <v>18800.4161855567</v>
      </c>
      <c r="G68">
        <v>18068.859589583099</v>
      </c>
      <c r="H68">
        <v>28790.174484411298</v>
      </c>
      <c r="I68">
        <v>21794.5472979554</v>
      </c>
      <c r="J68">
        <v>2963.3718765329199</v>
      </c>
      <c r="K68">
        <v>3093.1106318243101</v>
      </c>
      <c r="L68">
        <v>1213.68484378536</v>
      </c>
      <c r="M68">
        <v>16145.815822818</v>
      </c>
      <c r="N68">
        <v>5643.2054927855097</v>
      </c>
      <c r="O68">
        <v>1202.48300381994</v>
      </c>
      <c r="P68">
        <v>3625.6881049046501</v>
      </c>
      <c r="Q68">
        <v>14038.875283720699</v>
      </c>
      <c r="R68">
        <v>1446.8111608817301</v>
      </c>
      <c r="S68">
        <v>236.119134864909</v>
      </c>
      <c r="T68">
        <v>425.05136192658301</v>
      </c>
      <c r="U68">
        <v>111.57271183222601</v>
      </c>
      <c r="V68">
        <v>387.28264516818302</v>
      </c>
      <c r="W68">
        <v>109.47193509075601</v>
      </c>
      <c r="X68">
        <v>164.80555325632301</v>
      </c>
      <c r="Y68">
        <v>1019.27449880811</v>
      </c>
      <c r="Z68">
        <v>120.745585389507</v>
      </c>
      <c r="AA68">
        <v>641.95482800104401</v>
      </c>
      <c r="AB68">
        <v>1122.16667705242</v>
      </c>
      <c r="AC68">
        <v>583.64408368831505</v>
      </c>
      <c r="AD68">
        <v>928.16027321742501</v>
      </c>
      <c r="AE68">
        <v>483.46305156260001</v>
      </c>
      <c r="AF68">
        <v>577.83515876110198</v>
      </c>
      <c r="AG68">
        <v>704.16548111058796</v>
      </c>
    </row>
    <row r="69" spans="1:33" x14ac:dyDescent="0.25">
      <c r="A69" s="1">
        <v>44120</v>
      </c>
      <c r="B69">
        <v>16898.7705863722</v>
      </c>
      <c r="C69">
        <v>12601.334288178899</v>
      </c>
      <c r="D69">
        <v>14203.4314556875</v>
      </c>
      <c r="E69">
        <v>17205.539747076102</v>
      </c>
      <c r="F69">
        <v>19309.819296463302</v>
      </c>
      <c r="G69">
        <v>18998.030360110399</v>
      </c>
      <c r="H69">
        <v>29406.524906534101</v>
      </c>
      <c r="I69">
        <v>21872.394150296499</v>
      </c>
      <c r="J69">
        <v>3006.9440234111698</v>
      </c>
      <c r="K69">
        <v>3284.19622641571</v>
      </c>
      <c r="L69">
        <v>1286.17083109494</v>
      </c>
      <c r="M69">
        <v>17045.9887985641</v>
      </c>
      <c r="N69">
        <v>6342.5340602345996</v>
      </c>
      <c r="O69">
        <v>1346.9754353451201</v>
      </c>
      <c r="P69">
        <v>3873.8808505370798</v>
      </c>
      <c r="Q69">
        <v>14936.6723150177</v>
      </c>
      <c r="R69">
        <v>1574.8207533750799</v>
      </c>
      <c r="S69">
        <v>235.105640619041</v>
      </c>
      <c r="T69">
        <v>503.95728151060399</v>
      </c>
      <c r="U69">
        <v>111.663704730066</v>
      </c>
      <c r="V69">
        <v>507.05864057919899</v>
      </c>
      <c r="W69">
        <v>110.081655441796</v>
      </c>
      <c r="X69">
        <v>206.46353278548</v>
      </c>
      <c r="Y69">
        <v>1036.3924271399001</v>
      </c>
      <c r="Z69">
        <v>121.022304674141</v>
      </c>
      <c r="AA69">
        <v>639.92353973918898</v>
      </c>
      <c r="AB69">
        <v>1148.83587556506</v>
      </c>
      <c r="AC69">
        <v>581.99348517773001</v>
      </c>
      <c r="AD69">
        <v>1000.88488304825</v>
      </c>
      <c r="AE69">
        <v>397.40867733190697</v>
      </c>
      <c r="AF69">
        <v>579.68776947247204</v>
      </c>
      <c r="AG69">
        <v>710.79134617541604</v>
      </c>
    </row>
    <row r="70" spans="1:33" x14ac:dyDescent="0.25">
      <c r="A70" s="1">
        <v>44121</v>
      </c>
      <c r="B70">
        <v>16535.474284109801</v>
      </c>
      <c r="C70">
        <v>13323.902753541</v>
      </c>
      <c r="D70">
        <v>14086.8886187149</v>
      </c>
      <c r="E70">
        <v>16963.427056333399</v>
      </c>
      <c r="F70">
        <v>19975.403080449199</v>
      </c>
      <c r="G70">
        <v>19972.679956559601</v>
      </c>
      <c r="H70">
        <v>30267.425952823301</v>
      </c>
      <c r="I70">
        <v>22106.140523903901</v>
      </c>
      <c r="J70">
        <v>3078.0293519980501</v>
      </c>
      <c r="K70">
        <v>3538.6957351195201</v>
      </c>
      <c r="L70">
        <v>1393.01890805108</v>
      </c>
      <c r="M70">
        <v>18004.243400822299</v>
      </c>
      <c r="N70">
        <v>7241.9799365245399</v>
      </c>
      <c r="O70">
        <v>1475.11484454737</v>
      </c>
      <c r="P70">
        <v>4202.4025490860704</v>
      </c>
      <c r="Q70">
        <v>15980.836557734599</v>
      </c>
      <c r="R70">
        <v>1704.96289870844</v>
      </c>
      <c r="S70">
        <v>234.190569219303</v>
      </c>
      <c r="T70">
        <v>654.68669950888705</v>
      </c>
      <c r="U70">
        <v>110.87576564763199</v>
      </c>
      <c r="V70">
        <v>713.91717579576198</v>
      </c>
      <c r="W70">
        <v>112.883403898325</v>
      </c>
      <c r="X70">
        <v>327.38499416321599</v>
      </c>
      <c r="Y70">
        <v>1034.6124136686699</v>
      </c>
      <c r="Z70">
        <v>120.88918158750199</v>
      </c>
      <c r="AA70">
        <v>645.74024798580797</v>
      </c>
      <c r="AB70">
        <v>1174.2486023848101</v>
      </c>
      <c r="AC70">
        <v>575.16480284991098</v>
      </c>
      <c r="AD70">
        <v>1091.6946663722499</v>
      </c>
      <c r="AE70">
        <v>341.139695910689</v>
      </c>
      <c r="AF70">
        <v>581.79465637172802</v>
      </c>
      <c r="AG70">
        <v>712.50256537210305</v>
      </c>
    </row>
    <row r="71" spans="1:33" x14ac:dyDescent="0.25">
      <c r="A71" s="1">
        <v>44122</v>
      </c>
      <c r="B71">
        <v>16336.915135279</v>
      </c>
      <c r="C71">
        <v>14225.6977931928</v>
      </c>
      <c r="D71">
        <v>13962.4199101498</v>
      </c>
      <c r="E71">
        <v>16769.024963433199</v>
      </c>
      <c r="F71">
        <v>20540.234290832799</v>
      </c>
      <c r="G71">
        <v>20401.433844209401</v>
      </c>
      <c r="H71">
        <v>30831.942650057401</v>
      </c>
      <c r="I71">
        <v>22517.393914890901</v>
      </c>
      <c r="J71">
        <v>3154.1866423300798</v>
      </c>
      <c r="K71">
        <v>3697.61987101674</v>
      </c>
      <c r="L71">
        <v>1461.78867991525</v>
      </c>
      <c r="M71">
        <v>18540.022052011798</v>
      </c>
      <c r="N71">
        <v>7850.1806964176003</v>
      </c>
      <c r="O71">
        <v>1465.98798651725</v>
      </c>
      <c r="P71">
        <v>4375.8789823554898</v>
      </c>
      <c r="Q71">
        <v>16526.7082848352</v>
      </c>
      <c r="R71">
        <v>1756.24619373981</v>
      </c>
      <c r="S71">
        <v>233.875753669544</v>
      </c>
      <c r="T71">
        <v>846.37024680686295</v>
      </c>
      <c r="U71">
        <v>113.04730129804599</v>
      </c>
      <c r="V71">
        <v>951.32970229725697</v>
      </c>
      <c r="W71">
        <v>114.37847373643</v>
      </c>
      <c r="X71">
        <v>473.04743416184499</v>
      </c>
      <c r="Y71">
        <v>993.98302320296</v>
      </c>
      <c r="Z71">
        <v>120.503886978145</v>
      </c>
      <c r="AA71">
        <v>655.83435105396597</v>
      </c>
      <c r="AB71">
        <v>1178.7554623005201</v>
      </c>
      <c r="AC71">
        <v>544.30505488936899</v>
      </c>
      <c r="AD71">
        <v>1138.96785122245</v>
      </c>
      <c r="AE71">
        <v>267.51423293808</v>
      </c>
      <c r="AF71">
        <v>584.98502763400597</v>
      </c>
      <c r="AG71">
        <v>715.94335281835197</v>
      </c>
    </row>
    <row r="72" spans="1:33" x14ac:dyDescent="0.25">
      <c r="A72" s="1">
        <v>44123</v>
      </c>
      <c r="B72">
        <v>16276.2406451844</v>
      </c>
      <c r="C72">
        <v>14866.0208121493</v>
      </c>
      <c r="D72">
        <v>13955.101212942</v>
      </c>
      <c r="E72">
        <v>16698.489481585799</v>
      </c>
      <c r="F72">
        <v>20782.5758961354</v>
      </c>
      <c r="G72">
        <v>20366.886160054</v>
      </c>
      <c r="H72">
        <v>30872.176978620599</v>
      </c>
      <c r="I72">
        <v>22916.015555908099</v>
      </c>
      <c r="J72">
        <v>3210.7467978448199</v>
      </c>
      <c r="K72">
        <v>3752.2620009552902</v>
      </c>
      <c r="L72">
        <v>1462.6244564630799</v>
      </c>
      <c r="M72">
        <v>18539.805295719201</v>
      </c>
      <c r="N72">
        <v>7945.7778818057704</v>
      </c>
      <c r="O72">
        <v>1405.6957474390799</v>
      </c>
      <c r="P72">
        <v>4414.57553736922</v>
      </c>
      <c r="Q72">
        <v>16638.6566955124</v>
      </c>
      <c r="R72">
        <v>1740.1795242747201</v>
      </c>
      <c r="S72">
        <v>234.45425882884101</v>
      </c>
      <c r="T72">
        <v>955.53745677904203</v>
      </c>
      <c r="U72">
        <v>115.347158846887</v>
      </c>
      <c r="V72">
        <v>997.72971146370298</v>
      </c>
      <c r="W72">
        <v>112.500323647819</v>
      </c>
      <c r="X72">
        <v>497.91483360032299</v>
      </c>
      <c r="Y72">
        <v>930.34671121556698</v>
      </c>
      <c r="Z72">
        <v>121.35435000103</v>
      </c>
      <c r="AA72">
        <v>665.14773594487099</v>
      </c>
      <c r="AB72">
        <v>1155.9660788094</v>
      </c>
      <c r="AC72">
        <v>540.30199995295004</v>
      </c>
      <c r="AD72">
        <v>1137.22838408295</v>
      </c>
      <c r="AE72">
        <v>209.94624192822499</v>
      </c>
      <c r="AF72">
        <v>586.13241168061495</v>
      </c>
      <c r="AG72">
        <v>725.19683697579705</v>
      </c>
    </row>
    <row r="73" spans="1:33" x14ac:dyDescent="0.25">
      <c r="A73" s="1">
        <v>44124</v>
      </c>
      <c r="B73">
        <v>16205.686151719599</v>
      </c>
      <c r="C73">
        <v>15149.4355364769</v>
      </c>
      <c r="D73">
        <v>14114.061259964599</v>
      </c>
      <c r="E73">
        <v>16707.7619197852</v>
      </c>
      <c r="F73">
        <v>20865.146589266002</v>
      </c>
      <c r="G73">
        <v>20294.4675086233</v>
      </c>
      <c r="H73">
        <v>31035.829863198</v>
      </c>
      <c r="I73">
        <v>23176.602310693001</v>
      </c>
      <c r="J73">
        <v>3241.6201647369899</v>
      </c>
      <c r="K73">
        <v>3795.2333699462702</v>
      </c>
      <c r="L73">
        <v>1449.6427563392101</v>
      </c>
      <c r="M73">
        <v>18475.182881602701</v>
      </c>
      <c r="N73">
        <v>8073.2450245234604</v>
      </c>
      <c r="O73">
        <v>1361.40613736967</v>
      </c>
      <c r="P73">
        <v>4456.0064832948001</v>
      </c>
      <c r="Q73">
        <v>16629.625527645901</v>
      </c>
      <c r="R73">
        <v>1717.68245605691</v>
      </c>
      <c r="S73">
        <v>236.08696349523399</v>
      </c>
      <c r="T73">
        <v>1040.8136162877199</v>
      </c>
      <c r="U73">
        <v>112.01117248567201</v>
      </c>
      <c r="V73">
        <v>1043.7588989990099</v>
      </c>
      <c r="W73">
        <v>111.44733839465501</v>
      </c>
      <c r="X73">
        <v>522.54355975615499</v>
      </c>
      <c r="Y73">
        <v>910.86241764348097</v>
      </c>
      <c r="Z73">
        <v>123.409875662883</v>
      </c>
      <c r="AA73">
        <v>668.52729327115503</v>
      </c>
      <c r="AB73">
        <v>1127.0140506945199</v>
      </c>
      <c r="AC73">
        <v>469.41318108327403</v>
      </c>
      <c r="AD73">
        <v>1124.12454796212</v>
      </c>
      <c r="AE73">
        <v>201.056348116279</v>
      </c>
      <c r="AF73">
        <v>582.90117778788101</v>
      </c>
      <c r="AG73">
        <v>737.18440403213003</v>
      </c>
    </row>
    <row r="74" spans="1:33" x14ac:dyDescent="0.25">
      <c r="A74" s="1">
        <v>44125</v>
      </c>
      <c r="B74">
        <v>16199.8562967662</v>
      </c>
      <c r="C74">
        <v>15538.4903184332</v>
      </c>
      <c r="D74">
        <v>14381.1112954194</v>
      </c>
      <c r="E74">
        <v>16875.205459229499</v>
      </c>
      <c r="F74">
        <v>20913.366127749799</v>
      </c>
      <c r="G74">
        <v>20470.831917308798</v>
      </c>
      <c r="H74">
        <v>31287.822307968701</v>
      </c>
      <c r="I74">
        <v>23360.572646078399</v>
      </c>
      <c r="J74">
        <v>3274.0471832449498</v>
      </c>
      <c r="K74">
        <v>3917.0954377320299</v>
      </c>
      <c r="L74">
        <v>1445.2360062022401</v>
      </c>
      <c r="M74">
        <v>18692.227138450799</v>
      </c>
      <c r="N74">
        <v>8338.9547488948501</v>
      </c>
      <c r="O74">
        <v>1376.18983633895</v>
      </c>
      <c r="P74">
        <v>4619.9373958071201</v>
      </c>
      <c r="Q74">
        <v>16808.579673684999</v>
      </c>
      <c r="R74">
        <v>1744.76556637269</v>
      </c>
      <c r="S74">
        <v>239.191373946803</v>
      </c>
      <c r="T74">
        <v>1077.7792098939999</v>
      </c>
      <c r="U74">
        <v>110.578263418999</v>
      </c>
      <c r="V74">
        <v>929.68728159795501</v>
      </c>
      <c r="W74">
        <v>115.325216049847</v>
      </c>
      <c r="X74">
        <v>353.64609893583003</v>
      </c>
      <c r="Y74">
        <v>920.84929678580704</v>
      </c>
      <c r="Z74">
        <v>124.779915014636</v>
      </c>
      <c r="AA74">
        <v>670.81945637967101</v>
      </c>
      <c r="AB74">
        <v>1120.30431612796</v>
      </c>
      <c r="AC74">
        <v>415.656093857992</v>
      </c>
      <c r="AD74">
        <v>1135.8141746431099</v>
      </c>
      <c r="AE74">
        <v>234.61668969506201</v>
      </c>
      <c r="AF74">
        <v>574.03829685157905</v>
      </c>
      <c r="AG74">
        <v>747.03929706716804</v>
      </c>
    </row>
    <row r="75" spans="1:33" x14ac:dyDescent="0.25">
      <c r="A75" s="1">
        <v>44126</v>
      </c>
      <c r="B75">
        <v>16269.604036524401</v>
      </c>
      <c r="C75">
        <v>16130.8148198654</v>
      </c>
      <c r="D75">
        <v>14632.1207379896</v>
      </c>
      <c r="E75">
        <v>16967.984820460901</v>
      </c>
      <c r="F75">
        <v>20963.433845036601</v>
      </c>
      <c r="G75">
        <v>20481.772541574599</v>
      </c>
      <c r="H75">
        <v>31402.028554855799</v>
      </c>
      <c r="I75">
        <v>23479.032573525401</v>
      </c>
      <c r="J75">
        <v>3290.1231634819501</v>
      </c>
      <c r="K75">
        <v>3999.02085776084</v>
      </c>
      <c r="L75">
        <v>1470.9056499020801</v>
      </c>
      <c r="M75">
        <v>18717.728039819402</v>
      </c>
      <c r="N75">
        <v>8221.5024458059597</v>
      </c>
      <c r="O75">
        <v>1489.8786814299699</v>
      </c>
      <c r="P75">
        <v>4732.7204815675796</v>
      </c>
      <c r="Q75">
        <v>16728.3255046964</v>
      </c>
      <c r="R75">
        <v>1817.95072587706</v>
      </c>
      <c r="S75">
        <v>243.72667204870899</v>
      </c>
      <c r="T75">
        <v>968.04695773188598</v>
      </c>
      <c r="U75">
        <v>110.73662133681199</v>
      </c>
      <c r="V75">
        <v>767.98330812974405</v>
      </c>
      <c r="W75">
        <v>111.044908853629</v>
      </c>
      <c r="X75">
        <v>223.58246801147101</v>
      </c>
      <c r="Y75">
        <v>954.10988809767798</v>
      </c>
      <c r="Z75">
        <v>125.56142070662</v>
      </c>
      <c r="AA75">
        <v>675.00632512483901</v>
      </c>
      <c r="AB75">
        <v>1133.10782752405</v>
      </c>
      <c r="AC75">
        <v>380.88621005195699</v>
      </c>
      <c r="AD75">
        <v>1161.54690739529</v>
      </c>
      <c r="AE75">
        <v>289.79985852930798</v>
      </c>
      <c r="AF75">
        <v>564.68589121435105</v>
      </c>
      <c r="AG75">
        <v>752.53503396534404</v>
      </c>
    </row>
    <row r="76" spans="1:33" x14ac:dyDescent="0.25">
      <c r="A76" s="1">
        <v>44127</v>
      </c>
      <c r="B76">
        <v>16381.316817536401</v>
      </c>
      <c r="C76">
        <v>16175.865931131901</v>
      </c>
      <c r="D76">
        <v>14841.7783915564</v>
      </c>
      <c r="E76">
        <v>16939.0620466646</v>
      </c>
      <c r="F76">
        <v>20934.269718673699</v>
      </c>
      <c r="G76">
        <v>20380.3754334201</v>
      </c>
      <c r="H76">
        <v>31584.671605833701</v>
      </c>
      <c r="I76">
        <v>23527.292830881601</v>
      </c>
      <c r="J76">
        <v>3300.0189141886699</v>
      </c>
      <c r="K76">
        <v>3983.0440751828401</v>
      </c>
      <c r="L76">
        <v>1493.3059584441301</v>
      </c>
      <c r="M76">
        <v>18663.625819134599</v>
      </c>
      <c r="N76">
        <v>7915.0038057724296</v>
      </c>
      <c r="O76">
        <v>1538.5411284249999</v>
      </c>
      <c r="P76">
        <v>4666.1419068660698</v>
      </c>
      <c r="Q76">
        <v>16581.703816595</v>
      </c>
      <c r="R76">
        <v>1889.10902693036</v>
      </c>
      <c r="S76">
        <v>247.04486146226299</v>
      </c>
      <c r="T76">
        <v>844.07517913696097</v>
      </c>
      <c r="U76">
        <v>111.06660516753</v>
      </c>
      <c r="V76">
        <v>620.97854156013295</v>
      </c>
      <c r="W76">
        <v>111.703430352672</v>
      </c>
      <c r="X76">
        <v>174.81828083614101</v>
      </c>
      <c r="Y76">
        <v>959.85698917037598</v>
      </c>
      <c r="Z76">
        <v>126.145328792507</v>
      </c>
      <c r="AA76">
        <v>678.63938460811698</v>
      </c>
      <c r="AB76">
        <v>1144.94474823922</v>
      </c>
      <c r="AC76">
        <v>372.53402314816202</v>
      </c>
      <c r="AD76">
        <v>1184.2675550019801</v>
      </c>
      <c r="AE76">
        <v>330.80581912579402</v>
      </c>
      <c r="AF76">
        <v>550.822898639703</v>
      </c>
      <c r="AG76">
        <v>756.94818264319497</v>
      </c>
    </row>
    <row r="77" spans="1:33" x14ac:dyDescent="0.25">
      <c r="A77" s="1">
        <v>44128</v>
      </c>
      <c r="B77">
        <v>16486.226428481601</v>
      </c>
      <c r="C77">
        <v>16458.195369954799</v>
      </c>
      <c r="D77">
        <v>15130.5574309858</v>
      </c>
      <c r="E77">
        <v>16952.784877465299</v>
      </c>
      <c r="F77">
        <v>20785.4157199234</v>
      </c>
      <c r="G77">
        <v>20102.457898808101</v>
      </c>
      <c r="H77">
        <v>31214.419223191198</v>
      </c>
      <c r="I77">
        <v>23541.559273428498</v>
      </c>
      <c r="J77">
        <v>3292.4448062619599</v>
      </c>
      <c r="K77">
        <v>3869.15198632908</v>
      </c>
      <c r="L77">
        <v>1520.31475233425</v>
      </c>
      <c r="M77">
        <v>18271.313007152901</v>
      </c>
      <c r="N77">
        <v>7446.4664959101901</v>
      </c>
      <c r="O77">
        <v>1519.7145201445201</v>
      </c>
      <c r="P77">
        <v>4496.4960049535903</v>
      </c>
      <c r="Q77">
        <v>16274.3284596087</v>
      </c>
      <c r="R77">
        <v>1855.4331987968401</v>
      </c>
      <c r="S77">
        <v>252.19234310115701</v>
      </c>
      <c r="T77">
        <v>740.87325254680695</v>
      </c>
      <c r="U77">
        <v>112.03280221343201</v>
      </c>
      <c r="V77">
        <v>617.56509586456298</v>
      </c>
      <c r="W77">
        <v>109.869575467476</v>
      </c>
      <c r="X77">
        <v>248.435720461448</v>
      </c>
      <c r="Y77">
        <v>925.92420999116098</v>
      </c>
      <c r="Z77">
        <v>125.707810472411</v>
      </c>
      <c r="AA77">
        <v>686.99772732928602</v>
      </c>
      <c r="AB77">
        <v>1153.6317897895501</v>
      </c>
      <c r="AC77">
        <v>402.23368229819198</v>
      </c>
      <c r="AD77">
        <v>1187.8906475000899</v>
      </c>
      <c r="AE77">
        <v>307.19138475316402</v>
      </c>
      <c r="AF77">
        <v>534.89225724826201</v>
      </c>
      <c r="AG77">
        <v>756.23434881616004</v>
      </c>
    </row>
    <row r="78" spans="1:33" x14ac:dyDescent="0.25">
      <c r="A78" s="1">
        <v>44129</v>
      </c>
      <c r="B78">
        <v>16640.295373254601</v>
      </c>
      <c r="C78">
        <v>16302.593555674401</v>
      </c>
      <c r="D78">
        <v>15405.4884749181</v>
      </c>
      <c r="E78">
        <v>16824.779412138399</v>
      </c>
      <c r="F78">
        <v>20661.684931661701</v>
      </c>
      <c r="G78">
        <v>19705.121540807198</v>
      </c>
      <c r="H78">
        <v>30101.097139767699</v>
      </c>
      <c r="I78">
        <v>23572.055973034701</v>
      </c>
      <c r="J78">
        <v>3280.9874426236902</v>
      </c>
      <c r="K78">
        <v>3667.6524475032202</v>
      </c>
      <c r="L78">
        <v>1500.24147744641</v>
      </c>
      <c r="M78">
        <v>17643.167875036699</v>
      </c>
      <c r="N78">
        <v>6508.1673941546096</v>
      </c>
      <c r="O78">
        <v>1431.91046400199</v>
      </c>
      <c r="P78">
        <v>4249.2613703732904</v>
      </c>
      <c r="Q78">
        <v>15811.5891602228</v>
      </c>
      <c r="R78">
        <v>1773.9540879812901</v>
      </c>
      <c r="S78">
        <v>258.74055519186498</v>
      </c>
      <c r="T78">
        <v>626.25208964420096</v>
      </c>
      <c r="U78">
        <v>111.365495419174</v>
      </c>
      <c r="V78">
        <v>525.25996191805098</v>
      </c>
      <c r="W78">
        <v>117.92121549813101</v>
      </c>
      <c r="X78">
        <v>232.373719356999</v>
      </c>
      <c r="Y78">
        <v>804.35610496423203</v>
      </c>
      <c r="Z78">
        <v>124.961763789485</v>
      </c>
      <c r="AA78">
        <v>703.80226818794404</v>
      </c>
      <c r="AB78">
        <v>1119.3323624894599</v>
      </c>
      <c r="AC78">
        <v>423.04671030779798</v>
      </c>
      <c r="AD78">
        <v>1156.7200337920899</v>
      </c>
      <c r="AE78">
        <v>226.645328774219</v>
      </c>
      <c r="AF78">
        <v>508.79627469439998</v>
      </c>
      <c r="AG78">
        <v>753.02845939251699</v>
      </c>
    </row>
    <row r="79" spans="1:33" x14ac:dyDescent="0.25">
      <c r="A79" s="1">
        <v>44130</v>
      </c>
      <c r="B79">
        <v>16599.2474000371</v>
      </c>
      <c r="C79">
        <v>15503.264273213401</v>
      </c>
      <c r="D79">
        <v>15700.835103109701</v>
      </c>
      <c r="E79">
        <v>16660.974730932001</v>
      </c>
      <c r="F79">
        <v>19794.017682001398</v>
      </c>
      <c r="G79">
        <v>18195.2922135927</v>
      </c>
      <c r="H79">
        <v>28630.097932004101</v>
      </c>
      <c r="I79">
        <v>23556.8510431459</v>
      </c>
      <c r="J79">
        <v>3195.5584054113101</v>
      </c>
      <c r="K79">
        <v>3283.3764397985501</v>
      </c>
      <c r="L79">
        <v>1331.1530551737501</v>
      </c>
      <c r="M79">
        <v>15715.393943462101</v>
      </c>
      <c r="N79">
        <v>4880.5160082887696</v>
      </c>
      <c r="O79">
        <v>1194.3822061696001</v>
      </c>
      <c r="P79">
        <v>3704.87548863557</v>
      </c>
      <c r="Q79">
        <v>13639.973731484701</v>
      </c>
      <c r="R79">
        <v>1533.4864394927899</v>
      </c>
      <c r="S79">
        <v>272.74612378361098</v>
      </c>
      <c r="T79">
        <v>480.67029182938501</v>
      </c>
      <c r="U79">
        <v>117.416109648172</v>
      </c>
      <c r="V79">
        <v>355.31105782293702</v>
      </c>
      <c r="W79">
        <v>112.334131661835</v>
      </c>
      <c r="X79">
        <v>176.48923002459199</v>
      </c>
      <c r="Y79">
        <v>639.06231644822196</v>
      </c>
      <c r="Z79">
        <v>124.98904967597301</v>
      </c>
      <c r="AA79">
        <v>731.86159093715901</v>
      </c>
      <c r="AB79">
        <v>949.00489774977802</v>
      </c>
      <c r="AC79">
        <v>417.59604200607703</v>
      </c>
      <c r="AD79">
        <v>1051.30750233867</v>
      </c>
      <c r="AE79">
        <v>239.752854322183</v>
      </c>
      <c r="AF79">
        <v>450.08500223039698</v>
      </c>
      <c r="AG79">
        <v>748.599768892008</v>
      </c>
    </row>
    <row r="80" spans="1:33" x14ac:dyDescent="0.25">
      <c r="A80" s="1">
        <v>44131</v>
      </c>
      <c r="B80">
        <v>16741.443471369901</v>
      </c>
      <c r="C80">
        <v>13745.315562868</v>
      </c>
      <c r="D80">
        <v>15833.909312179299</v>
      </c>
      <c r="E80">
        <v>17115.337813620699</v>
      </c>
      <c r="F80">
        <v>19300.143288074101</v>
      </c>
      <c r="G80">
        <v>18295.5183728554</v>
      </c>
      <c r="H80">
        <v>29243.922204209</v>
      </c>
      <c r="I80">
        <v>23218.9541896915</v>
      </c>
      <c r="J80">
        <v>3197.4689855233401</v>
      </c>
      <c r="K80">
        <v>3180.56758136076</v>
      </c>
      <c r="L80">
        <v>1275.11213098135</v>
      </c>
      <c r="M80">
        <v>16361.1004291685</v>
      </c>
      <c r="N80">
        <v>5917.5475991869498</v>
      </c>
      <c r="O80">
        <v>1139.69345006963</v>
      </c>
      <c r="P80">
        <v>3682.7936930457199</v>
      </c>
      <c r="Q80">
        <v>14360.665927996</v>
      </c>
      <c r="R80">
        <v>1463.67870068466</v>
      </c>
      <c r="S80">
        <v>272.18721378715099</v>
      </c>
      <c r="T80">
        <v>545.66349302235903</v>
      </c>
      <c r="U80">
        <v>112.055096107408</v>
      </c>
      <c r="V80">
        <v>520.75687328607205</v>
      </c>
      <c r="W80">
        <v>110.08917138470601</v>
      </c>
      <c r="X80">
        <v>255.347212739745</v>
      </c>
      <c r="Y80">
        <v>746.82092935818798</v>
      </c>
      <c r="Z80">
        <v>126.768981055198</v>
      </c>
      <c r="AA80">
        <v>726.16999248376999</v>
      </c>
      <c r="AB80">
        <v>1048.7043947376801</v>
      </c>
      <c r="AC80">
        <v>409.24279707670502</v>
      </c>
      <c r="AD80">
        <v>1011.6439816818601</v>
      </c>
      <c r="AE80">
        <v>281.40574284849401</v>
      </c>
      <c r="AF80">
        <v>434.18333263006002</v>
      </c>
      <c r="AG80">
        <v>757.33449824625404</v>
      </c>
    </row>
    <row r="81" spans="1:33" x14ac:dyDescent="0.25">
      <c r="A81" s="1">
        <v>44132</v>
      </c>
      <c r="B81">
        <v>17140.591976955398</v>
      </c>
      <c r="C81">
        <v>13418.0274068484</v>
      </c>
      <c r="D81">
        <v>15728.329871706899</v>
      </c>
      <c r="E81">
        <v>17287.724507520699</v>
      </c>
      <c r="F81">
        <v>19383.850914421801</v>
      </c>
      <c r="G81">
        <v>18638.5498191347</v>
      </c>
      <c r="H81">
        <v>29748.741697151301</v>
      </c>
      <c r="I81">
        <v>22921.573353341799</v>
      </c>
      <c r="J81">
        <v>3189.5453673090601</v>
      </c>
      <c r="K81">
        <v>3149.1774136632998</v>
      </c>
      <c r="L81">
        <v>1274.21172917541</v>
      </c>
      <c r="M81">
        <v>16597.511523685</v>
      </c>
      <c r="N81">
        <v>6159.82761753873</v>
      </c>
      <c r="O81">
        <v>1109.33301680005</v>
      </c>
      <c r="P81">
        <v>3647.78326359941</v>
      </c>
      <c r="Q81">
        <v>14689.6847662574</v>
      </c>
      <c r="R81">
        <v>1439.7542856668899</v>
      </c>
      <c r="S81">
        <v>278.99274783481201</v>
      </c>
      <c r="T81">
        <v>569.81620508075696</v>
      </c>
      <c r="U81">
        <v>110.225015210004</v>
      </c>
      <c r="V81">
        <v>598.54961207717395</v>
      </c>
      <c r="W81">
        <v>110.39166330006</v>
      </c>
      <c r="X81">
        <v>298.93274337493699</v>
      </c>
      <c r="Y81">
        <v>840.05798788367099</v>
      </c>
      <c r="Z81">
        <v>128.64023144767299</v>
      </c>
      <c r="AA81">
        <v>731.07257135259704</v>
      </c>
      <c r="AB81">
        <v>1163.9009715602299</v>
      </c>
      <c r="AC81">
        <v>394.393434717052</v>
      </c>
      <c r="AD81">
        <v>995.02852453512901</v>
      </c>
      <c r="AE81">
        <v>337.29966752375401</v>
      </c>
      <c r="AF81">
        <v>436.48862580702001</v>
      </c>
      <c r="AG81">
        <v>786.06749527496197</v>
      </c>
    </row>
    <row r="82" spans="1:33" x14ac:dyDescent="0.25">
      <c r="A82" s="1">
        <v>44133</v>
      </c>
      <c r="B82">
        <v>17265.3372734777</v>
      </c>
      <c r="C82">
        <v>13518.415068899099</v>
      </c>
      <c r="D82">
        <v>15282.911051678</v>
      </c>
      <c r="E82">
        <v>17350.300649755201</v>
      </c>
      <c r="F82">
        <v>19551.177742667202</v>
      </c>
      <c r="G82">
        <v>18855.383793331799</v>
      </c>
      <c r="H82">
        <v>30004.404701062202</v>
      </c>
      <c r="I82">
        <v>22851.3912784354</v>
      </c>
      <c r="J82">
        <v>3191.0014622755298</v>
      </c>
      <c r="K82">
        <v>3160.40006265384</v>
      </c>
      <c r="L82">
        <v>1273.9902797177299</v>
      </c>
      <c r="M82">
        <v>16843.781460229799</v>
      </c>
      <c r="N82">
        <v>6179.8609805504502</v>
      </c>
      <c r="O82">
        <v>1176.78541188739</v>
      </c>
      <c r="P82">
        <v>3651.2280274780601</v>
      </c>
      <c r="Q82">
        <v>14854.657097187801</v>
      </c>
      <c r="R82">
        <v>1458.9301511073099</v>
      </c>
      <c r="S82">
        <v>285.11146415329301</v>
      </c>
      <c r="T82">
        <v>566.44166703751102</v>
      </c>
      <c r="U82">
        <v>109.865024628662</v>
      </c>
      <c r="V82">
        <v>482.95990704157299</v>
      </c>
      <c r="W82">
        <v>115.703655105035</v>
      </c>
      <c r="X82">
        <v>194.15622116892499</v>
      </c>
      <c r="Y82">
        <v>886.69546495291002</v>
      </c>
      <c r="Z82">
        <v>129.30115370136701</v>
      </c>
      <c r="AA82">
        <v>749.53836139330997</v>
      </c>
      <c r="AB82">
        <v>1202.86502711105</v>
      </c>
      <c r="AC82">
        <v>404.61681792151501</v>
      </c>
      <c r="AD82">
        <v>990.02267948055305</v>
      </c>
      <c r="AE82">
        <v>357.30589580079197</v>
      </c>
      <c r="AF82">
        <v>437.62349009865801</v>
      </c>
      <c r="AG82">
        <v>787.76118820524596</v>
      </c>
    </row>
    <row r="83" spans="1:33" x14ac:dyDescent="0.25">
      <c r="A83" s="1">
        <v>44134</v>
      </c>
      <c r="B83">
        <v>17260.4881898151</v>
      </c>
      <c r="C83">
        <v>13558.4019988701</v>
      </c>
      <c r="D83">
        <v>14856.254678073399</v>
      </c>
      <c r="E83">
        <v>17336.3109088253</v>
      </c>
      <c r="F83">
        <v>19576.9151860575</v>
      </c>
      <c r="G83">
        <v>18878.646812786599</v>
      </c>
      <c r="H83">
        <v>30108.243949358101</v>
      </c>
      <c r="I83">
        <v>22846.3704674037</v>
      </c>
      <c r="J83">
        <v>3196.79330711796</v>
      </c>
      <c r="K83">
        <v>3171.65284092705</v>
      </c>
      <c r="L83">
        <v>1282.8144564361201</v>
      </c>
      <c r="M83">
        <v>16901.717231721399</v>
      </c>
      <c r="N83">
        <v>6070.0686699722</v>
      </c>
      <c r="O83">
        <v>1235.0118659561499</v>
      </c>
      <c r="P83">
        <v>3652.1072383497199</v>
      </c>
      <c r="Q83">
        <v>14849.532264993901</v>
      </c>
      <c r="R83">
        <v>1494.87712648568</v>
      </c>
      <c r="S83">
        <v>290.21519008072198</v>
      </c>
      <c r="T83">
        <v>534.06391558397604</v>
      </c>
      <c r="U83">
        <v>109.91462755094</v>
      </c>
      <c r="V83">
        <v>433.44820895858402</v>
      </c>
      <c r="W83">
        <v>121.86538765201701</v>
      </c>
      <c r="X83">
        <v>173.72106409819901</v>
      </c>
      <c r="Y83">
        <v>856.48518009152201</v>
      </c>
      <c r="Z83">
        <v>129.12216345678999</v>
      </c>
      <c r="AA83">
        <v>758.94064742756598</v>
      </c>
      <c r="AB83">
        <v>1190.1111343499599</v>
      </c>
      <c r="AC83">
        <v>426.71124386823698</v>
      </c>
      <c r="AD83">
        <v>996.05548797982306</v>
      </c>
      <c r="AE83">
        <v>311.65935175790202</v>
      </c>
      <c r="AF83">
        <v>438.07183864401298</v>
      </c>
      <c r="AG83">
        <v>778.68157623693901</v>
      </c>
    </row>
    <row r="84" spans="1:33" x14ac:dyDescent="0.25">
      <c r="A84" s="1">
        <v>44135</v>
      </c>
      <c r="B84">
        <v>17153.9190350176</v>
      </c>
      <c r="C84">
        <v>13619.1477404508</v>
      </c>
      <c r="D84">
        <v>14490.1548873395</v>
      </c>
      <c r="E84">
        <v>17191.096819546601</v>
      </c>
      <c r="F84">
        <v>19344.919564012202</v>
      </c>
      <c r="G84">
        <v>18390.500978385699</v>
      </c>
      <c r="H84">
        <v>29413.118192245201</v>
      </c>
      <c r="I84">
        <v>22826.572940146001</v>
      </c>
      <c r="J84">
        <v>3186.1344470589302</v>
      </c>
      <c r="K84">
        <v>3086.0872587328899</v>
      </c>
      <c r="L84">
        <v>1277.5603819550299</v>
      </c>
      <c r="M84">
        <v>16471.195605699198</v>
      </c>
      <c r="N84">
        <v>5649.93800999429</v>
      </c>
      <c r="O84">
        <v>1187.859696666</v>
      </c>
      <c r="P84">
        <v>3545.9798058967199</v>
      </c>
      <c r="Q84">
        <v>14397.8594785676</v>
      </c>
      <c r="R84">
        <v>1444.6692437276299</v>
      </c>
      <c r="S84">
        <v>293.21865318361102</v>
      </c>
      <c r="T84">
        <v>487.79087957380602</v>
      </c>
      <c r="U84">
        <v>115.02144354130201</v>
      </c>
      <c r="V84">
        <v>416.68571353577602</v>
      </c>
      <c r="W84">
        <v>116.339897577283</v>
      </c>
      <c r="X84">
        <v>187.221751635684</v>
      </c>
      <c r="Y84">
        <v>779.26064583535799</v>
      </c>
      <c r="Z84">
        <v>127.943598951776</v>
      </c>
      <c r="AA84">
        <v>763.89573485758604</v>
      </c>
      <c r="AB84">
        <v>1130.44798504506</v>
      </c>
      <c r="AC84">
        <v>423.85747732697399</v>
      </c>
      <c r="AD84">
        <v>993.838202432049</v>
      </c>
      <c r="AE84">
        <v>297.13388157175501</v>
      </c>
      <c r="AF84">
        <v>433.90636184735399</v>
      </c>
      <c r="AG84">
        <v>776.54889427629996</v>
      </c>
    </row>
    <row r="85" spans="1:33" x14ac:dyDescent="0.25">
      <c r="A85" s="1">
        <v>44136</v>
      </c>
      <c r="B85">
        <v>16947.850732283499</v>
      </c>
      <c r="C85">
        <v>13160.441008146499</v>
      </c>
      <c r="D85">
        <v>14268.448434538401</v>
      </c>
      <c r="E85">
        <v>16982.836124209</v>
      </c>
      <c r="F85">
        <v>18901.848496749899</v>
      </c>
      <c r="G85">
        <v>18167.9400694551</v>
      </c>
      <c r="H85">
        <v>29248.5803309332</v>
      </c>
      <c r="I85">
        <v>22703.544480848701</v>
      </c>
      <c r="J85">
        <v>3159.64125531321</v>
      </c>
      <c r="K85">
        <v>2996.4786355789902</v>
      </c>
      <c r="L85">
        <v>1239.72271585254</v>
      </c>
      <c r="M85">
        <v>16274.930914594301</v>
      </c>
      <c r="N85">
        <v>5630.54483746183</v>
      </c>
      <c r="O85">
        <v>1088.2266162584101</v>
      </c>
      <c r="P85">
        <v>3437.1887712593498</v>
      </c>
      <c r="Q85">
        <v>14201.0922630571</v>
      </c>
      <c r="R85">
        <v>1382.89753966025</v>
      </c>
      <c r="S85">
        <v>296.17903841020399</v>
      </c>
      <c r="T85">
        <v>505.155602532871</v>
      </c>
      <c r="U85">
        <v>116.761881847525</v>
      </c>
      <c r="V85">
        <v>507.81661806196502</v>
      </c>
      <c r="W85">
        <v>120.495254243362</v>
      </c>
      <c r="X85">
        <v>246.56454042464401</v>
      </c>
      <c r="Y85">
        <v>762.42047497852104</v>
      </c>
      <c r="Z85">
        <v>125.756067252363</v>
      </c>
      <c r="AA85">
        <v>764.041634029075</v>
      </c>
      <c r="AB85">
        <v>1118.1557234537099</v>
      </c>
      <c r="AC85">
        <v>417.868598029579</v>
      </c>
      <c r="AD85">
        <v>976.57736215051102</v>
      </c>
      <c r="AE85">
        <v>242.213114200549</v>
      </c>
      <c r="AF85">
        <v>428.76115530935999</v>
      </c>
      <c r="AG85">
        <v>785.27965108743501</v>
      </c>
    </row>
    <row r="86" spans="1:33" x14ac:dyDescent="0.25">
      <c r="A86" s="1">
        <v>44137</v>
      </c>
      <c r="B86">
        <v>16693.2783865128</v>
      </c>
      <c r="C86">
        <v>13113.393296187</v>
      </c>
      <c r="D86">
        <v>14150.362346632901</v>
      </c>
      <c r="E86">
        <v>16822.187468755699</v>
      </c>
      <c r="F86">
        <v>18830.644580253102</v>
      </c>
      <c r="G86">
        <v>18407.3625643302</v>
      </c>
      <c r="H86">
        <v>29616.238283976701</v>
      </c>
      <c r="I86">
        <v>22520.150616999301</v>
      </c>
      <c r="J86">
        <v>3125.9116291365899</v>
      </c>
      <c r="K86">
        <v>2988.1414727981501</v>
      </c>
      <c r="L86">
        <v>1214.7504454514101</v>
      </c>
      <c r="M86">
        <v>16518.759692830899</v>
      </c>
      <c r="N86">
        <v>6007.9197672534901</v>
      </c>
      <c r="O86">
        <v>1079.11862753986</v>
      </c>
      <c r="P86">
        <v>3463.5128126027198</v>
      </c>
      <c r="Q86">
        <v>14486.377200467001</v>
      </c>
      <c r="R86">
        <v>1363.7412149414699</v>
      </c>
      <c r="S86">
        <v>299.92957411316701</v>
      </c>
      <c r="T86">
        <v>590.20463516867903</v>
      </c>
      <c r="U86">
        <v>121.931071525592</v>
      </c>
      <c r="V86">
        <v>595.76512480694396</v>
      </c>
      <c r="W86">
        <v>118.766993838151</v>
      </c>
      <c r="X86">
        <v>268.54991577860102</v>
      </c>
      <c r="Y86">
        <v>767.37615851727605</v>
      </c>
      <c r="Z86">
        <v>124.98540245376699</v>
      </c>
      <c r="AA86">
        <v>765.77089046426897</v>
      </c>
      <c r="AB86">
        <v>1121.5012312840399</v>
      </c>
      <c r="AC86">
        <v>416.07350051287199</v>
      </c>
      <c r="AD86">
        <v>966.16789461194605</v>
      </c>
      <c r="AE86">
        <v>256.960999164935</v>
      </c>
      <c r="AF86">
        <v>435.72704698063399</v>
      </c>
      <c r="AG86">
        <v>787.90308922884003</v>
      </c>
    </row>
    <row r="87" spans="1:33" x14ac:dyDescent="0.25">
      <c r="A87" s="1">
        <v>44138</v>
      </c>
      <c r="B87">
        <v>16488.781601939201</v>
      </c>
      <c r="C87">
        <v>13672.1793487377</v>
      </c>
      <c r="D87">
        <v>14008.301192142</v>
      </c>
      <c r="E87">
        <v>16765.154996334801</v>
      </c>
      <c r="F87">
        <v>19067.5775992167</v>
      </c>
      <c r="G87">
        <v>18618.4520252402</v>
      </c>
      <c r="H87">
        <v>30192.475323801398</v>
      </c>
      <c r="I87">
        <v>22451.3123597339</v>
      </c>
      <c r="J87">
        <v>3094.1402061006002</v>
      </c>
      <c r="K87">
        <v>3038.5521356715799</v>
      </c>
      <c r="L87">
        <v>1232.3809004229799</v>
      </c>
      <c r="M87">
        <v>16880.6186655085</v>
      </c>
      <c r="N87">
        <v>6467.0902214791704</v>
      </c>
      <c r="O87">
        <v>1143.6999718684399</v>
      </c>
      <c r="P87">
        <v>3544.7126244729002</v>
      </c>
      <c r="Q87">
        <v>14833.216225761</v>
      </c>
      <c r="R87">
        <v>1410.2298258125099</v>
      </c>
      <c r="S87">
        <v>302.78556494247601</v>
      </c>
      <c r="T87">
        <v>677.80937521652095</v>
      </c>
      <c r="U87">
        <v>121.864792691421</v>
      </c>
      <c r="V87">
        <v>600.71003451103604</v>
      </c>
      <c r="W87">
        <v>119.48895112323</v>
      </c>
      <c r="X87">
        <v>231.101522936913</v>
      </c>
      <c r="Y87">
        <v>781.57360101829499</v>
      </c>
      <c r="Z87">
        <v>125.470578519499</v>
      </c>
      <c r="AA87">
        <v>767.33033054240798</v>
      </c>
      <c r="AB87">
        <v>1058.3120873672201</v>
      </c>
      <c r="AC87">
        <v>413.92873481467598</v>
      </c>
      <c r="AD87">
        <v>981.29038810553197</v>
      </c>
      <c r="AE87">
        <v>329.95317945376701</v>
      </c>
      <c r="AF87">
        <v>437.06679857980401</v>
      </c>
      <c r="AG87">
        <v>806.54829320745796</v>
      </c>
    </row>
    <row r="88" spans="1:33" x14ac:dyDescent="0.25">
      <c r="A88" s="1">
        <v>44139</v>
      </c>
      <c r="B88">
        <v>16359.9562433553</v>
      </c>
      <c r="C88">
        <v>14489.8935852578</v>
      </c>
      <c r="D88">
        <v>13769.943878357</v>
      </c>
      <c r="E88">
        <v>16602.689204927199</v>
      </c>
      <c r="F88">
        <v>18818.6317230405</v>
      </c>
      <c r="G88">
        <v>18103.334824245499</v>
      </c>
      <c r="H88">
        <v>29565.4552714479</v>
      </c>
      <c r="I88">
        <v>22427.274174252099</v>
      </c>
      <c r="J88">
        <v>3051.4612364967602</v>
      </c>
      <c r="K88">
        <v>2967.6679270710001</v>
      </c>
      <c r="L88">
        <v>1243.2759958638401</v>
      </c>
      <c r="M88">
        <v>16496.725382563502</v>
      </c>
      <c r="N88">
        <v>6095.1455501007904</v>
      </c>
      <c r="O88">
        <v>1140.2845116260401</v>
      </c>
      <c r="P88">
        <v>3469.7091734527899</v>
      </c>
      <c r="Q88">
        <v>14354.382230794799</v>
      </c>
      <c r="R88">
        <v>1391.8857915867</v>
      </c>
      <c r="S88">
        <v>303.563767029465</v>
      </c>
      <c r="T88">
        <v>600.38461753236197</v>
      </c>
      <c r="U88">
        <v>121.77198999644099</v>
      </c>
      <c r="V88">
        <v>465.747217634344</v>
      </c>
      <c r="W88">
        <v>120.745474858552</v>
      </c>
      <c r="X88">
        <v>153.30868700967801</v>
      </c>
      <c r="Y88">
        <v>799.91305227467603</v>
      </c>
      <c r="Z88">
        <v>125.756667496593</v>
      </c>
      <c r="AA88">
        <v>769.20728696709</v>
      </c>
      <c r="AB88">
        <v>1059.5988878390599</v>
      </c>
      <c r="AC88">
        <v>406.59711622505802</v>
      </c>
      <c r="AD88">
        <v>983.053698519862</v>
      </c>
      <c r="AE88">
        <v>428.06525477976197</v>
      </c>
      <c r="AF88">
        <v>434.07544633375801</v>
      </c>
      <c r="AG88">
        <v>827.60201974491895</v>
      </c>
    </row>
    <row r="89" spans="1:33" x14ac:dyDescent="0.25">
      <c r="A89" s="1">
        <v>44140</v>
      </c>
      <c r="B89">
        <v>16178.5708314207</v>
      </c>
      <c r="C89">
        <v>13886.245018744599</v>
      </c>
      <c r="D89">
        <v>13680.2201616941</v>
      </c>
      <c r="E89">
        <v>16448.907212005699</v>
      </c>
      <c r="F89">
        <v>18279.0752634167</v>
      </c>
      <c r="G89">
        <v>17773.669802908102</v>
      </c>
      <c r="H89">
        <v>29240.6661509884</v>
      </c>
      <c r="I89">
        <v>22281.039649317201</v>
      </c>
      <c r="J89">
        <v>3002.2280832865599</v>
      </c>
      <c r="K89">
        <v>2981.2877657063</v>
      </c>
      <c r="L89">
        <v>1247.3462139791</v>
      </c>
      <c r="M89">
        <v>16078.6814507075</v>
      </c>
      <c r="N89">
        <v>5776.1554823255501</v>
      </c>
      <c r="O89">
        <v>1117.6881357043301</v>
      </c>
      <c r="P89">
        <v>3479.1415267002099</v>
      </c>
      <c r="Q89">
        <v>13958.388095345001</v>
      </c>
      <c r="R89">
        <v>1392.1064334981399</v>
      </c>
      <c r="S89">
        <v>303.46210784348602</v>
      </c>
      <c r="T89">
        <v>558.48573530204703</v>
      </c>
      <c r="U89">
        <v>121.687043791327</v>
      </c>
      <c r="V89">
        <v>440.74616107426999</v>
      </c>
      <c r="W89">
        <v>121.26928199664501</v>
      </c>
      <c r="X89">
        <v>153.71946073813899</v>
      </c>
      <c r="Y89">
        <v>872.41920691428902</v>
      </c>
      <c r="Z89">
        <v>126.950899612181</v>
      </c>
      <c r="AA89">
        <v>759.36207087358798</v>
      </c>
      <c r="AB89">
        <v>1076.35540285087</v>
      </c>
      <c r="AC89">
        <v>421.38898760148402</v>
      </c>
      <c r="AD89">
        <v>993.19711097420702</v>
      </c>
      <c r="AE89">
        <v>475.06990076444498</v>
      </c>
      <c r="AF89">
        <v>432.84046873640898</v>
      </c>
      <c r="AG89">
        <v>845.23776974272096</v>
      </c>
    </row>
    <row r="90" spans="1:33" x14ac:dyDescent="0.25">
      <c r="A90" s="1">
        <v>44141</v>
      </c>
      <c r="B90">
        <v>16081.8236596037</v>
      </c>
      <c r="C90">
        <v>13494.4178464216</v>
      </c>
      <c r="D90">
        <v>13731.531448187699</v>
      </c>
      <c r="E90">
        <v>16564.301910263301</v>
      </c>
      <c r="F90">
        <v>18742.483509849499</v>
      </c>
      <c r="G90">
        <v>18517.101692418699</v>
      </c>
      <c r="H90">
        <v>31389.454680642499</v>
      </c>
      <c r="I90">
        <v>22265.092995054001</v>
      </c>
      <c r="J90">
        <v>3001.59976560619</v>
      </c>
      <c r="K90">
        <v>3222.25474935988</v>
      </c>
      <c r="L90">
        <v>1255.8098298447801</v>
      </c>
      <c r="M90">
        <v>17025.732212204701</v>
      </c>
      <c r="N90">
        <v>6538.8974771394596</v>
      </c>
      <c r="O90">
        <v>1288.79641252483</v>
      </c>
      <c r="P90">
        <v>3759.7551976169102</v>
      </c>
      <c r="Q90">
        <v>14942.576603261199</v>
      </c>
      <c r="R90">
        <v>1588.2714998982301</v>
      </c>
      <c r="S90">
        <v>306.56042744176</v>
      </c>
      <c r="T90">
        <v>704.20666016695395</v>
      </c>
      <c r="U90">
        <v>121.162954518015</v>
      </c>
      <c r="V90">
        <v>609.47959428643105</v>
      </c>
      <c r="W90">
        <v>119.23862354899801</v>
      </c>
      <c r="X90">
        <v>254.671806082801</v>
      </c>
      <c r="Y90">
        <v>963.64641604193605</v>
      </c>
      <c r="Z90">
        <v>127.825007139845</v>
      </c>
      <c r="AA90">
        <v>753.01796272517504</v>
      </c>
      <c r="AB90">
        <v>1148.7936861486</v>
      </c>
      <c r="AC90">
        <v>448.69664119886397</v>
      </c>
      <c r="AD90">
        <v>1032.6986883045099</v>
      </c>
      <c r="AE90">
        <v>527.83974133194204</v>
      </c>
      <c r="AF90">
        <v>432.73618940681803</v>
      </c>
      <c r="AG90">
        <v>860.85548688123299</v>
      </c>
    </row>
    <row r="91" spans="1:33" x14ac:dyDescent="0.25">
      <c r="A91" s="1">
        <v>44142</v>
      </c>
      <c r="B91">
        <v>16085.7035448273</v>
      </c>
      <c r="C91">
        <v>15239.954220870201</v>
      </c>
      <c r="D91">
        <v>13774.831778011499</v>
      </c>
      <c r="E91">
        <v>16253.7834237804</v>
      </c>
      <c r="F91">
        <v>18707.738931619799</v>
      </c>
      <c r="G91">
        <v>18015.7263641141</v>
      </c>
      <c r="H91">
        <v>29897.3200753975</v>
      </c>
      <c r="I91">
        <v>22232.253253998999</v>
      </c>
      <c r="J91">
        <v>2992.08167367961</v>
      </c>
      <c r="K91">
        <v>2988.0906359502801</v>
      </c>
      <c r="L91">
        <v>1254.1229980231701</v>
      </c>
      <c r="M91">
        <v>16307.011728056799</v>
      </c>
      <c r="N91">
        <v>6213.2093416632597</v>
      </c>
      <c r="O91">
        <v>1200.0233286200701</v>
      </c>
      <c r="P91">
        <v>3463.1479790602498</v>
      </c>
      <c r="Q91">
        <v>14253.581146294</v>
      </c>
      <c r="R91">
        <v>1473.3603822760499</v>
      </c>
      <c r="S91">
        <v>307.46155800375402</v>
      </c>
      <c r="T91">
        <v>565.70256968125602</v>
      </c>
      <c r="U91">
        <v>118.602099084212</v>
      </c>
      <c r="V91">
        <v>508.86362175808199</v>
      </c>
      <c r="W91">
        <v>119.242919082993</v>
      </c>
      <c r="X91">
        <v>238.03650624224599</v>
      </c>
      <c r="Y91">
        <v>919.831374281953</v>
      </c>
      <c r="Z91">
        <v>126.63191665548101</v>
      </c>
      <c r="AA91">
        <v>760.29677312689296</v>
      </c>
      <c r="AB91">
        <v>1129.61152462161</v>
      </c>
      <c r="AC91">
        <v>485.19799221263003</v>
      </c>
      <c r="AD91">
        <v>1003.72806334949</v>
      </c>
      <c r="AE91">
        <v>586.55480351444703</v>
      </c>
      <c r="AF91">
        <v>431.92499963278902</v>
      </c>
      <c r="AG91">
        <v>861.88141064211095</v>
      </c>
    </row>
    <row r="92" spans="1:33" x14ac:dyDescent="0.25">
      <c r="A92" s="1">
        <v>44143</v>
      </c>
      <c r="B92">
        <v>15984.937993740001</v>
      </c>
      <c r="C92">
        <v>14143.814440562001</v>
      </c>
      <c r="D92">
        <v>13570.347505875499</v>
      </c>
      <c r="E92">
        <v>15881.2353009659</v>
      </c>
      <c r="F92">
        <v>17953.212937707998</v>
      </c>
      <c r="G92">
        <v>16594.975459953301</v>
      </c>
      <c r="H92">
        <v>28567.6112137044</v>
      </c>
      <c r="I92">
        <v>22191.159051373099</v>
      </c>
      <c r="J92">
        <v>2950.7288593388498</v>
      </c>
      <c r="K92">
        <v>2638.1701859437198</v>
      </c>
      <c r="L92">
        <v>1191.25021375556</v>
      </c>
      <c r="M92">
        <v>14579.258610869299</v>
      </c>
      <c r="N92">
        <v>4474.6922433392801</v>
      </c>
      <c r="O92">
        <v>1056.2855002209301</v>
      </c>
      <c r="P92">
        <v>2930.3658202868701</v>
      </c>
      <c r="Q92">
        <v>12827.210901296099</v>
      </c>
      <c r="R92">
        <v>1306.0998455245999</v>
      </c>
      <c r="S92">
        <v>308.36670756177602</v>
      </c>
      <c r="T92">
        <v>385.047635821749</v>
      </c>
      <c r="U92">
        <v>121.199202548229</v>
      </c>
      <c r="V92">
        <v>303.39791806402502</v>
      </c>
      <c r="W92">
        <v>123.995096738802</v>
      </c>
      <c r="X92">
        <v>163.963927835942</v>
      </c>
      <c r="Y92">
        <v>831.27938341774995</v>
      </c>
      <c r="Z92">
        <v>126.111304387228</v>
      </c>
      <c r="AA92">
        <v>776.51719524471002</v>
      </c>
      <c r="AB92">
        <v>1063.1194240039599</v>
      </c>
      <c r="AC92">
        <v>520.56112808268006</v>
      </c>
      <c r="AD92">
        <v>934.36469868351605</v>
      </c>
      <c r="AE92">
        <v>582.35939187131896</v>
      </c>
      <c r="AF92">
        <v>430.26975821358599</v>
      </c>
      <c r="AG92">
        <v>857.14688253982604</v>
      </c>
    </row>
    <row r="93" spans="1:33" x14ac:dyDescent="0.25">
      <c r="A93" s="1">
        <v>44144</v>
      </c>
      <c r="B93">
        <v>15774.4557857696</v>
      </c>
      <c r="C93">
        <v>12864.4904636013</v>
      </c>
      <c r="D93">
        <v>13778.5342743359</v>
      </c>
      <c r="E93">
        <v>15701.31449386</v>
      </c>
      <c r="F93">
        <v>16745.918647651299</v>
      </c>
      <c r="G93">
        <v>15511.4199096304</v>
      </c>
      <c r="H93">
        <v>27229.168968378701</v>
      </c>
      <c r="I93">
        <v>21604.300712026099</v>
      </c>
      <c r="J93">
        <v>2891.10538798062</v>
      </c>
      <c r="K93">
        <v>2401.0849263349201</v>
      </c>
      <c r="L93">
        <v>1105.5998183184499</v>
      </c>
      <c r="M93">
        <v>13486.207830085699</v>
      </c>
      <c r="N93">
        <v>3660.3301183237199</v>
      </c>
      <c r="O93">
        <v>815.83087282967404</v>
      </c>
      <c r="P93">
        <v>2655.9350211363399</v>
      </c>
      <c r="Q93">
        <v>11374.156234378999</v>
      </c>
      <c r="R93">
        <v>1118.4181601017799</v>
      </c>
      <c r="S93">
        <v>307.47825041419497</v>
      </c>
      <c r="T93">
        <v>352.03308241827602</v>
      </c>
      <c r="U93">
        <v>124.205965986888</v>
      </c>
      <c r="V93">
        <v>283.683310398468</v>
      </c>
      <c r="W93">
        <v>124.540418596219</v>
      </c>
      <c r="X93">
        <v>159.175254050652</v>
      </c>
      <c r="Y93">
        <v>761.96864527550497</v>
      </c>
      <c r="Z93">
        <v>127.539105499966</v>
      </c>
      <c r="AA93">
        <v>788.99511141000096</v>
      </c>
      <c r="AB93">
        <v>1038.16301644187</v>
      </c>
      <c r="AC93">
        <v>558.69563767628597</v>
      </c>
      <c r="AD93">
        <v>883.63853631182303</v>
      </c>
      <c r="AE93">
        <v>611.38000870071596</v>
      </c>
      <c r="AF93">
        <v>428.37863805374599</v>
      </c>
      <c r="AG93">
        <v>855.98697951248096</v>
      </c>
    </row>
    <row r="94" spans="1:33" x14ac:dyDescent="0.25">
      <c r="A94" s="1">
        <v>44145</v>
      </c>
      <c r="B94">
        <v>15560.204976623199</v>
      </c>
      <c r="C94">
        <v>11301.544231858299</v>
      </c>
      <c r="D94">
        <v>13886.7177946069</v>
      </c>
      <c r="E94">
        <v>15577.968118905301</v>
      </c>
      <c r="F94">
        <v>16198.729615567099</v>
      </c>
      <c r="G94">
        <v>15220.3141419402</v>
      </c>
      <c r="H94">
        <v>27080.342198217699</v>
      </c>
      <c r="I94">
        <v>20965.576857789001</v>
      </c>
      <c r="J94">
        <v>2842.2296601804801</v>
      </c>
      <c r="K94">
        <v>2300.0204622620499</v>
      </c>
      <c r="L94">
        <v>1061.0398097544901</v>
      </c>
      <c r="M94">
        <v>13265.382943373301</v>
      </c>
      <c r="N94">
        <v>3527.6308054790102</v>
      </c>
      <c r="O94">
        <v>819.20096520725303</v>
      </c>
      <c r="P94">
        <v>2586.20866601629</v>
      </c>
      <c r="Q94">
        <v>11008.192213702499</v>
      </c>
      <c r="R94">
        <v>1057.1359538398599</v>
      </c>
      <c r="S94">
        <v>308.26907661236601</v>
      </c>
      <c r="T94">
        <v>327.78760735204202</v>
      </c>
      <c r="U94">
        <v>124.26779058751799</v>
      </c>
      <c r="V94">
        <v>265.18492350011201</v>
      </c>
      <c r="W94">
        <v>124.943470755608</v>
      </c>
      <c r="X94">
        <v>150.77408954626</v>
      </c>
      <c r="Y94">
        <v>847.19281598399198</v>
      </c>
      <c r="Z94">
        <v>128.90819540272199</v>
      </c>
      <c r="AA94">
        <v>785.69055557809304</v>
      </c>
      <c r="AB94">
        <v>1118.42000745512</v>
      </c>
      <c r="AC94">
        <v>563.27488492176894</v>
      </c>
      <c r="AD94">
        <v>856.65336116903302</v>
      </c>
      <c r="AE94">
        <v>604.37934511334004</v>
      </c>
      <c r="AF94">
        <v>434.43994153937399</v>
      </c>
      <c r="AG94">
        <v>866.79908709509505</v>
      </c>
    </row>
    <row r="95" spans="1:33" x14ac:dyDescent="0.25">
      <c r="A95" s="1">
        <v>44146</v>
      </c>
      <c r="B95">
        <v>15430.784416211</v>
      </c>
      <c r="C95">
        <v>10766.0748056919</v>
      </c>
      <c r="D95">
        <v>13605.494394777799</v>
      </c>
      <c r="E95">
        <v>15556.795748287999</v>
      </c>
      <c r="F95">
        <v>16512.871527105799</v>
      </c>
      <c r="G95">
        <v>15886.3165635082</v>
      </c>
      <c r="H95">
        <v>27410.893181737199</v>
      </c>
      <c r="I95">
        <v>20479.672174617401</v>
      </c>
      <c r="J95">
        <v>2791.4035932401398</v>
      </c>
      <c r="K95">
        <v>2350.6058524100599</v>
      </c>
      <c r="L95">
        <v>1063.53182511507</v>
      </c>
      <c r="M95">
        <v>13914.598221458</v>
      </c>
      <c r="N95">
        <v>4018.9419197735601</v>
      </c>
      <c r="O95">
        <v>939.61483295011203</v>
      </c>
      <c r="P95">
        <v>2713.1361820393299</v>
      </c>
      <c r="Q95">
        <v>11723.5729725088</v>
      </c>
      <c r="R95">
        <v>1126.78899752098</v>
      </c>
      <c r="S95">
        <v>309.08428823158101</v>
      </c>
      <c r="T95">
        <v>349.91965317972199</v>
      </c>
      <c r="U95">
        <v>124.31532608033</v>
      </c>
      <c r="V95">
        <v>325.78982809108902</v>
      </c>
      <c r="W95">
        <v>124.853709270552</v>
      </c>
      <c r="X95">
        <v>168.05496447761399</v>
      </c>
      <c r="Y95">
        <v>881.22993617310101</v>
      </c>
      <c r="Z95">
        <v>130.15807041670001</v>
      </c>
      <c r="AA95">
        <v>779.81537029538299</v>
      </c>
      <c r="AB95">
        <v>1111.93111085905</v>
      </c>
      <c r="AC95">
        <v>569.19591700163801</v>
      </c>
      <c r="AD95">
        <v>853.92391845745897</v>
      </c>
      <c r="AE95">
        <v>591.31963847493796</v>
      </c>
      <c r="AF95">
        <v>444.84844311012102</v>
      </c>
      <c r="AG95">
        <v>884.53793675036604</v>
      </c>
    </row>
    <row r="96" spans="1:33" x14ac:dyDescent="0.25">
      <c r="A96" s="1">
        <v>44147</v>
      </c>
      <c r="B96">
        <v>15392.798048811301</v>
      </c>
      <c r="C96">
        <v>11097.9970401425</v>
      </c>
      <c r="D96">
        <v>13028.7768126637</v>
      </c>
      <c r="E96">
        <v>15553.270213530001</v>
      </c>
      <c r="F96">
        <v>16981.927446620899</v>
      </c>
      <c r="G96">
        <v>16305.339412253201</v>
      </c>
      <c r="H96">
        <v>27745.401880944799</v>
      </c>
      <c r="I96">
        <v>20306.1563569912</v>
      </c>
      <c r="J96">
        <v>2749.9807159585298</v>
      </c>
      <c r="K96">
        <v>2405.2171987645402</v>
      </c>
      <c r="L96">
        <v>1092.78308182418</v>
      </c>
      <c r="M96">
        <v>14327.2952828786</v>
      </c>
      <c r="N96">
        <v>4389.8426876608401</v>
      </c>
      <c r="O96">
        <v>1005.86548419997</v>
      </c>
      <c r="P96">
        <v>2788.7907714579001</v>
      </c>
      <c r="Q96">
        <v>12190.7496998482</v>
      </c>
      <c r="R96">
        <v>1184.87815355527</v>
      </c>
      <c r="S96">
        <v>307.95545603170501</v>
      </c>
      <c r="T96">
        <v>377.40373467403703</v>
      </c>
      <c r="U96">
        <v>124.370648180389</v>
      </c>
      <c r="V96">
        <v>365.62181392355097</v>
      </c>
      <c r="W96">
        <v>125.110445008921</v>
      </c>
      <c r="X96">
        <v>182.87603487502901</v>
      </c>
      <c r="Y96">
        <v>890.83308635177002</v>
      </c>
      <c r="Z96">
        <v>130.94515919555701</v>
      </c>
      <c r="AA96">
        <v>780.52684617453895</v>
      </c>
      <c r="AB96">
        <v>1064.0546977173301</v>
      </c>
      <c r="AC96">
        <v>575.78477576538103</v>
      </c>
      <c r="AD96">
        <v>863.55570863505397</v>
      </c>
      <c r="AE96">
        <v>613.17840046130698</v>
      </c>
      <c r="AF96">
        <v>453.612427951227</v>
      </c>
      <c r="AG96">
        <v>879.99803037865604</v>
      </c>
    </row>
    <row r="97" spans="1:33" x14ac:dyDescent="0.25">
      <c r="A97" s="1">
        <v>44148</v>
      </c>
      <c r="B97">
        <v>15283.418526424201</v>
      </c>
      <c r="C97">
        <v>11346.940370583599</v>
      </c>
      <c r="D97">
        <v>12680.856434797801</v>
      </c>
      <c r="E97">
        <v>15589.8525636625</v>
      </c>
      <c r="F97">
        <v>17468.8701448711</v>
      </c>
      <c r="G97">
        <v>17386.972891414502</v>
      </c>
      <c r="H97">
        <v>28725.718737481599</v>
      </c>
      <c r="I97">
        <v>20335.0913411328</v>
      </c>
      <c r="J97">
        <v>2734.6706945023702</v>
      </c>
      <c r="K97">
        <v>2559.2943019750301</v>
      </c>
      <c r="L97">
        <v>1110.14275436361</v>
      </c>
      <c r="M97">
        <v>15426.269376861001</v>
      </c>
      <c r="N97">
        <v>5275.3394802999301</v>
      </c>
      <c r="O97">
        <v>1078.5264053916701</v>
      </c>
      <c r="P97">
        <v>3001.4345150160998</v>
      </c>
      <c r="Q97">
        <v>13316.628168822799</v>
      </c>
      <c r="R97">
        <v>1271.2974499269999</v>
      </c>
      <c r="S97">
        <v>305.077475045879</v>
      </c>
      <c r="T97">
        <v>476.37546358466898</v>
      </c>
      <c r="U97">
        <v>124.812990843496</v>
      </c>
      <c r="V97">
        <v>524.48714534245596</v>
      </c>
      <c r="W97">
        <v>121.496793861613</v>
      </c>
      <c r="X97">
        <v>272.63657086175698</v>
      </c>
      <c r="Y97">
        <v>951.98500698966302</v>
      </c>
      <c r="Z97">
        <v>131.596981549334</v>
      </c>
      <c r="AA97">
        <v>769.58198914657703</v>
      </c>
      <c r="AB97">
        <v>1126.19707679209</v>
      </c>
      <c r="AC97">
        <v>575.28973419093302</v>
      </c>
      <c r="AD97">
        <v>902.74313682161596</v>
      </c>
      <c r="AE97">
        <v>611.79702952028197</v>
      </c>
      <c r="AF97">
        <v>458.98569039547698</v>
      </c>
      <c r="AG97">
        <v>856.65972697933398</v>
      </c>
    </row>
    <row r="98" spans="1:33" x14ac:dyDescent="0.25">
      <c r="A98" s="1">
        <v>44149</v>
      </c>
      <c r="B98">
        <v>15222.8534394338</v>
      </c>
      <c r="C98">
        <v>12136.1776903891</v>
      </c>
      <c r="D98">
        <v>12325.518644952601</v>
      </c>
      <c r="E98">
        <v>15415.100138429299</v>
      </c>
      <c r="F98">
        <v>17998.503953155199</v>
      </c>
      <c r="G98">
        <v>17436.935433307201</v>
      </c>
      <c r="H98">
        <v>28317.590957303299</v>
      </c>
      <c r="I98">
        <v>20491.6998178912</v>
      </c>
      <c r="J98">
        <v>2733.5640126682902</v>
      </c>
      <c r="K98">
        <v>2608.05779035669</v>
      </c>
      <c r="L98">
        <v>1148.01783289371</v>
      </c>
      <c r="M98">
        <v>15432.9077731047</v>
      </c>
      <c r="N98">
        <v>5535.0618989750401</v>
      </c>
      <c r="O98">
        <v>1036.1613386448</v>
      </c>
      <c r="P98">
        <v>3034.15288346952</v>
      </c>
      <c r="Q98">
        <v>13373.5442661263</v>
      </c>
      <c r="R98">
        <v>1285.38234168799</v>
      </c>
      <c r="S98">
        <v>301.21961220173199</v>
      </c>
      <c r="T98">
        <v>519.91059511087406</v>
      </c>
      <c r="U98">
        <v>122.031121982343</v>
      </c>
      <c r="V98">
        <v>591.82390627647101</v>
      </c>
      <c r="W98">
        <v>124.927674603266</v>
      </c>
      <c r="X98">
        <v>304.47048994445498</v>
      </c>
      <c r="Y98">
        <v>986.987558980784</v>
      </c>
      <c r="Z98">
        <v>131.79618494786999</v>
      </c>
      <c r="AA98">
        <v>771.38458422635597</v>
      </c>
      <c r="AB98">
        <v>1172.14817101376</v>
      </c>
      <c r="AC98">
        <v>572.42500125172103</v>
      </c>
      <c r="AD98">
        <v>909.37552894876603</v>
      </c>
      <c r="AE98">
        <v>638.38755769887803</v>
      </c>
      <c r="AF98">
        <v>465.93256884405702</v>
      </c>
      <c r="AG98">
        <v>842.88097072340997</v>
      </c>
    </row>
    <row r="99" spans="1:33" x14ac:dyDescent="0.25">
      <c r="A99" s="1">
        <v>44150</v>
      </c>
      <c r="B99">
        <v>15027.336180211099</v>
      </c>
      <c r="C99">
        <v>12014.1407523621</v>
      </c>
      <c r="D99">
        <v>12303.926694484901</v>
      </c>
      <c r="E99">
        <v>15233.514880123001</v>
      </c>
      <c r="F99">
        <v>17757.811389628099</v>
      </c>
      <c r="G99">
        <v>17404.417075343299</v>
      </c>
      <c r="H99">
        <v>28442.756081088199</v>
      </c>
      <c r="I99">
        <v>20642.752401504898</v>
      </c>
      <c r="J99">
        <v>2730.2344714282299</v>
      </c>
      <c r="K99">
        <v>2624.6248537250099</v>
      </c>
      <c r="L99">
        <v>1124.5991202931</v>
      </c>
      <c r="M99">
        <v>15557.8499857402</v>
      </c>
      <c r="N99">
        <v>5724.1678536080299</v>
      </c>
      <c r="O99">
        <v>988.66730394777903</v>
      </c>
      <c r="P99">
        <v>3074.6705385402602</v>
      </c>
      <c r="Q99">
        <v>13470.905958625</v>
      </c>
      <c r="R99">
        <v>1243.29708751819</v>
      </c>
      <c r="S99">
        <v>297.77256559413797</v>
      </c>
      <c r="T99">
        <v>614.35196464834303</v>
      </c>
      <c r="U99">
        <v>124.946589447164</v>
      </c>
      <c r="V99">
        <v>699.04422606418302</v>
      </c>
      <c r="W99">
        <v>124.986793423417</v>
      </c>
      <c r="X99">
        <v>377.45511834557999</v>
      </c>
      <c r="Y99">
        <v>964.65673391242899</v>
      </c>
      <c r="Z99">
        <v>132.023999753374</v>
      </c>
      <c r="AA99">
        <v>770.12137617128701</v>
      </c>
      <c r="AB99">
        <v>1150.21624941087</v>
      </c>
      <c r="AC99">
        <v>573.80660686165004</v>
      </c>
      <c r="AD99">
        <v>907.59545319270501</v>
      </c>
      <c r="AE99">
        <v>668.85251185964603</v>
      </c>
      <c r="AF99">
        <v>474.29409458865302</v>
      </c>
      <c r="AG99">
        <v>848.10759718920497</v>
      </c>
    </row>
    <row r="100" spans="1:33" x14ac:dyDescent="0.25">
      <c r="A100" s="1">
        <v>44151</v>
      </c>
      <c r="B100">
        <v>14765.795893250501</v>
      </c>
      <c r="C100">
        <v>12125.281813826599</v>
      </c>
      <c r="D100">
        <v>12441.485797502501</v>
      </c>
      <c r="E100">
        <v>15163.1006250215</v>
      </c>
      <c r="F100">
        <v>17990.040965788499</v>
      </c>
      <c r="G100">
        <v>17833.339638504702</v>
      </c>
      <c r="H100">
        <v>28796.921515732902</v>
      </c>
      <c r="I100">
        <v>20792.507118805301</v>
      </c>
      <c r="J100">
        <v>2716.87943696807</v>
      </c>
      <c r="K100">
        <v>2738.6317187872901</v>
      </c>
      <c r="L100">
        <v>1122.89671887041</v>
      </c>
      <c r="M100">
        <v>15966.1262330514</v>
      </c>
      <c r="N100">
        <v>6146.5200042954602</v>
      </c>
      <c r="O100">
        <v>1020.28708611528</v>
      </c>
      <c r="P100">
        <v>3242.9524682822298</v>
      </c>
      <c r="Q100">
        <v>13951.3307886557</v>
      </c>
      <c r="R100">
        <v>1270.0553500154599</v>
      </c>
      <c r="S100">
        <v>294.55249467791799</v>
      </c>
      <c r="T100">
        <v>737.63548000139201</v>
      </c>
      <c r="U100">
        <v>124.96071063138599</v>
      </c>
      <c r="V100">
        <v>775.45530304602596</v>
      </c>
      <c r="W100">
        <v>124.85186775734</v>
      </c>
      <c r="X100">
        <v>389.54617318006302</v>
      </c>
      <c r="Y100">
        <v>983.42240960609797</v>
      </c>
      <c r="Z100">
        <v>133.25872825219599</v>
      </c>
      <c r="AA100">
        <v>764.15137937242105</v>
      </c>
      <c r="AB100">
        <v>1165.3304137412899</v>
      </c>
      <c r="AC100">
        <v>580.14565233583699</v>
      </c>
      <c r="AD100">
        <v>913.33403302680404</v>
      </c>
      <c r="AE100">
        <v>688.63420910876698</v>
      </c>
      <c r="AF100">
        <v>479.20791363643599</v>
      </c>
      <c r="AG100">
        <v>864.57293177720896</v>
      </c>
    </row>
    <row r="101" spans="1:33" x14ac:dyDescent="0.25">
      <c r="A101" s="1">
        <v>44152</v>
      </c>
      <c r="B101">
        <v>14680.258155949799</v>
      </c>
      <c r="C101">
        <v>12616.1143135038</v>
      </c>
      <c r="D101">
        <v>12827.1395528967</v>
      </c>
      <c r="E101">
        <v>15635.940918874599</v>
      </c>
      <c r="F101">
        <v>18897.080750052901</v>
      </c>
      <c r="G101">
        <v>19493.2080973503</v>
      </c>
      <c r="H101">
        <v>30799.948474392299</v>
      </c>
      <c r="I101">
        <v>21050.771092489202</v>
      </c>
      <c r="J101">
        <v>2745.52768286219</v>
      </c>
      <c r="K101">
        <v>3267.7456625249001</v>
      </c>
      <c r="L101">
        <v>1206.9152110734101</v>
      </c>
      <c r="M101">
        <v>17724.881244458698</v>
      </c>
      <c r="N101">
        <v>7778.14018817959</v>
      </c>
      <c r="O101">
        <v>1205.4150436523601</v>
      </c>
      <c r="P101">
        <v>3958.6524389278402</v>
      </c>
      <c r="Q101">
        <v>15579.8070161985</v>
      </c>
      <c r="R101">
        <v>1467.0449794639501</v>
      </c>
      <c r="S101">
        <v>291.35673927724298</v>
      </c>
      <c r="T101">
        <v>1184.21182439925</v>
      </c>
      <c r="U101">
        <v>124.957583418106</v>
      </c>
      <c r="V101">
        <v>1137.3002373294601</v>
      </c>
      <c r="W101">
        <v>124.110069981013</v>
      </c>
      <c r="X101">
        <v>569.38582546558496</v>
      </c>
      <c r="Y101">
        <v>1027.3234259251501</v>
      </c>
      <c r="Z101">
        <v>135.56578131357199</v>
      </c>
      <c r="AA101">
        <v>754.446058817481</v>
      </c>
      <c r="AB101">
        <v>1170.9152341968099</v>
      </c>
      <c r="AC101">
        <v>582.39449320838798</v>
      </c>
      <c r="AD101">
        <v>995.46507138473305</v>
      </c>
      <c r="AE101">
        <v>698.21789707731205</v>
      </c>
      <c r="AF101">
        <v>478.94894954462598</v>
      </c>
      <c r="AG101">
        <v>874.37946516150498</v>
      </c>
    </row>
    <row r="102" spans="1:33" x14ac:dyDescent="0.25">
      <c r="A102" s="1">
        <v>44153</v>
      </c>
      <c r="B102">
        <v>14804.850530187699</v>
      </c>
      <c r="C102">
        <v>14089.315815600499</v>
      </c>
      <c r="D102">
        <v>12794.7715806058</v>
      </c>
      <c r="E102">
        <v>15388.076796646699</v>
      </c>
      <c r="F102">
        <v>19883.618676497201</v>
      </c>
      <c r="G102">
        <v>19309.701482272001</v>
      </c>
      <c r="H102">
        <v>30462.695003366902</v>
      </c>
      <c r="I102">
        <v>21621.060373817101</v>
      </c>
      <c r="J102">
        <v>2799.67060948172</v>
      </c>
      <c r="K102">
        <v>3418.3375332239102</v>
      </c>
      <c r="L102">
        <v>1275.4013225828101</v>
      </c>
      <c r="M102">
        <v>17590.718516254401</v>
      </c>
      <c r="N102">
        <v>7540.6233029527502</v>
      </c>
      <c r="O102">
        <v>1276.2950939760201</v>
      </c>
      <c r="P102">
        <v>4120.4460929902798</v>
      </c>
      <c r="Q102">
        <v>15570.9707348682</v>
      </c>
      <c r="R102">
        <v>1541.7758348233499</v>
      </c>
      <c r="S102">
        <v>288.21906460560598</v>
      </c>
      <c r="T102">
        <v>958.26724225333203</v>
      </c>
      <c r="U102">
        <v>124.64197884303</v>
      </c>
      <c r="V102">
        <v>734.43048183796805</v>
      </c>
      <c r="W102">
        <v>125.49349649808001</v>
      </c>
      <c r="X102">
        <v>251.56268509372899</v>
      </c>
      <c r="Y102">
        <v>959.08341215095595</v>
      </c>
      <c r="Z102">
        <v>137.413730065572</v>
      </c>
      <c r="AA102">
        <v>749.457389915053</v>
      </c>
      <c r="AB102">
        <v>1149.3645953145201</v>
      </c>
      <c r="AC102">
        <v>585.30215588230601</v>
      </c>
      <c r="AD102">
        <v>1033.1113464979201</v>
      </c>
      <c r="AE102">
        <v>685.70417345636304</v>
      </c>
      <c r="AF102">
        <v>481.28474131403198</v>
      </c>
      <c r="AG102">
        <v>870.59491306935797</v>
      </c>
    </row>
    <row r="103" spans="1:33" x14ac:dyDescent="0.25">
      <c r="A103" s="1">
        <v>44154</v>
      </c>
      <c r="B103">
        <v>14720.408996356</v>
      </c>
      <c r="C103">
        <v>13929.235929135701</v>
      </c>
      <c r="D103">
        <v>13149.0775938277</v>
      </c>
      <c r="E103">
        <v>15439.41559871</v>
      </c>
      <c r="F103">
        <v>18767.0490821723</v>
      </c>
      <c r="G103">
        <v>17417.162769555001</v>
      </c>
      <c r="H103">
        <v>28685.8518998113</v>
      </c>
      <c r="I103">
        <v>21663.601991683699</v>
      </c>
      <c r="J103">
        <v>2787.3259065893299</v>
      </c>
      <c r="K103">
        <v>3144.88317714606</v>
      </c>
      <c r="L103">
        <v>1246.11467003916</v>
      </c>
      <c r="M103">
        <v>15767.9172913609</v>
      </c>
      <c r="N103">
        <v>5689.0687490749497</v>
      </c>
      <c r="O103">
        <v>1152.0365768499901</v>
      </c>
      <c r="P103">
        <v>3713.9625082565199</v>
      </c>
      <c r="Q103">
        <v>13669.9538272886</v>
      </c>
      <c r="R103">
        <v>1438.52199650487</v>
      </c>
      <c r="S103">
        <v>288.50825106788801</v>
      </c>
      <c r="T103">
        <v>604.48267959596706</v>
      </c>
      <c r="U103">
        <v>124.65686122775701</v>
      </c>
      <c r="V103">
        <v>356.732117618845</v>
      </c>
      <c r="W103">
        <v>125.38819777107901</v>
      </c>
      <c r="X103">
        <v>128.54484575365001</v>
      </c>
      <c r="Y103">
        <v>897.92342405398404</v>
      </c>
      <c r="Z103">
        <v>138.45219843214699</v>
      </c>
      <c r="AA103">
        <v>762.51926061736106</v>
      </c>
      <c r="AB103">
        <v>1068.6961386640701</v>
      </c>
      <c r="AC103">
        <v>597.45669956007396</v>
      </c>
      <c r="AD103">
        <v>994.26761383564804</v>
      </c>
      <c r="AE103">
        <v>667.48760949502196</v>
      </c>
      <c r="AF103">
        <v>491.18583729175498</v>
      </c>
      <c r="AG103">
        <v>870.86827454967499</v>
      </c>
    </row>
    <row r="104" spans="1:33" x14ac:dyDescent="0.25">
      <c r="A104" s="1">
        <v>44155</v>
      </c>
      <c r="B104">
        <v>14800.4077853488</v>
      </c>
      <c r="C104">
        <v>13553.667364229401</v>
      </c>
      <c r="D104">
        <v>13656.878397763299</v>
      </c>
      <c r="E104">
        <v>15838.5665006939</v>
      </c>
      <c r="F104">
        <v>17544.8517012513</v>
      </c>
      <c r="G104">
        <v>16498.1501865803</v>
      </c>
      <c r="H104">
        <v>27884.556981772199</v>
      </c>
      <c r="I104">
        <v>21180.500606035199</v>
      </c>
      <c r="J104">
        <v>2769.7846460209098</v>
      </c>
      <c r="K104">
        <v>2994.8308879604501</v>
      </c>
      <c r="L104">
        <v>1218.82973575811</v>
      </c>
      <c r="M104">
        <v>14748.3862242335</v>
      </c>
      <c r="N104">
        <v>4770.1524743157497</v>
      </c>
      <c r="O104">
        <v>1083.3972239621</v>
      </c>
      <c r="P104">
        <v>3511.5097481376702</v>
      </c>
      <c r="Q104">
        <v>12423.188151324601</v>
      </c>
      <c r="R104">
        <v>1380.36992392302</v>
      </c>
      <c r="S104">
        <v>289.00650039960601</v>
      </c>
      <c r="T104">
        <v>480.87932462843099</v>
      </c>
      <c r="U104">
        <v>124.834525764102</v>
      </c>
      <c r="V104">
        <v>277.19767939927601</v>
      </c>
      <c r="W104">
        <v>126.15125956761899</v>
      </c>
      <c r="X104">
        <v>129.50544673637901</v>
      </c>
      <c r="Y104">
        <v>886.16323921561604</v>
      </c>
      <c r="Z104">
        <v>139.74462361297401</v>
      </c>
      <c r="AA104">
        <v>751.28056603878099</v>
      </c>
      <c r="AB104">
        <v>1069.8220877864701</v>
      </c>
      <c r="AC104">
        <v>607.74106409695696</v>
      </c>
      <c r="AD104">
        <v>978.11157033537995</v>
      </c>
      <c r="AE104">
        <v>674.62424233775596</v>
      </c>
      <c r="AF104">
        <v>499.71463184072502</v>
      </c>
      <c r="AG104">
        <v>871.410580854861</v>
      </c>
    </row>
    <row r="105" spans="1:33" x14ac:dyDescent="0.25">
      <c r="A105" s="1">
        <v>44156</v>
      </c>
      <c r="B105">
        <v>15062.3684120696</v>
      </c>
      <c r="C105">
        <v>13220.7336817007</v>
      </c>
      <c r="D105">
        <v>14208.338380951</v>
      </c>
      <c r="E105">
        <v>16116.7234798723</v>
      </c>
      <c r="F105">
        <v>16904.0052809177</v>
      </c>
      <c r="G105">
        <v>15961.4432194415</v>
      </c>
      <c r="H105">
        <v>27504.504717269101</v>
      </c>
      <c r="I105">
        <v>20809.598166231299</v>
      </c>
      <c r="J105">
        <v>2748.0040574681402</v>
      </c>
      <c r="K105">
        <v>2865.4238473474402</v>
      </c>
      <c r="L105">
        <v>1192.30306747893</v>
      </c>
      <c r="M105">
        <v>14157.614453059499</v>
      </c>
      <c r="N105">
        <v>4220.7024060395797</v>
      </c>
      <c r="O105">
        <v>1073.9828748944501</v>
      </c>
      <c r="P105">
        <v>3341.6401393297901</v>
      </c>
      <c r="Q105">
        <v>11769.7728558338</v>
      </c>
      <c r="R105">
        <v>1359.9562125467</v>
      </c>
      <c r="S105">
        <v>290.15013714603901</v>
      </c>
      <c r="T105">
        <v>403.835655669998</v>
      </c>
      <c r="U105">
        <v>125.027367929908</v>
      </c>
      <c r="V105">
        <v>244.73009976477101</v>
      </c>
      <c r="W105">
        <v>125.33879707557</v>
      </c>
      <c r="X105">
        <v>139.54739727496201</v>
      </c>
      <c r="Y105">
        <v>859.79254869741601</v>
      </c>
      <c r="Z105">
        <v>141.005918345726</v>
      </c>
      <c r="AA105">
        <v>737.06717041713398</v>
      </c>
      <c r="AB105">
        <v>1059.9601650346999</v>
      </c>
      <c r="AC105">
        <v>612.28112824556001</v>
      </c>
      <c r="AD105">
        <v>967.61711092722703</v>
      </c>
      <c r="AE105">
        <v>700.48779148884296</v>
      </c>
      <c r="AF105">
        <v>504.759912848998</v>
      </c>
      <c r="AG105">
        <v>867.18236978802202</v>
      </c>
    </row>
    <row r="106" spans="1:33" x14ac:dyDescent="0.25">
      <c r="A106" s="1">
        <v>44157</v>
      </c>
      <c r="B106">
        <v>15585.4934439104</v>
      </c>
      <c r="C106">
        <v>12911.048442412501</v>
      </c>
      <c r="D106">
        <v>14785.8228376445</v>
      </c>
      <c r="E106">
        <v>16433.8095762788</v>
      </c>
      <c r="F106">
        <v>16674.862748293199</v>
      </c>
      <c r="G106">
        <v>15958.9513848563</v>
      </c>
      <c r="H106">
        <v>27912.296067065399</v>
      </c>
      <c r="I106">
        <v>20596.289838197899</v>
      </c>
      <c r="J106">
        <v>2744.4227787385698</v>
      </c>
      <c r="K106">
        <v>2831.6476783886701</v>
      </c>
      <c r="L106">
        <v>1197.4071187207301</v>
      </c>
      <c r="M106">
        <v>14057.74077158</v>
      </c>
      <c r="N106">
        <v>3934.9413955477298</v>
      </c>
      <c r="O106">
        <v>1120.36887917678</v>
      </c>
      <c r="P106">
        <v>3293.05223812962</v>
      </c>
      <c r="Q106">
        <v>11786.022513792799</v>
      </c>
      <c r="R106">
        <v>1391.86254325544</v>
      </c>
      <c r="S106">
        <v>292.358493824785</v>
      </c>
      <c r="T106">
        <v>369.03657983700901</v>
      </c>
      <c r="U106">
        <v>126.08782298775699</v>
      </c>
      <c r="V106">
        <v>252.04309774921001</v>
      </c>
      <c r="W106">
        <v>125.54005267064601</v>
      </c>
      <c r="X106">
        <v>148.80315898184799</v>
      </c>
      <c r="Y106">
        <v>835.17453149386097</v>
      </c>
      <c r="Z106">
        <v>142.49314678207199</v>
      </c>
      <c r="AA106">
        <v>721.15643235488005</v>
      </c>
      <c r="AB106">
        <v>1041.7384469861299</v>
      </c>
      <c r="AC106">
        <v>613.00330132373699</v>
      </c>
      <c r="AD106">
        <v>976.17810841315702</v>
      </c>
      <c r="AE106">
        <v>680.93499023256902</v>
      </c>
      <c r="AF106">
        <v>509.390273946386</v>
      </c>
      <c r="AG106">
        <v>850.47387115128095</v>
      </c>
    </row>
    <row r="107" spans="1:33" x14ac:dyDescent="0.25">
      <c r="A107" s="1">
        <v>44158</v>
      </c>
      <c r="B107">
        <v>16261.038643174101</v>
      </c>
      <c r="C107">
        <v>13087.6480036707</v>
      </c>
      <c r="D107">
        <v>14921.4020793866</v>
      </c>
      <c r="E107">
        <v>16577.324388471199</v>
      </c>
      <c r="F107">
        <v>16711.596297596501</v>
      </c>
      <c r="G107">
        <v>15964.696053219201</v>
      </c>
      <c r="H107">
        <v>27605.216188131799</v>
      </c>
      <c r="I107">
        <v>20469.975094002501</v>
      </c>
      <c r="J107">
        <v>2750.6155682078402</v>
      </c>
      <c r="K107">
        <v>2822.6588697201801</v>
      </c>
      <c r="L107">
        <v>1204.4590170270901</v>
      </c>
      <c r="M107">
        <v>14034.228812543</v>
      </c>
      <c r="N107">
        <v>3649.6709728600699</v>
      </c>
      <c r="O107">
        <v>1194.86073104207</v>
      </c>
      <c r="P107">
        <v>3262.7842334669599</v>
      </c>
      <c r="Q107">
        <v>11798.607120729699</v>
      </c>
      <c r="R107">
        <v>1450.8594098446499</v>
      </c>
      <c r="S107">
        <v>294.488856141832</v>
      </c>
      <c r="T107">
        <v>330.22326660974301</v>
      </c>
      <c r="U107">
        <v>125.783067824344</v>
      </c>
      <c r="V107">
        <v>218.38047761866801</v>
      </c>
      <c r="W107">
        <v>130.41824094841101</v>
      </c>
      <c r="X107">
        <v>143.158696254544</v>
      </c>
      <c r="Y107">
        <v>793.48846073079301</v>
      </c>
      <c r="Z107">
        <v>142.37962935452501</v>
      </c>
      <c r="AA107">
        <v>720.375396629016</v>
      </c>
      <c r="AB107">
        <v>976.00323376799201</v>
      </c>
      <c r="AC107">
        <v>614.06066174738498</v>
      </c>
      <c r="AD107">
        <v>982.55918177395802</v>
      </c>
      <c r="AE107">
        <v>688.83253424649104</v>
      </c>
      <c r="AF107">
        <v>511.99885068219402</v>
      </c>
      <c r="AG107">
        <v>827.65055574787402</v>
      </c>
    </row>
    <row r="108" spans="1:33" x14ac:dyDescent="0.25">
      <c r="A108" s="1">
        <v>44159</v>
      </c>
      <c r="B108">
        <v>16761.032935117</v>
      </c>
      <c r="C108">
        <v>12306.485825686501</v>
      </c>
      <c r="D108">
        <v>13977.4011888895</v>
      </c>
      <c r="E108">
        <v>16643.024333779598</v>
      </c>
      <c r="F108">
        <v>16677.141536212199</v>
      </c>
      <c r="G108">
        <v>15905.6947921148</v>
      </c>
      <c r="H108">
        <v>27484.311185173701</v>
      </c>
      <c r="I108">
        <v>20390.910168734899</v>
      </c>
      <c r="J108">
        <v>2752.8096107934998</v>
      </c>
      <c r="K108">
        <v>2800.5517393088999</v>
      </c>
      <c r="L108">
        <v>1222.41863897601</v>
      </c>
      <c r="M108">
        <v>13926.520332583699</v>
      </c>
      <c r="N108">
        <v>3484.03737348295</v>
      </c>
      <c r="O108">
        <v>1198.5621319491399</v>
      </c>
      <c r="P108">
        <v>3212.54683773651</v>
      </c>
      <c r="Q108">
        <v>11666.989732448301</v>
      </c>
      <c r="R108">
        <v>1459.09141864762</v>
      </c>
      <c r="S108">
        <v>296.04900217345403</v>
      </c>
      <c r="T108">
        <v>302.98108872381198</v>
      </c>
      <c r="U108">
        <v>126.780449071644</v>
      </c>
      <c r="V108">
        <v>226.482652162215</v>
      </c>
      <c r="W108">
        <v>135.27590327580899</v>
      </c>
      <c r="X108">
        <v>146.49157444557301</v>
      </c>
      <c r="Y108">
        <v>751.04626148533703</v>
      </c>
      <c r="Z108">
        <v>141.62364781650601</v>
      </c>
      <c r="AA108">
        <v>737.02147642204295</v>
      </c>
      <c r="AB108">
        <v>938.02197770452403</v>
      </c>
      <c r="AC108">
        <v>619.90047356719697</v>
      </c>
      <c r="AD108">
        <v>985.88855048645905</v>
      </c>
      <c r="AE108">
        <v>698.21815727492299</v>
      </c>
      <c r="AF108">
        <v>516.18481291631201</v>
      </c>
      <c r="AG108">
        <v>816.03431141757198</v>
      </c>
    </row>
    <row r="109" spans="1:33" x14ac:dyDescent="0.25">
      <c r="A109" s="1">
        <v>44160</v>
      </c>
      <c r="B109">
        <v>17031.876821875401</v>
      </c>
      <c r="C109">
        <v>11134.3676681131</v>
      </c>
      <c r="D109">
        <v>13336.269611584399</v>
      </c>
      <c r="E109">
        <v>16592.887186007501</v>
      </c>
      <c r="F109">
        <v>16816.333469729499</v>
      </c>
      <c r="G109">
        <v>15904.1232228439</v>
      </c>
      <c r="H109">
        <v>27414.384374220401</v>
      </c>
      <c r="I109">
        <v>20375.8005665692</v>
      </c>
      <c r="J109">
        <v>2763.05684416452</v>
      </c>
      <c r="K109">
        <v>2782.9390729224101</v>
      </c>
      <c r="L109">
        <v>1258.5759150634899</v>
      </c>
      <c r="M109">
        <v>13901.5791179925</v>
      </c>
      <c r="N109">
        <v>3463.2662174635898</v>
      </c>
      <c r="O109">
        <v>1204.92063595333</v>
      </c>
      <c r="P109">
        <v>3204.5968005385898</v>
      </c>
      <c r="Q109">
        <v>11741.303619333899</v>
      </c>
      <c r="R109">
        <v>1489.75863738422</v>
      </c>
      <c r="S109">
        <v>297.49864063795002</v>
      </c>
      <c r="T109">
        <v>280.25585531735499</v>
      </c>
      <c r="U109">
        <v>132.58824363815799</v>
      </c>
      <c r="V109">
        <v>221.94567634754</v>
      </c>
      <c r="W109">
        <v>134.53619163239</v>
      </c>
      <c r="X109">
        <v>150.47872367170399</v>
      </c>
      <c r="Y109">
        <v>829.367205157635</v>
      </c>
      <c r="Z109">
        <v>140.88715607951499</v>
      </c>
      <c r="AA109">
        <v>752.50918028662602</v>
      </c>
      <c r="AB109">
        <v>975.62828230075604</v>
      </c>
      <c r="AC109">
        <v>623.77286189476297</v>
      </c>
      <c r="AD109">
        <v>999.46746317779696</v>
      </c>
      <c r="AE109">
        <v>700.01811367693495</v>
      </c>
      <c r="AF109">
        <v>518.85301977720599</v>
      </c>
      <c r="AG109">
        <v>811.31158834056305</v>
      </c>
    </row>
    <row r="110" spans="1:33" x14ac:dyDescent="0.25">
      <c r="A110" s="1">
        <v>44161</v>
      </c>
      <c r="B110">
        <v>16743.131169121501</v>
      </c>
      <c r="C110">
        <v>11105.6764554324</v>
      </c>
      <c r="D110">
        <v>12935.149272938201</v>
      </c>
      <c r="E110">
        <v>16264.6102790472</v>
      </c>
      <c r="F110">
        <v>16442.079401112798</v>
      </c>
      <c r="G110">
        <v>15125.0426622839</v>
      </c>
      <c r="H110">
        <v>26400.730557642601</v>
      </c>
      <c r="I110">
        <v>20342.233972184</v>
      </c>
      <c r="J110">
        <v>2756.6177666102899</v>
      </c>
      <c r="K110">
        <v>2621.92421492725</v>
      </c>
      <c r="L110">
        <v>1109.06836127767</v>
      </c>
      <c r="M110">
        <v>12904.147745145099</v>
      </c>
      <c r="N110">
        <v>2684.7518573628099</v>
      </c>
      <c r="O110">
        <v>1132.3466057184701</v>
      </c>
      <c r="P110">
        <v>2934.1381048477801</v>
      </c>
      <c r="Q110">
        <v>10891.9585467497</v>
      </c>
      <c r="R110">
        <v>1407.2849241829499</v>
      </c>
      <c r="S110">
        <v>297.98456623193402</v>
      </c>
      <c r="T110">
        <v>252.171703283771</v>
      </c>
      <c r="U110">
        <v>130.719743344037</v>
      </c>
      <c r="V110">
        <v>200.686059323781</v>
      </c>
      <c r="W110">
        <v>131.648174840965</v>
      </c>
      <c r="X110">
        <v>152.60437275378899</v>
      </c>
      <c r="Y110">
        <v>770.22167815510397</v>
      </c>
      <c r="Z110">
        <v>139.25136749731701</v>
      </c>
      <c r="AA110">
        <v>746.57584915657606</v>
      </c>
      <c r="AB110">
        <v>913.51752286419503</v>
      </c>
      <c r="AC110">
        <v>626.22333853688895</v>
      </c>
      <c r="AD110">
        <v>933.23657744075695</v>
      </c>
      <c r="AE110">
        <v>744.70461066039798</v>
      </c>
      <c r="AF110">
        <v>524.16229487337796</v>
      </c>
      <c r="AG110">
        <v>814.70853588558396</v>
      </c>
    </row>
    <row r="111" spans="1:33" x14ac:dyDescent="0.25">
      <c r="A111" s="1">
        <v>44162</v>
      </c>
      <c r="B111">
        <v>16311.2448640764</v>
      </c>
      <c r="C111">
        <v>10511.1575383536</v>
      </c>
      <c r="D111">
        <v>12705.343234816701</v>
      </c>
      <c r="E111">
        <v>16164.4125275729</v>
      </c>
      <c r="F111">
        <v>16352.3135766377</v>
      </c>
      <c r="G111">
        <v>15894.721761303899</v>
      </c>
      <c r="H111">
        <v>27716.887130156301</v>
      </c>
      <c r="I111">
        <v>20221.407676316801</v>
      </c>
      <c r="J111">
        <v>2767.4035774162098</v>
      </c>
      <c r="K111">
        <v>2692.4190765538501</v>
      </c>
      <c r="L111">
        <v>1125.92950787367</v>
      </c>
      <c r="M111">
        <v>14044.677686257301</v>
      </c>
      <c r="N111">
        <v>4042.18223092879</v>
      </c>
      <c r="O111">
        <v>1094.4289797896099</v>
      </c>
      <c r="P111">
        <v>3078.84347414474</v>
      </c>
      <c r="Q111">
        <v>11906.1113081969</v>
      </c>
      <c r="R111">
        <v>1428.9657336988801</v>
      </c>
      <c r="S111">
        <v>297.499099829253</v>
      </c>
      <c r="T111">
        <v>311.93398213573698</v>
      </c>
      <c r="U111">
        <v>131.70303307133</v>
      </c>
      <c r="V111">
        <v>327.76734402656899</v>
      </c>
      <c r="W111">
        <v>133.03533733772099</v>
      </c>
      <c r="X111">
        <v>194.993046829912</v>
      </c>
      <c r="Y111">
        <v>825.41148064035895</v>
      </c>
      <c r="Z111">
        <v>137.77382379013901</v>
      </c>
      <c r="AA111">
        <v>733.28405114904399</v>
      </c>
      <c r="AB111">
        <v>980.12315250945403</v>
      </c>
      <c r="AC111">
        <v>628.96080881375099</v>
      </c>
      <c r="AD111">
        <v>937.48684503719596</v>
      </c>
      <c r="AE111">
        <v>762.63963944214004</v>
      </c>
      <c r="AF111">
        <v>526.694848481902</v>
      </c>
      <c r="AG111">
        <v>816.81704376123901</v>
      </c>
    </row>
    <row r="112" spans="1:33" x14ac:dyDescent="0.25">
      <c r="A112" s="1">
        <v>44163</v>
      </c>
      <c r="B112">
        <v>15958.8142881612</v>
      </c>
      <c r="C112">
        <v>11278.653522518</v>
      </c>
      <c r="D112">
        <v>12253.100257649799</v>
      </c>
      <c r="E112">
        <v>15835.0182581438</v>
      </c>
      <c r="F112">
        <v>16816.1286600487</v>
      </c>
      <c r="G112">
        <v>16119.4933407184</v>
      </c>
      <c r="H112">
        <v>27659.558219025301</v>
      </c>
      <c r="I112">
        <v>20174.786368658799</v>
      </c>
      <c r="J112">
        <v>2758.5412577653001</v>
      </c>
      <c r="K112">
        <v>2678.04417673131</v>
      </c>
      <c r="L112">
        <v>1157.0135232724101</v>
      </c>
      <c r="M112">
        <v>14255.8245929942</v>
      </c>
      <c r="N112">
        <v>4294.4751753750998</v>
      </c>
      <c r="O112">
        <v>1064.62579892193</v>
      </c>
      <c r="P112">
        <v>3066.5222167081702</v>
      </c>
      <c r="Q112">
        <v>12111.718692013201</v>
      </c>
      <c r="R112">
        <v>1410.5557547293299</v>
      </c>
      <c r="S112">
        <v>296.00215962614999</v>
      </c>
      <c r="T112">
        <v>337.34880877912502</v>
      </c>
      <c r="U112">
        <v>131.805320574186</v>
      </c>
      <c r="V112">
        <v>352.36405496810602</v>
      </c>
      <c r="W112">
        <v>135.95584373519901</v>
      </c>
      <c r="X112">
        <v>194.45184618506701</v>
      </c>
      <c r="Y112">
        <v>808.23457202996497</v>
      </c>
      <c r="Z112">
        <v>136.18219069126499</v>
      </c>
      <c r="AA112">
        <v>741.83183106393005</v>
      </c>
      <c r="AB112">
        <v>966.79786518194805</v>
      </c>
      <c r="AC112">
        <v>632.95493181895995</v>
      </c>
      <c r="AD112">
        <v>937.84524890865498</v>
      </c>
      <c r="AE112">
        <v>761.13954581607095</v>
      </c>
      <c r="AF112">
        <v>528.66889353174997</v>
      </c>
      <c r="AG112">
        <v>817.66410795624404</v>
      </c>
    </row>
    <row r="113" spans="1:33" x14ac:dyDescent="0.25">
      <c r="A113" s="1">
        <v>44164</v>
      </c>
      <c r="B113">
        <v>15460.4781279901</v>
      </c>
      <c r="C113">
        <v>11537.362101840899</v>
      </c>
      <c r="D113">
        <v>12007.857346680001</v>
      </c>
      <c r="E113">
        <v>15530.656424974801</v>
      </c>
      <c r="F113">
        <v>16982.696639117701</v>
      </c>
      <c r="G113">
        <v>16789.571463337299</v>
      </c>
      <c r="H113">
        <v>28363.429092338502</v>
      </c>
      <c r="I113">
        <v>20143.3072580464</v>
      </c>
      <c r="J113">
        <v>2752.5841692203699</v>
      </c>
      <c r="K113">
        <v>2777.04441739199</v>
      </c>
      <c r="L113">
        <v>1185.5155850256699</v>
      </c>
      <c r="M113">
        <v>14970.3345303692</v>
      </c>
      <c r="N113">
        <v>4963.47754154825</v>
      </c>
      <c r="O113">
        <v>1093.29501517734</v>
      </c>
      <c r="P113">
        <v>3230.27183745813</v>
      </c>
      <c r="Q113">
        <v>12854.8699069375</v>
      </c>
      <c r="R113">
        <v>1427.5381735415399</v>
      </c>
      <c r="S113">
        <v>293.26800442950099</v>
      </c>
      <c r="T113">
        <v>425.95567302396898</v>
      </c>
      <c r="U113">
        <v>134.792389194972</v>
      </c>
      <c r="V113">
        <v>458.99825197619202</v>
      </c>
      <c r="W113">
        <v>136.41188716385699</v>
      </c>
      <c r="X113">
        <v>243.08483824086801</v>
      </c>
      <c r="Y113">
        <v>846.25523946988199</v>
      </c>
      <c r="Z113">
        <v>135.42179987398501</v>
      </c>
      <c r="AA113">
        <v>743.17513461190197</v>
      </c>
      <c r="AB113">
        <v>1003.6463368163</v>
      </c>
      <c r="AC113">
        <v>640.16128586227205</v>
      </c>
      <c r="AD113">
        <v>960.22934697552</v>
      </c>
      <c r="AE113">
        <v>741.80592012222803</v>
      </c>
      <c r="AF113">
        <v>530.23853647810199</v>
      </c>
      <c r="AG113">
        <v>814.35692506457804</v>
      </c>
    </row>
    <row r="114" spans="1:33" x14ac:dyDescent="0.25">
      <c r="A114" s="1">
        <v>44165</v>
      </c>
      <c r="B114">
        <v>15076.788841543899</v>
      </c>
      <c r="C114">
        <v>12253.278034819199</v>
      </c>
      <c r="D114">
        <v>11717.936109927999</v>
      </c>
      <c r="E114">
        <v>15183.059906300199</v>
      </c>
      <c r="F114">
        <v>17378.8982491897</v>
      </c>
      <c r="G114">
        <v>16896.599739658399</v>
      </c>
      <c r="H114">
        <v>28539.569686495201</v>
      </c>
      <c r="I114">
        <v>20230.0682125489</v>
      </c>
      <c r="J114">
        <v>2744.99310048302</v>
      </c>
      <c r="K114">
        <v>2813.4800915147298</v>
      </c>
      <c r="L114">
        <v>1195.50756489883</v>
      </c>
      <c r="M114">
        <v>15195.776858294699</v>
      </c>
      <c r="N114">
        <v>5207.2870139766801</v>
      </c>
      <c r="O114">
        <v>1096.0999864267401</v>
      </c>
      <c r="P114">
        <v>3287.2848287636898</v>
      </c>
      <c r="Q114">
        <v>13052.421639181601</v>
      </c>
      <c r="R114">
        <v>1417.4455706358201</v>
      </c>
      <c r="S114">
        <v>289.95529893023598</v>
      </c>
      <c r="T114">
        <v>466.75901641527997</v>
      </c>
      <c r="U114">
        <v>134.90216612442501</v>
      </c>
      <c r="V114">
        <v>491.757251073909</v>
      </c>
      <c r="W114">
        <v>131.54084161868201</v>
      </c>
      <c r="X114">
        <v>247.46665008778501</v>
      </c>
      <c r="Y114">
        <v>848.20095874818901</v>
      </c>
      <c r="Z114">
        <v>136.64812354047999</v>
      </c>
      <c r="AA114">
        <v>749.49227288298698</v>
      </c>
      <c r="AB114">
        <v>1010.07878917192</v>
      </c>
      <c r="AC114">
        <v>653.09044524700903</v>
      </c>
      <c r="AD114">
        <v>962.64544504082596</v>
      </c>
      <c r="AE114">
        <v>763.89065203097095</v>
      </c>
      <c r="AF114">
        <v>532.25662924509595</v>
      </c>
      <c r="AG114">
        <v>823.31410010958905</v>
      </c>
    </row>
    <row r="115" spans="1:33" x14ac:dyDescent="0.25">
      <c r="A115" s="1">
        <v>44166</v>
      </c>
      <c r="B115">
        <v>14664.264963670101</v>
      </c>
      <c r="C115">
        <v>12561.883280293699</v>
      </c>
      <c r="D115">
        <v>11646.3941186714</v>
      </c>
      <c r="E115">
        <v>14889.313836970199</v>
      </c>
      <c r="F115">
        <v>17279.668480003002</v>
      </c>
      <c r="G115">
        <v>16841.7578362432</v>
      </c>
      <c r="H115">
        <v>28257.510635193899</v>
      </c>
      <c r="I115">
        <v>20288.0361840406</v>
      </c>
      <c r="J115">
        <v>2731.8409354649998</v>
      </c>
      <c r="K115">
        <v>2841.6070731623299</v>
      </c>
      <c r="L115">
        <v>1174.1327706754901</v>
      </c>
      <c r="M115">
        <v>15193.1747472517</v>
      </c>
      <c r="N115">
        <v>5320.9828388307396</v>
      </c>
      <c r="O115">
        <v>1084.3595603387901</v>
      </c>
      <c r="P115">
        <v>3332.2153862177202</v>
      </c>
      <c r="Q115">
        <v>13049.0933796301</v>
      </c>
      <c r="R115">
        <v>1392.0272655506501</v>
      </c>
      <c r="S115">
        <v>286.65237044705799</v>
      </c>
      <c r="T115">
        <v>506.57780775520598</v>
      </c>
      <c r="U115">
        <v>130.23028207631199</v>
      </c>
      <c r="V115">
        <v>497.315159043086</v>
      </c>
      <c r="W115">
        <v>133.10248305625899</v>
      </c>
      <c r="X115">
        <v>232.838660141779</v>
      </c>
      <c r="Y115">
        <v>881.95036573278503</v>
      </c>
      <c r="Z115">
        <v>137.77379188766301</v>
      </c>
      <c r="AA115">
        <v>758.87075864013002</v>
      </c>
      <c r="AB115">
        <v>1048.3864042632899</v>
      </c>
      <c r="AC115">
        <v>667.96070578497302</v>
      </c>
      <c r="AD115">
        <v>958.03896880200398</v>
      </c>
      <c r="AE115">
        <v>758.56699939119505</v>
      </c>
      <c r="AF115">
        <v>536.60640324763904</v>
      </c>
      <c r="AG115">
        <v>836.06218315295598</v>
      </c>
    </row>
    <row r="116" spans="1:33" x14ac:dyDescent="0.25">
      <c r="A116" s="1">
        <v>44167</v>
      </c>
      <c r="B116">
        <v>14309.7920769292</v>
      </c>
      <c r="C116">
        <v>12367.0075231265</v>
      </c>
      <c r="D116">
        <v>11763.903459388101</v>
      </c>
      <c r="E116">
        <v>14725.0329982685</v>
      </c>
      <c r="F116">
        <v>17346.8209339723</v>
      </c>
      <c r="G116">
        <v>17239.612300678698</v>
      </c>
      <c r="H116">
        <v>28623.708502960399</v>
      </c>
      <c r="I116">
        <v>20310.802217143599</v>
      </c>
      <c r="J116">
        <v>2729.2691950697899</v>
      </c>
      <c r="K116">
        <v>3016.5868408753399</v>
      </c>
      <c r="L116">
        <v>1212.4822206060401</v>
      </c>
      <c r="M116">
        <v>15623.3245130635</v>
      </c>
      <c r="N116">
        <v>5672.3363837163897</v>
      </c>
      <c r="O116">
        <v>1160.30633404793</v>
      </c>
      <c r="P116">
        <v>3561.2889736468101</v>
      </c>
      <c r="Q116">
        <v>13434.595128938399</v>
      </c>
      <c r="R116">
        <v>1465.9255466499999</v>
      </c>
      <c r="S116">
        <v>282.84033272518099</v>
      </c>
      <c r="T116">
        <v>547.88207762504805</v>
      </c>
      <c r="U116">
        <v>129.759676206714</v>
      </c>
      <c r="V116">
        <v>484.59281236336398</v>
      </c>
      <c r="W116">
        <v>126.22993938224501</v>
      </c>
      <c r="X116">
        <v>206.39749462445201</v>
      </c>
      <c r="Y116">
        <v>948.63230184168106</v>
      </c>
      <c r="Z116">
        <v>138.83760180698599</v>
      </c>
      <c r="AA116">
        <v>765.65571761498404</v>
      </c>
      <c r="AB116">
        <v>1075.1442628741499</v>
      </c>
      <c r="AC116">
        <v>673.68036412501101</v>
      </c>
      <c r="AD116">
        <v>997.96832133570695</v>
      </c>
      <c r="AE116">
        <v>756.75480678895201</v>
      </c>
      <c r="AF116">
        <v>538.52904278020299</v>
      </c>
      <c r="AG116">
        <v>847.71709747524096</v>
      </c>
    </row>
    <row r="117" spans="1:33" x14ac:dyDescent="0.25">
      <c r="A117" s="1">
        <v>44168</v>
      </c>
      <c r="B117">
        <v>14152.966284367199</v>
      </c>
      <c r="C117">
        <v>12613.3062585024</v>
      </c>
      <c r="D117">
        <v>11852.7118183606</v>
      </c>
      <c r="E117">
        <v>14499.5736490008</v>
      </c>
      <c r="F117">
        <v>17532.176014100802</v>
      </c>
      <c r="G117">
        <v>17059.4613901265</v>
      </c>
      <c r="H117">
        <v>28283.431054556699</v>
      </c>
      <c r="I117">
        <v>20415.798380360699</v>
      </c>
      <c r="J117">
        <v>2729.10693493078</v>
      </c>
      <c r="K117">
        <v>3025.0041215313499</v>
      </c>
      <c r="L117">
        <v>1240.19227794943</v>
      </c>
      <c r="M117">
        <v>15466.014434877599</v>
      </c>
      <c r="N117">
        <v>5440.0101125419897</v>
      </c>
      <c r="O117">
        <v>1194.3837099515599</v>
      </c>
      <c r="P117">
        <v>3576.1164685918902</v>
      </c>
      <c r="Q117">
        <v>13236.791888326599</v>
      </c>
      <c r="R117">
        <v>1491.1185890490401</v>
      </c>
      <c r="S117">
        <v>279.921865950795</v>
      </c>
      <c r="T117">
        <v>495.75173127531701</v>
      </c>
      <c r="U117">
        <v>129.876158271723</v>
      </c>
      <c r="V117">
        <v>397.98366590178603</v>
      </c>
      <c r="W117">
        <v>125.231103122223</v>
      </c>
      <c r="X117">
        <v>152.15291512509401</v>
      </c>
      <c r="Y117">
        <v>903.03671390487295</v>
      </c>
      <c r="Z117">
        <v>139.766134347964</v>
      </c>
      <c r="AA117">
        <v>777.98936903104595</v>
      </c>
      <c r="AB117">
        <v>1066.3725416309601</v>
      </c>
      <c r="AC117">
        <v>679.60690912790903</v>
      </c>
      <c r="AD117">
        <v>1016.49872561053</v>
      </c>
      <c r="AE117">
        <v>768.037996856061</v>
      </c>
      <c r="AF117">
        <v>541.62549414840805</v>
      </c>
      <c r="AG117">
        <v>860.93576347924397</v>
      </c>
    </row>
    <row r="118" spans="1:33" x14ac:dyDescent="0.25">
      <c r="A118" s="1">
        <v>44169</v>
      </c>
      <c r="B118">
        <v>13945.018157652999</v>
      </c>
      <c r="C118">
        <v>12457.883753640501</v>
      </c>
      <c r="D118">
        <v>11983.7427734304</v>
      </c>
      <c r="E118">
        <v>14410.4247479268</v>
      </c>
      <c r="F118">
        <v>17259.960772268802</v>
      </c>
      <c r="G118">
        <v>16900.460768696099</v>
      </c>
      <c r="H118">
        <v>28330.409795393702</v>
      </c>
      <c r="I118">
        <v>20384.585806682699</v>
      </c>
      <c r="J118">
        <v>2728.0864895182099</v>
      </c>
      <c r="K118">
        <v>3067.0181548426699</v>
      </c>
      <c r="L118">
        <v>1252.46805596023</v>
      </c>
      <c r="M118">
        <v>15351.8865583639</v>
      </c>
      <c r="N118">
        <v>5328.1609405947502</v>
      </c>
      <c r="O118">
        <v>1211.45704145881</v>
      </c>
      <c r="P118">
        <v>3607.4411696371299</v>
      </c>
      <c r="Q118">
        <v>13065.145185547901</v>
      </c>
      <c r="R118">
        <v>1517.53085334916</v>
      </c>
      <c r="S118">
        <v>277.45641478451603</v>
      </c>
      <c r="T118">
        <v>494.76212829334202</v>
      </c>
      <c r="U118">
        <v>129.33280707290399</v>
      </c>
      <c r="V118">
        <v>402.60019077612799</v>
      </c>
      <c r="W118">
        <v>124.645309685296</v>
      </c>
      <c r="X118">
        <v>155.976593779431</v>
      </c>
      <c r="Y118">
        <v>916.25330379902005</v>
      </c>
      <c r="Z118">
        <v>141.07336468660199</v>
      </c>
      <c r="AA118">
        <v>783.18674548971501</v>
      </c>
      <c r="AB118">
        <v>1064.8021246199701</v>
      </c>
      <c r="AC118">
        <v>686.09164767553102</v>
      </c>
      <c r="AD118">
        <v>1034.50971190784</v>
      </c>
      <c r="AE118">
        <v>779.923969665615</v>
      </c>
      <c r="AF118">
        <v>545.21263244280101</v>
      </c>
      <c r="AG118">
        <v>872.501237305259</v>
      </c>
    </row>
    <row r="119" spans="1:33" x14ac:dyDescent="0.25">
      <c r="A119" s="1">
        <v>44170</v>
      </c>
      <c r="B119">
        <v>13887.781608764601</v>
      </c>
      <c r="C119">
        <v>12382.074067118399</v>
      </c>
      <c r="D119">
        <v>12080.8692510334</v>
      </c>
      <c r="E119">
        <v>14378.9813681294</v>
      </c>
      <c r="F119">
        <v>17324.3126112725</v>
      </c>
      <c r="G119">
        <v>17224.801987609</v>
      </c>
      <c r="H119">
        <v>28623.171576205601</v>
      </c>
      <c r="I119">
        <v>20403.865216586499</v>
      </c>
      <c r="J119">
        <v>2731.7995139579598</v>
      </c>
      <c r="K119">
        <v>3096.0729946443698</v>
      </c>
      <c r="L119">
        <v>1283.49219729994</v>
      </c>
      <c r="M119">
        <v>15548.1215754681</v>
      </c>
      <c r="N119">
        <v>5440.0713653835001</v>
      </c>
      <c r="O119">
        <v>1249.9172933176601</v>
      </c>
      <c r="P119">
        <v>3661.52962047244</v>
      </c>
      <c r="Q119">
        <v>13208.907478595</v>
      </c>
      <c r="R119">
        <v>1549.7627512706699</v>
      </c>
      <c r="S119">
        <v>274.81994398908898</v>
      </c>
      <c r="T119">
        <v>488.15583650740399</v>
      </c>
      <c r="U119">
        <v>130.30740812339201</v>
      </c>
      <c r="V119">
        <v>395.229856164507</v>
      </c>
      <c r="W119">
        <v>119.66705392746699</v>
      </c>
      <c r="X119">
        <v>146.738652562384</v>
      </c>
      <c r="Y119">
        <v>984.56128893829305</v>
      </c>
      <c r="Z119">
        <v>142.29355300229199</v>
      </c>
      <c r="AA119">
        <v>784.94497053895202</v>
      </c>
      <c r="AB119">
        <v>1094.2242459192501</v>
      </c>
      <c r="AC119">
        <v>691.57957969347206</v>
      </c>
      <c r="AD119">
        <v>1061.8735315603101</v>
      </c>
      <c r="AE119">
        <v>790.93643291514104</v>
      </c>
      <c r="AF119">
        <v>548.05529753730696</v>
      </c>
      <c r="AG119">
        <v>882.224851878555</v>
      </c>
    </row>
    <row r="120" spans="1:33" x14ac:dyDescent="0.25">
      <c r="A120" s="1">
        <v>44171</v>
      </c>
      <c r="B120">
        <v>13877.2607267395</v>
      </c>
      <c r="C120">
        <v>12550.455697233199</v>
      </c>
      <c r="D120">
        <v>12073.713792664899</v>
      </c>
      <c r="E120">
        <v>14130.4479279346</v>
      </c>
      <c r="F120">
        <v>17265.051247482199</v>
      </c>
      <c r="G120">
        <v>16787.053883343</v>
      </c>
      <c r="H120">
        <v>28094.3041051482</v>
      </c>
      <c r="I120">
        <v>20408.5361236194</v>
      </c>
      <c r="J120">
        <v>2715.5481846539001</v>
      </c>
      <c r="K120">
        <v>2911.2334732274899</v>
      </c>
      <c r="L120">
        <v>1277.9054304154499</v>
      </c>
      <c r="M120">
        <v>15017.4804697041</v>
      </c>
      <c r="N120">
        <v>4788.74333003832</v>
      </c>
      <c r="O120">
        <v>1240.6672986685101</v>
      </c>
      <c r="P120">
        <v>3415.0817662473501</v>
      </c>
      <c r="Q120">
        <v>12713.107764452299</v>
      </c>
      <c r="R120">
        <v>1514.5104602408001</v>
      </c>
      <c r="S120">
        <v>272.76017141529599</v>
      </c>
      <c r="T120">
        <v>388.88076057487302</v>
      </c>
      <c r="U120">
        <v>130.06757129895701</v>
      </c>
      <c r="V120">
        <v>261.51749416534102</v>
      </c>
      <c r="W120">
        <v>129.03432033311</v>
      </c>
      <c r="X120">
        <v>134.89243492832401</v>
      </c>
      <c r="Y120">
        <v>959.86885513479206</v>
      </c>
      <c r="Z120">
        <v>143.27300676294399</v>
      </c>
      <c r="AA120">
        <v>788.29186963613199</v>
      </c>
      <c r="AB120">
        <v>1092.42855734303</v>
      </c>
      <c r="AC120">
        <v>698.55851346952397</v>
      </c>
      <c r="AD120">
        <v>1036.7658546171101</v>
      </c>
      <c r="AE120">
        <v>781.69902685980696</v>
      </c>
      <c r="AF120">
        <v>552.31343491514701</v>
      </c>
      <c r="AG120">
        <v>888.43981422572904</v>
      </c>
    </row>
    <row r="121" spans="1:33" x14ac:dyDescent="0.25">
      <c r="A121" s="1">
        <v>44172</v>
      </c>
      <c r="B121">
        <v>13831.750929609299</v>
      </c>
      <c r="C121">
        <v>12540.440128927699</v>
      </c>
      <c r="D121">
        <v>12096.520215066201</v>
      </c>
      <c r="E121">
        <v>14002.692190301699</v>
      </c>
      <c r="F121">
        <v>16870.317134154498</v>
      </c>
      <c r="G121">
        <v>16127.9686524145</v>
      </c>
      <c r="H121">
        <v>27314.6580931305</v>
      </c>
      <c r="I121">
        <v>20274.238003377101</v>
      </c>
      <c r="J121">
        <v>2697.7423421643198</v>
      </c>
      <c r="K121">
        <v>2761.8377087171202</v>
      </c>
      <c r="L121">
        <v>1175.09033435572</v>
      </c>
      <c r="M121">
        <v>14226.9202592659</v>
      </c>
      <c r="N121">
        <v>3870.5433903274802</v>
      </c>
      <c r="O121">
        <v>1211.19386562512</v>
      </c>
      <c r="P121">
        <v>3202.61566926874</v>
      </c>
      <c r="Q121">
        <v>11930.480046836399</v>
      </c>
      <c r="R121">
        <v>1442.4079982385699</v>
      </c>
      <c r="S121">
        <v>271.62438780861299</v>
      </c>
      <c r="T121">
        <v>331.34721906272802</v>
      </c>
      <c r="U121">
        <v>129.666459619872</v>
      </c>
      <c r="V121">
        <v>210.894479624973</v>
      </c>
      <c r="W121">
        <v>135.733271328283</v>
      </c>
      <c r="X121">
        <v>133.05971085597301</v>
      </c>
      <c r="Y121">
        <v>894.09453079940602</v>
      </c>
      <c r="Z121">
        <v>144.54165000024599</v>
      </c>
      <c r="AA121">
        <v>794.88442092872003</v>
      </c>
      <c r="AB121">
        <v>1045.84885120583</v>
      </c>
      <c r="AC121">
        <v>709.93359683373296</v>
      </c>
      <c r="AD121">
        <v>986.29726687351501</v>
      </c>
      <c r="AE121">
        <v>772.577677086834</v>
      </c>
      <c r="AF121">
        <v>560.22058240233503</v>
      </c>
      <c r="AG121">
        <v>891.137424009759</v>
      </c>
    </row>
    <row r="122" spans="1:33" x14ac:dyDescent="0.25">
      <c r="A122" s="1">
        <v>44173</v>
      </c>
      <c r="B122">
        <v>13819.7087776717</v>
      </c>
      <c r="C122">
        <v>11748.653295906301</v>
      </c>
      <c r="D122">
        <v>12121.9273049576</v>
      </c>
      <c r="E122">
        <v>14054.6121607776</v>
      </c>
      <c r="F122">
        <v>16871.7691082042</v>
      </c>
      <c r="G122">
        <v>16169.7260620344</v>
      </c>
      <c r="H122">
        <v>27512.532681554399</v>
      </c>
      <c r="I122">
        <v>20144.440333089999</v>
      </c>
      <c r="J122">
        <v>2679.5377741063398</v>
      </c>
      <c r="K122">
        <v>2687.0092973514602</v>
      </c>
      <c r="L122">
        <v>1199.4587009485599</v>
      </c>
      <c r="M122">
        <v>14241.613146404899</v>
      </c>
      <c r="N122">
        <v>4013.3814780785501</v>
      </c>
      <c r="O122">
        <v>1217.94365823366</v>
      </c>
      <c r="P122">
        <v>3105.3091927905898</v>
      </c>
      <c r="Q122">
        <v>11991.0006669417</v>
      </c>
      <c r="R122">
        <v>1436.67994485893</v>
      </c>
      <c r="S122">
        <v>269.48394679329499</v>
      </c>
      <c r="T122">
        <v>335.40513075071999</v>
      </c>
      <c r="U122">
        <v>129.98495949863101</v>
      </c>
      <c r="V122">
        <v>296.21485790143697</v>
      </c>
      <c r="W122">
        <v>133.38107475502801</v>
      </c>
      <c r="X122">
        <v>164.62632324746301</v>
      </c>
      <c r="Y122">
        <v>897.21228870569405</v>
      </c>
      <c r="Z122">
        <v>145.674694674091</v>
      </c>
      <c r="AA122">
        <v>797.29341942690598</v>
      </c>
      <c r="AB122">
        <v>1035.82144797109</v>
      </c>
      <c r="AC122">
        <v>719.56876788630598</v>
      </c>
      <c r="AD122">
        <v>992.63028791280897</v>
      </c>
      <c r="AE122">
        <v>783.49202931973002</v>
      </c>
      <c r="AF122">
        <v>565.88587592632803</v>
      </c>
      <c r="AG122">
        <v>890.90197752435404</v>
      </c>
    </row>
    <row r="123" spans="1:33" x14ac:dyDescent="0.25">
      <c r="A123" s="1">
        <v>44174</v>
      </c>
      <c r="B123">
        <v>13883.548052129299</v>
      </c>
      <c r="C123">
        <v>11519.6266173476</v>
      </c>
      <c r="D123">
        <v>12181.743730391399</v>
      </c>
      <c r="E123">
        <v>14060.5982965844</v>
      </c>
      <c r="F123">
        <v>16996.201392352399</v>
      </c>
      <c r="G123">
        <v>16201.9316854109</v>
      </c>
      <c r="H123">
        <v>27448.300033482799</v>
      </c>
      <c r="I123">
        <v>20100.921992875901</v>
      </c>
      <c r="J123">
        <v>2664.53109964032</v>
      </c>
      <c r="K123">
        <v>2654.0084075285799</v>
      </c>
      <c r="L123">
        <v>1236.24842379862</v>
      </c>
      <c r="M123">
        <v>14179.915107239</v>
      </c>
      <c r="N123">
        <v>3999.53354736744</v>
      </c>
      <c r="O123">
        <v>1203.84273844366</v>
      </c>
      <c r="P123">
        <v>3051.9834172554902</v>
      </c>
      <c r="Q123">
        <v>11980.918810703301</v>
      </c>
      <c r="R123">
        <v>1427.82267080524</v>
      </c>
      <c r="S123">
        <v>267.42814296429401</v>
      </c>
      <c r="T123">
        <v>328.11414769541199</v>
      </c>
      <c r="U123">
        <v>130.40542593222801</v>
      </c>
      <c r="V123">
        <v>300.17653560453499</v>
      </c>
      <c r="W123">
        <v>139.34268562503701</v>
      </c>
      <c r="X123">
        <v>173.24510474518499</v>
      </c>
      <c r="Y123">
        <v>922.76793569513404</v>
      </c>
      <c r="Z123">
        <v>146.99038674025201</v>
      </c>
      <c r="AA123">
        <v>802.84392684256704</v>
      </c>
      <c r="AB123">
        <v>1039.4756188706399</v>
      </c>
      <c r="AC123">
        <v>720.24414056935598</v>
      </c>
      <c r="AD123">
        <v>997.930491015543</v>
      </c>
      <c r="AE123">
        <v>799.04439338463203</v>
      </c>
      <c r="AF123">
        <v>570.46117431160997</v>
      </c>
      <c r="AG123">
        <v>889.33021200989504</v>
      </c>
    </row>
    <row r="124" spans="1:33" x14ac:dyDescent="0.25">
      <c r="A124" s="1">
        <v>44175</v>
      </c>
      <c r="B124">
        <v>13959.285127712001</v>
      </c>
      <c r="C124">
        <v>11456.940750531199</v>
      </c>
      <c r="D124">
        <v>12182.0949022726</v>
      </c>
      <c r="E124">
        <v>14236.1441221155</v>
      </c>
      <c r="F124">
        <v>17404.334110381202</v>
      </c>
      <c r="G124">
        <v>16937.9786362411</v>
      </c>
      <c r="H124">
        <v>28343.004894608301</v>
      </c>
      <c r="I124">
        <v>20146.253797418402</v>
      </c>
      <c r="J124">
        <v>2681.9909209464199</v>
      </c>
      <c r="K124">
        <v>2754.36605735701</v>
      </c>
      <c r="L124">
        <v>1271.3866603479801</v>
      </c>
      <c r="M124">
        <v>14921.7446990765</v>
      </c>
      <c r="N124">
        <v>4630.7209062286502</v>
      </c>
      <c r="O124">
        <v>1289.59333219257</v>
      </c>
      <c r="P124">
        <v>3187.0507112282799</v>
      </c>
      <c r="Q124">
        <v>12756.7565796459</v>
      </c>
      <c r="R124">
        <v>1489.74421431731</v>
      </c>
      <c r="S124">
        <v>264.386224925514</v>
      </c>
      <c r="T124">
        <v>387.75247651630002</v>
      </c>
      <c r="U124">
        <v>130.37523501554401</v>
      </c>
      <c r="V124">
        <v>382.69698605504402</v>
      </c>
      <c r="W124">
        <v>140.49722548500901</v>
      </c>
      <c r="X124">
        <v>206.46309068241499</v>
      </c>
      <c r="Y124">
        <v>970.57822015966099</v>
      </c>
      <c r="Z124">
        <v>148.15787017116699</v>
      </c>
      <c r="AA124">
        <v>799.49661774632102</v>
      </c>
      <c r="AB124">
        <v>1094.7345781573299</v>
      </c>
      <c r="AC124">
        <v>718.17767255301396</v>
      </c>
      <c r="AD124">
        <v>1030.69139243069</v>
      </c>
      <c r="AE124">
        <v>801.14514962387898</v>
      </c>
      <c r="AF124">
        <v>572.62997007404795</v>
      </c>
      <c r="AG124">
        <v>884.80631542364597</v>
      </c>
    </row>
    <row r="125" spans="1:33" x14ac:dyDescent="0.25">
      <c r="A125" s="1">
        <v>44176</v>
      </c>
      <c r="B125">
        <v>13992.010740325401</v>
      </c>
      <c r="C125">
        <v>12144.3896916579</v>
      </c>
      <c r="D125">
        <v>12005.246065035601</v>
      </c>
      <c r="E125">
        <v>14250.2749589573</v>
      </c>
      <c r="F125">
        <v>17525.279823036501</v>
      </c>
      <c r="G125">
        <v>16659.960344184801</v>
      </c>
      <c r="H125">
        <v>28146.829052363501</v>
      </c>
      <c r="I125">
        <v>20295.348032181701</v>
      </c>
      <c r="J125">
        <v>2691.7871617086498</v>
      </c>
      <c r="K125">
        <v>2712.1255804221901</v>
      </c>
      <c r="L125">
        <v>1279.4884117565</v>
      </c>
      <c r="M125">
        <v>14774.909863769301</v>
      </c>
      <c r="N125">
        <v>4718.7509110191804</v>
      </c>
      <c r="O125">
        <v>1245.2081251050699</v>
      </c>
      <c r="P125">
        <v>3110.69618614822</v>
      </c>
      <c r="Q125">
        <v>12491.1917854477</v>
      </c>
      <c r="R125">
        <v>1473.3481019573801</v>
      </c>
      <c r="S125">
        <v>263.11020717601099</v>
      </c>
      <c r="T125">
        <v>398.97759199372399</v>
      </c>
      <c r="U125">
        <v>130.86128004941301</v>
      </c>
      <c r="V125">
        <v>383.30362825117697</v>
      </c>
      <c r="W125">
        <v>141.06480964348299</v>
      </c>
      <c r="X125">
        <v>197.15557986305399</v>
      </c>
      <c r="Y125">
        <v>954.06596595173801</v>
      </c>
      <c r="Z125">
        <v>150.17084440730099</v>
      </c>
      <c r="AA125">
        <v>809.88709996973103</v>
      </c>
      <c r="AB125">
        <v>1073.4330983407399</v>
      </c>
      <c r="AC125">
        <v>716.47107530842402</v>
      </c>
      <c r="AD125">
        <v>1031.5155885843701</v>
      </c>
      <c r="AE125">
        <v>821.80834047650796</v>
      </c>
      <c r="AF125">
        <v>579.15927297466999</v>
      </c>
      <c r="AG125">
        <v>881.87251854457497</v>
      </c>
    </row>
    <row r="126" spans="1:33" x14ac:dyDescent="0.25">
      <c r="A126" s="1">
        <v>44177</v>
      </c>
      <c r="B126">
        <v>13944.840274243499</v>
      </c>
      <c r="C126">
        <v>11909.276665114199</v>
      </c>
      <c r="D126">
        <v>12088.6607182272</v>
      </c>
      <c r="E126">
        <v>14335.1349999908</v>
      </c>
      <c r="F126">
        <v>17619.159522249302</v>
      </c>
      <c r="G126">
        <v>17207.900068618899</v>
      </c>
      <c r="H126">
        <v>28465.0481036772</v>
      </c>
      <c r="I126">
        <v>20378.568472533501</v>
      </c>
      <c r="J126">
        <v>2682.5259409507898</v>
      </c>
      <c r="K126">
        <v>2802.5747549533398</v>
      </c>
      <c r="L126">
        <v>1259.6860293424199</v>
      </c>
      <c r="M126">
        <v>15242.268231027099</v>
      </c>
      <c r="N126">
        <v>5348.27526705122</v>
      </c>
      <c r="O126">
        <v>1255.0483532942201</v>
      </c>
      <c r="P126">
        <v>3250.5885648975</v>
      </c>
      <c r="Q126">
        <v>13234.2307121711</v>
      </c>
      <c r="R126">
        <v>1497.6232825171801</v>
      </c>
      <c r="S126">
        <v>259.13484103526503</v>
      </c>
      <c r="T126">
        <v>484.03592851673699</v>
      </c>
      <c r="U126">
        <v>130.400830102009</v>
      </c>
      <c r="V126">
        <v>472.40883300702001</v>
      </c>
      <c r="W126">
        <v>143.17636831729999</v>
      </c>
      <c r="X126">
        <v>231.078838333091</v>
      </c>
      <c r="Y126">
        <v>956.18017103889599</v>
      </c>
      <c r="Z126">
        <v>153.84909229833301</v>
      </c>
      <c r="AA126">
        <v>809.36774745560604</v>
      </c>
      <c r="AB126">
        <v>1072.2797542788401</v>
      </c>
      <c r="AC126">
        <v>720.81055856528201</v>
      </c>
      <c r="AD126">
        <v>1051.1621700028199</v>
      </c>
      <c r="AE126">
        <v>819.42037322366502</v>
      </c>
      <c r="AF126">
        <v>582.78033654233104</v>
      </c>
      <c r="AG126">
        <v>881.76975928993102</v>
      </c>
    </row>
    <row r="127" spans="1:33" x14ac:dyDescent="0.25">
      <c r="A127" s="1">
        <v>44178</v>
      </c>
      <c r="B127">
        <v>13853.7040229503</v>
      </c>
      <c r="C127">
        <v>11867.4088979724</v>
      </c>
      <c r="D127">
        <v>12184.1429547032</v>
      </c>
      <c r="E127">
        <v>14448.706584945099</v>
      </c>
      <c r="F127">
        <v>17477.709177426899</v>
      </c>
      <c r="G127">
        <v>17332.985725669299</v>
      </c>
      <c r="H127">
        <v>28251.378054624402</v>
      </c>
      <c r="I127">
        <v>20507.4635761711</v>
      </c>
      <c r="J127">
        <v>2662.4235036652899</v>
      </c>
      <c r="K127">
        <v>2837.3383075802099</v>
      </c>
      <c r="L127">
        <v>1270.0623013152001</v>
      </c>
      <c r="M127">
        <v>15448.2919611135</v>
      </c>
      <c r="N127">
        <v>5704.0198134434504</v>
      </c>
      <c r="O127">
        <v>1219.13408568721</v>
      </c>
      <c r="P127">
        <v>3318.8404571177698</v>
      </c>
      <c r="Q127">
        <v>13375.617717504399</v>
      </c>
      <c r="R127">
        <v>1462.6441606045601</v>
      </c>
      <c r="S127">
        <v>258.57890450411099</v>
      </c>
      <c r="T127">
        <v>591.18060849236497</v>
      </c>
      <c r="U127">
        <v>130.72672301186</v>
      </c>
      <c r="V127">
        <v>628.009092925544</v>
      </c>
      <c r="W127">
        <v>147.04206248640901</v>
      </c>
      <c r="X127">
        <v>353.95271906112998</v>
      </c>
      <c r="Y127">
        <v>938.11451709918094</v>
      </c>
      <c r="Z127">
        <v>162.12337692509499</v>
      </c>
      <c r="AA127">
        <v>820.01961830184996</v>
      </c>
      <c r="AB127">
        <v>1041.75217931524</v>
      </c>
      <c r="AC127">
        <v>731.86856134240895</v>
      </c>
      <c r="AD127">
        <v>1070.46996074359</v>
      </c>
      <c r="AE127">
        <v>747.65339716052404</v>
      </c>
      <c r="AF127">
        <v>592.69814491272996</v>
      </c>
      <c r="AG127">
        <v>892.97009074232005</v>
      </c>
    </row>
    <row r="128" spans="1:33" x14ac:dyDescent="0.25">
      <c r="A128" s="1">
        <v>44179</v>
      </c>
      <c r="B128">
        <v>13817.8096476395</v>
      </c>
      <c r="C128">
        <v>11806.164041296401</v>
      </c>
      <c r="D128">
        <v>12013.9646158669</v>
      </c>
      <c r="E128">
        <v>14256.659875439</v>
      </c>
      <c r="F128">
        <v>17638.379078194801</v>
      </c>
      <c r="G128">
        <v>16689.266621809398</v>
      </c>
      <c r="H128">
        <v>27917.069102121299</v>
      </c>
      <c r="I128">
        <v>20605.828690664999</v>
      </c>
      <c r="J128">
        <v>2641.8249710074001</v>
      </c>
      <c r="K128">
        <v>2724.9706984877798</v>
      </c>
      <c r="L128">
        <v>1264.28243987264</v>
      </c>
      <c r="M128">
        <v>14924.079231411601</v>
      </c>
      <c r="N128">
        <v>5193.95703241508</v>
      </c>
      <c r="O128">
        <v>1201.8606734227999</v>
      </c>
      <c r="P128">
        <v>3148.81211636937</v>
      </c>
      <c r="Q128">
        <v>12918.0873443295</v>
      </c>
      <c r="R128">
        <v>1428.25736385761</v>
      </c>
      <c r="S128">
        <v>257.65409429908698</v>
      </c>
      <c r="T128">
        <v>536.80406890680604</v>
      </c>
      <c r="U128">
        <v>130.89825328711001</v>
      </c>
      <c r="V128">
        <v>464.51391797741201</v>
      </c>
      <c r="W128">
        <v>153.212175503933</v>
      </c>
      <c r="X128">
        <v>228.49305394114899</v>
      </c>
      <c r="Y128">
        <v>935.88314809288795</v>
      </c>
      <c r="Z128">
        <v>173.25446393096701</v>
      </c>
      <c r="AA128">
        <v>832.42091062155896</v>
      </c>
      <c r="AB128">
        <v>1051.04951348699</v>
      </c>
      <c r="AC128">
        <v>746.899546216678</v>
      </c>
      <c r="AD128">
        <v>1048.6029038760801</v>
      </c>
      <c r="AE128">
        <v>713.82394477943501</v>
      </c>
      <c r="AF128">
        <v>602.609978355095</v>
      </c>
      <c r="AG128">
        <v>906.15545967035496</v>
      </c>
    </row>
    <row r="129" spans="1:33" x14ac:dyDescent="0.25">
      <c r="A129" s="1">
        <v>44180</v>
      </c>
      <c r="B129">
        <v>13787.0255768885</v>
      </c>
      <c r="C129">
        <v>11556.2721427004</v>
      </c>
      <c r="D129">
        <v>12079.4439480288</v>
      </c>
      <c r="E129">
        <v>14290.446600442399</v>
      </c>
      <c r="F129">
        <v>16680.734393543102</v>
      </c>
      <c r="G129">
        <v>15825.599990016</v>
      </c>
      <c r="H129">
        <v>27189.676506330201</v>
      </c>
      <c r="I129">
        <v>20259.126331361502</v>
      </c>
      <c r="J129">
        <v>2577.46094856749</v>
      </c>
      <c r="K129">
        <v>2599.9969198663498</v>
      </c>
      <c r="L129">
        <v>1216.52459414186</v>
      </c>
      <c r="M129">
        <v>14139.0467638471</v>
      </c>
      <c r="N129">
        <v>4747.7195916451001</v>
      </c>
      <c r="O129">
        <v>1101.907873036</v>
      </c>
      <c r="P129">
        <v>2982.8775299127701</v>
      </c>
      <c r="Q129">
        <v>12066.675360689</v>
      </c>
      <c r="R129">
        <v>1333.6221125081499</v>
      </c>
      <c r="S129">
        <v>258.026089401852</v>
      </c>
      <c r="T129">
        <v>505.83334717952698</v>
      </c>
      <c r="U129">
        <v>134.20613046392501</v>
      </c>
      <c r="V129">
        <v>441.73124911799101</v>
      </c>
      <c r="W129">
        <v>150.27490459550901</v>
      </c>
      <c r="X129">
        <v>231.196608331173</v>
      </c>
      <c r="Y129">
        <v>915.54501545657297</v>
      </c>
      <c r="Z129">
        <v>183.100955108845</v>
      </c>
      <c r="AA129">
        <v>837.57325237848897</v>
      </c>
      <c r="AB129">
        <v>1004.13183541587</v>
      </c>
      <c r="AC129">
        <v>702.54333326175504</v>
      </c>
      <c r="AD129">
        <v>1020.0234318192601</v>
      </c>
      <c r="AE129">
        <v>723.23972200773403</v>
      </c>
      <c r="AF129">
        <v>618.52285006385</v>
      </c>
      <c r="AG129">
        <v>925.54753873321704</v>
      </c>
    </row>
    <row r="130" spans="1:33" x14ac:dyDescent="0.25">
      <c r="A130" s="1">
        <v>44181</v>
      </c>
      <c r="B130">
        <v>13745.840636814801</v>
      </c>
      <c r="C130">
        <v>10864.1445549331</v>
      </c>
      <c r="D130">
        <v>12061.937181331399</v>
      </c>
      <c r="E130">
        <v>14281.881242559601</v>
      </c>
      <c r="F130">
        <v>16149.0211828232</v>
      </c>
      <c r="G130">
        <v>15288.3464947752</v>
      </c>
      <c r="H130">
        <v>26632.445000949501</v>
      </c>
      <c r="I130">
        <v>19842.051959793</v>
      </c>
      <c r="J130">
        <v>2511.2712852170498</v>
      </c>
      <c r="K130">
        <v>2497.9931669533798</v>
      </c>
      <c r="L130">
        <v>1186.2297415997</v>
      </c>
      <c r="M130">
        <v>13577.9773044591</v>
      </c>
      <c r="N130">
        <v>4429.7313089654299</v>
      </c>
      <c r="O130">
        <v>1050.3577046042301</v>
      </c>
      <c r="P130">
        <v>2860.25784682427</v>
      </c>
      <c r="Q130">
        <v>11509.5692121425</v>
      </c>
      <c r="R130">
        <v>1286.8963791670501</v>
      </c>
      <c r="S130">
        <v>258.60866059212299</v>
      </c>
      <c r="T130">
        <v>475.46825330393301</v>
      </c>
      <c r="U130">
        <v>145.01405370601</v>
      </c>
      <c r="V130">
        <v>420.99759125964403</v>
      </c>
      <c r="W130">
        <v>149.24788410581399</v>
      </c>
      <c r="X130">
        <v>222.30583653143501</v>
      </c>
      <c r="Y130">
        <v>918.29213823736802</v>
      </c>
      <c r="Z130">
        <v>189.92909562295401</v>
      </c>
      <c r="AA130">
        <v>842.54375167515104</v>
      </c>
      <c r="AB130">
        <v>1002.04346558236</v>
      </c>
      <c r="AC130">
        <v>658.22484387597797</v>
      </c>
      <c r="AD130">
        <v>998.96309732797897</v>
      </c>
      <c r="AE130">
        <v>748.04710754571897</v>
      </c>
      <c r="AF130">
        <v>631.23707551585505</v>
      </c>
      <c r="AG130">
        <v>943.18265462003899</v>
      </c>
    </row>
    <row r="131" spans="1:33" x14ac:dyDescent="0.25">
      <c r="A131" s="1">
        <v>44182</v>
      </c>
      <c r="B131">
        <v>13739.525145887401</v>
      </c>
      <c r="C131">
        <v>10322.029093503101</v>
      </c>
      <c r="D131">
        <v>11920.821876271701</v>
      </c>
      <c r="E131">
        <v>14279.576298598</v>
      </c>
      <c r="F131">
        <v>16205.9989305902</v>
      </c>
      <c r="G131">
        <v>15749.844868766801</v>
      </c>
      <c r="H131">
        <v>27901.3368448207</v>
      </c>
      <c r="I131">
        <v>19533.082273698899</v>
      </c>
      <c r="J131">
        <v>2465.72994234725</v>
      </c>
      <c r="K131">
        <v>2517.0589353999499</v>
      </c>
      <c r="L131">
        <v>1191.68443276936</v>
      </c>
      <c r="M131">
        <v>14131.953214093701</v>
      </c>
      <c r="N131">
        <v>4813.5874181005302</v>
      </c>
      <c r="O131">
        <v>1089.3922930306101</v>
      </c>
      <c r="P131">
        <v>2892.2907383618199</v>
      </c>
      <c r="Q131">
        <v>11814.904948056799</v>
      </c>
      <c r="R131">
        <v>1324.22952758926</v>
      </c>
      <c r="S131">
        <v>259.10883218094</v>
      </c>
      <c r="T131">
        <v>520.06169534781895</v>
      </c>
      <c r="U131">
        <v>152.73781500055</v>
      </c>
      <c r="V131">
        <v>440.97028091547298</v>
      </c>
      <c r="W131">
        <v>149.79797510278601</v>
      </c>
      <c r="X131">
        <v>193.56083041638001</v>
      </c>
      <c r="Y131">
        <v>951.93723328369299</v>
      </c>
      <c r="Z131">
        <v>194.79992253654399</v>
      </c>
      <c r="AA131">
        <v>842.49222444191003</v>
      </c>
      <c r="AB131">
        <v>1032.17263885645</v>
      </c>
      <c r="AC131">
        <v>657.04944163828304</v>
      </c>
      <c r="AD131">
        <v>1003.67786234511</v>
      </c>
      <c r="AE131">
        <v>758.519448556876</v>
      </c>
      <c r="AF131">
        <v>637.67224387521605</v>
      </c>
      <c r="AG131">
        <v>963.52459708475101</v>
      </c>
    </row>
    <row r="132" spans="1:33" x14ac:dyDescent="0.25">
      <c r="A132" s="1">
        <v>44183</v>
      </c>
      <c r="B132">
        <v>13680.0191572124</v>
      </c>
      <c r="C132">
        <v>11233.194279478699</v>
      </c>
      <c r="D132">
        <v>11481.862900557901</v>
      </c>
      <c r="E132">
        <v>13978.4030179116</v>
      </c>
      <c r="F132">
        <v>15556.1839421432</v>
      </c>
      <c r="G132">
        <v>14287.2622714918</v>
      </c>
      <c r="H132">
        <v>25980.537607067901</v>
      </c>
      <c r="I132">
        <v>19347.410979325799</v>
      </c>
      <c r="J132">
        <v>2427.8752968420199</v>
      </c>
      <c r="K132">
        <v>2321.8920581428001</v>
      </c>
      <c r="L132">
        <v>1148.6447581085999</v>
      </c>
      <c r="M132">
        <v>12640.2580257849</v>
      </c>
      <c r="N132">
        <v>3767.38579489926</v>
      </c>
      <c r="O132">
        <v>993.65605731183996</v>
      </c>
      <c r="P132">
        <v>2643.8958145675401</v>
      </c>
      <c r="Q132">
        <v>10490.6339525122</v>
      </c>
      <c r="R132">
        <v>1222.5773207264599</v>
      </c>
      <c r="S132">
        <v>258.71820992448602</v>
      </c>
      <c r="T132">
        <v>393.412297306158</v>
      </c>
      <c r="U132">
        <v>148.44315198792</v>
      </c>
      <c r="V132">
        <v>281.03469420437199</v>
      </c>
      <c r="W132">
        <v>146.15537725058201</v>
      </c>
      <c r="X132">
        <v>153.80724645942001</v>
      </c>
      <c r="Y132">
        <v>875.17895179167601</v>
      </c>
      <c r="Z132">
        <v>194.55559792912001</v>
      </c>
      <c r="AA132">
        <v>851.385660058795</v>
      </c>
      <c r="AB132">
        <v>969.74773644683398</v>
      </c>
      <c r="AC132">
        <v>660.595338444194</v>
      </c>
      <c r="AD132">
        <v>961.034095092504</v>
      </c>
      <c r="AE132">
        <v>757.16978999119101</v>
      </c>
      <c r="AF132">
        <v>652.39716413055896</v>
      </c>
      <c r="AG132">
        <v>970.53043555582599</v>
      </c>
    </row>
    <row r="133" spans="1:33" x14ac:dyDescent="0.25">
      <c r="A133" s="1">
        <v>44184</v>
      </c>
      <c r="B133">
        <v>13585.2898471846</v>
      </c>
      <c r="C133">
        <v>9963.5745855786408</v>
      </c>
      <c r="D133">
        <v>11071.638585522</v>
      </c>
      <c r="E133">
        <v>13599.5972672559</v>
      </c>
      <c r="F133">
        <v>14659.4103056568</v>
      </c>
      <c r="G133">
        <v>13329.3623310928</v>
      </c>
      <c r="H133">
        <v>24746.1785893944</v>
      </c>
      <c r="I133">
        <v>18856.3994723469</v>
      </c>
      <c r="J133">
        <v>2384.6194245828501</v>
      </c>
      <c r="K133">
        <v>2148.7390946369301</v>
      </c>
      <c r="L133">
        <v>1105.4402654944099</v>
      </c>
      <c r="M133">
        <v>11567.6692223668</v>
      </c>
      <c r="N133">
        <v>2939.1987180859001</v>
      </c>
      <c r="O133">
        <v>914.92433659023197</v>
      </c>
      <c r="P133">
        <v>2410.5152366397901</v>
      </c>
      <c r="Q133">
        <v>9265.2828458183103</v>
      </c>
      <c r="R133">
        <v>1137.5865370700101</v>
      </c>
      <c r="S133">
        <v>259.229127689324</v>
      </c>
      <c r="T133">
        <v>311.87932722798001</v>
      </c>
      <c r="U133">
        <v>182.07268735877599</v>
      </c>
      <c r="V133">
        <v>205.07180458838999</v>
      </c>
      <c r="W133">
        <v>145.561519468222</v>
      </c>
      <c r="X133">
        <v>151.23775013438799</v>
      </c>
      <c r="Y133">
        <v>834.55876772245904</v>
      </c>
      <c r="Z133">
        <v>191.83173394031701</v>
      </c>
      <c r="AA133">
        <v>853.78952653859596</v>
      </c>
      <c r="AB133">
        <v>936.02392150490505</v>
      </c>
      <c r="AC133">
        <v>669.24383801096405</v>
      </c>
      <c r="AD133">
        <v>925.52198006727599</v>
      </c>
      <c r="AE133">
        <v>774.41645334446196</v>
      </c>
      <c r="AF133">
        <v>667.69761016433097</v>
      </c>
      <c r="AG133">
        <v>979.18632841969895</v>
      </c>
    </row>
    <row r="134" spans="1:33" x14ac:dyDescent="0.25">
      <c r="A134" s="1">
        <v>44185</v>
      </c>
      <c r="B134">
        <v>13401.9532240507</v>
      </c>
      <c r="C134">
        <v>8870.0458776633404</v>
      </c>
      <c r="D134">
        <v>10932.6994111727</v>
      </c>
      <c r="E134">
        <v>13301.113855838201</v>
      </c>
      <c r="F134">
        <v>13767.185248735999</v>
      </c>
      <c r="G134">
        <v>12687.5887454486</v>
      </c>
      <c r="H134">
        <v>24518.0659899606</v>
      </c>
      <c r="I134">
        <v>18290.9037670855</v>
      </c>
      <c r="J134">
        <v>2338.1322982342299</v>
      </c>
      <c r="K134">
        <v>2023.5460427059199</v>
      </c>
      <c r="L134">
        <v>1063.81660881472</v>
      </c>
      <c r="M134">
        <v>10937.7230621984</v>
      </c>
      <c r="N134">
        <v>2480.4838015679002</v>
      </c>
      <c r="O134">
        <v>864.57804287813894</v>
      </c>
      <c r="P134">
        <v>2250.1553413174202</v>
      </c>
      <c r="Q134">
        <v>8613.0119681216202</v>
      </c>
      <c r="R134">
        <v>1078.3720869024</v>
      </c>
      <c r="S134">
        <v>259.56685762129399</v>
      </c>
      <c r="T134">
        <v>279.39801438341198</v>
      </c>
      <c r="U134">
        <v>181.234296738214</v>
      </c>
      <c r="V134">
        <v>194.000633112488</v>
      </c>
      <c r="W134">
        <v>158.90649867167701</v>
      </c>
      <c r="X134">
        <v>150.93347418402001</v>
      </c>
      <c r="Y134">
        <v>813.60668128417103</v>
      </c>
      <c r="Z134">
        <v>189.02127009231199</v>
      </c>
      <c r="AA134">
        <v>853.57152377136299</v>
      </c>
      <c r="AB134">
        <v>921.457762570412</v>
      </c>
      <c r="AC134">
        <v>688.98600274058799</v>
      </c>
      <c r="AD134">
        <v>898.17913491050899</v>
      </c>
      <c r="AE134">
        <v>792.86756104539597</v>
      </c>
      <c r="AF134">
        <v>680.17343951817099</v>
      </c>
      <c r="AG134">
        <v>983.98854454037405</v>
      </c>
    </row>
    <row r="135" spans="1:33" x14ac:dyDescent="0.25">
      <c r="A135" s="1">
        <v>44186</v>
      </c>
      <c r="B135">
        <v>13191.1104866401</v>
      </c>
      <c r="C135">
        <v>8213.6433689610894</v>
      </c>
      <c r="D135">
        <v>10715.5115414135</v>
      </c>
      <c r="E135">
        <v>13146.0948863782</v>
      </c>
      <c r="F135">
        <v>13733.125596534001</v>
      </c>
      <c r="G135">
        <v>12917.2119447573</v>
      </c>
      <c r="H135">
        <v>25483.914361986601</v>
      </c>
      <c r="I135">
        <v>17902.587923713199</v>
      </c>
      <c r="J135">
        <v>2298.9392755693998</v>
      </c>
      <c r="K135">
        <v>1981.12179541049</v>
      </c>
      <c r="L135">
        <v>1026.9372584339901</v>
      </c>
      <c r="M135">
        <v>11087.0484727115</v>
      </c>
      <c r="N135">
        <v>2402.67984091273</v>
      </c>
      <c r="O135">
        <v>886.871695635827</v>
      </c>
      <c r="P135">
        <v>2207.0546095888099</v>
      </c>
      <c r="Q135">
        <v>8842.3793612093905</v>
      </c>
      <c r="R135">
        <v>1085.23551852741</v>
      </c>
      <c r="S135">
        <v>259.70443246489299</v>
      </c>
      <c r="T135">
        <v>265.13856431769102</v>
      </c>
      <c r="U135">
        <v>188.43067102054999</v>
      </c>
      <c r="V135">
        <v>212.08478688907999</v>
      </c>
      <c r="W135">
        <v>154.80534106918401</v>
      </c>
      <c r="X135">
        <v>160.15620302917699</v>
      </c>
      <c r="Y135">
        <v>859.86394452330001</v>
      </c>
      <c r="Z135">
        <v>187.58747469613999</v>
      </c>
      <c r="AA135">
        <v>838.32508248653198</v>
      </c>
      <c r="AB135">
        <v>974.92414280255798</v>
      </c>
      <c r="AC135">
        <v>703.70567133599695</v>
      </c>
      <c r="AD135">
        <v>883.26800658977504</v>
      </c>
      <c r="AE135">
        <v>802.60074502523798</v>
      </c>
      <c r="AF135">
        <v>683.54366198119396</v>
      </c>
      <c r="AG135">
        <v>987.04379134525095</v>
      </c>
    </row>
    <row r="136" spans="1:33" x14ac:dyDescent="0.25">
      <c r="A136" s="1">
        <v>44187</v>
      </c>
      <c r="B136">
        <v>13067.5499762124</v>
      </c>
      <c r="C136">
        <v>8350.8362107024204</v>
      </c>
      <c r="D136">
        <v>10225.524014795101</v>
      </c>
      <c r="E136">
        <v>13032.403924050501</v>
      </c>
      <c r="F136">
        <v>13986.9556209288</v>
      </c>
      <c r="G136">
        <v>13079.5204934224</v>
      </c>
      <c r="H136">
        <v>25210.775408363501</v>
      </c>
      <c r="I136">
        <v>17713.486276638399</v>
      </c>
      <c r="J136">
        <v>2275.67738875858</v>
      </c>
      <c r="K136">
        <v>1936.3781104699499</v>
      </c>
      <c r="L136">
        <v>1017.17850582184</v>
      </c>
      <c r="M136">
        <v>11031.419587642</v>
      </c>
      <c r="N136">
        <v>2127.7071342558002</v>
      </c>
      <c r="O136">
        <v>909.31003111084794</v>
      </c>
      <c r="P136">
        <v>2143.1282998695801</v>
      </c>
      <c r="Q136">
        <v>8944.0197652017196</v>
      </c>
      <c r="R136">
        <v>1098.54396610598</v>
      </c>
      <c r="S136">
        <v>259.64673886648399</v>
      </c>
      <c r="T136">
        <v>242.48610518771599</v>
      </c>
      <c r="U136">
        <v>179.76961292454999</v>
      </c>
      <c r="V136">
        <v>194.826221693908</v>
      </c>
      <c r="W136">
        <v>145.07780798842199</v>
      </c>
      <c r="X136">
        <v>164.66091447544099</v>
      </c>
      <c r="Y136">
        <v>894.88667170079304</v>
      </c>
      <c r="Z136">
        <v>183.904353002226</v>
      </c>
      <c r="AA136">
        <v>833.59059069830505</v>
      </c>
      <c r="AB136">
        <v>1020.3277670407</v>
      </c>
      <c r="AC136">
        <v>726.58476821141801</v>
      </c>
      <c r="AD136">
        <v>867.85505828978</v>
      </c>
      <c r="AE136">
        <v>821.42060857971603</v>
      </c>
      <c r="AF136">
        <v>682.81409933324301</v>
      </c>
      <c r="AG136">
        <v>965.48899963748704</v>
      </c>
    </row>
    <row r="137" spans="1:33" x14ac:dyDescent="0.25">
      <c r="A137" s="1">
        <v>44188</v>
      </c>
      <c r="B137">
        <v>13026.457552940799</v>
      </c>
      <c r="C137">
        <v>8426.5935377250898</v>
      </c>
      <c r="D137">
        <v>9531.3634548236496</v>
      </c>
      <c r="E137">
        <v>12901.5809925379</v>
      </c>
      <c r="F137">
        <v>14090.608937885099</v>
      </c>
      <c r="G137">
        <v>12560.2805026684</v>
      </c>
      <c r="H137">
        <v>24375.0888573089</v>
      </c>
      <c r="I137">
        <v>17679.114465557999</v>
      </c>
      <c r="J137">
        <v>2250.2634796309499</v>
      </c>
      <c r="K137">
        <v>1874.8648035047599</v>
      </c>
      <c r="L137">
        <v>1001.08235743817</v>
      </c>
      <c r="M137">
        <v>10529.730531175301</v>
      </c>
      <c r="N137">
        <v>1856.2610872497401</v>
      </c>
      <c r="O137">
        <v>854.27150813261505</v>
      </c>
      <c r="P137">
        <v>2045.1492699129701</v>
      </c>
      <c r="Q137">
        <v>8305.0905830776301</v>
      </c>
      <c r="R137">
        <v>1067.26402828397</v>
      </c>
      <c r="S137">
        <v>260.104633877276</v>
      </c>
      <c r="T137">
        <v>223.20810999372</v>
      </c>
      <c r="U137">
        <v>202.597601441591</v>
      </c>
      <c r="V137">
        <v>180.19816548901301</v>
      </c>
      <c r="W137">
        <v>156.98740614812201</v>
      </c>
      <c r="X137">
        <v>157.63365277359401</v>
      </c>
      <c r="Y137">
        <v>891.91627509061504</v>
      </c>
      <c r="Z137">
        <v>178.75646726711301</v>
      </c>
      <c r="AA137">
        <v>833.52680793498996</v>
      </c>
      <c r="AB137">
        <v>981.36098766465705</v>
      </c>
      <c r="AC137">
        <v>748.84879742038095</v>
      </c>
      <c r="AD137">
        <v>846.71424938447501</v>
      </c>
      <c r="AE137">
        <v>832.35862006180605</v>
      </c>
      <c r="AF137">
        <v>681.05110287230502</v>
      </c>
      <c r="AG137">
        <v>926.90140440310097</v>
      </c>
    </row>
    <row r="138" spans="1:33" x14ac:dyDescent="0.25">
      <c r="A138" s="1">
        <v>44189</v>
      </c>
      <c r="B138">
        <v>12849.581123795901</v>
      </c>
      <c r="C138">
        <v>7556.7478368564598</v>
      </c>
      <c r="D138">
        <v>9140.0979427111997</v>
      </c>
      <c r="E138">
        <v>12731.659104697401</v>
      </c>
      <c r="F138">
        <v>14118.365095540301</v>
      </c>
      <c r="G138">
        <v>13034.1219293863</v>
      </c>
      <c r="H138">
        <v>25065.301108494699</v>
      </c>
      <c r="I138">
        <v>17643.762428782298</v>
      </c>
      <c r="J138">
        <v>2235.9040536657899</v>
      </c>
      <c r="K138">
        <v>1849.1462171793601</v>
      </c>
      <c r="L138">
        <v>938.24848452902404</v>
      </c>
      <c r="M138">
        <v>10771.5431869236</v>
      </c>
      <c r="N138">
        <v>1807.9819491548701</v>
      </c>
      <c r="O138">
        <v>858.192479623738</v>
      </c>
      <c r="P138">
        <v>2013.5536589565099</v>
      </c>
      <c r="Q138">
        <v>8474.6803661966296</v>
      </c>
      <c r="R138">
        <v>1069.6912246468801</v>
      </c>
      <c r="S138">
        <v>260.03080219640998</v>
      </c>
      <c r="T138">
        <v>211.02426277254199</v>
      </c>
      <c r="U138">
        <v>215.077692084728</v>
      </c>
      <c r="V138">
        <v>177.96963914477499</v>
      </c>
      <c r="W138">
        <v>157.37833345145199</v>
      </c>
      <c r="X138">
        <v>153.473813432371</v>
      </c>
      <c r="Y138">
        <v>853.38014822743401</v>
      </c>
      <c r="Z138">
        <v>175.81720196887099</v>
      </c>
      <c r="AA138">
        <v>802.27248676241595</v>
      </c>
      <c r="AB138">
        <v>979.39774627055294</v>
      </c>
      <c r="AC138">
        <v>762.290227461467</v>
      </c>
      <c r="AD138">
        <v>826.86802230453395</v>
      </c>
      <c r="AE138">
        <v>852.38886812792202</v>
      </c>
      <c r="AF138">
        <v>679.183480837601</v>
      </c>
      <c r="AG138">
        <v>886.63996757674897</v>
      </c>
    </row>
    <row r="139" spans="1:33" x14ac:dyDescent="0.25">
      <c r="A139" s="1">
        <v>44190</v>
      </c>
      <c r="B139">
        <v>12529.9620909449</v>
      </c>
      <c r="C139">
        <v>7761.4161514278503</v>
      </c>
      <c r="D139">
        <v>9169.2973378534698</v>
      </c>
      <c r="E139">
        <v>12643.0743237683</v>
      </c>
      <c r="F139">
        <v>15162.4742640368</v>
      </c>
      <c r="G139">
        <v>15630.0706024499</v>
      </c>
      <c r="H139">
        <v>28868.706832869499</v>
      </c>
      <c r="I139">
        <v>17663.5302483501</v>
      </c>
      <c r="J139">
        <v>2221.66898519806</v>
      </c>
      <c r="K139">
        <v>2032.98411695442</v>
      </c>
      <c r="L139">
        <v>997.74453452588205</v>
      </c>
      <c r="M139">
        <v>13419.1044569081</v>
      </c>
      <c r="N139">
        <v>3089.8753525792899</v>
      </c>
      <c r="O139">
        <v>1047.5552776633699</v>
      </c>
      <c r="P139">
        <v>2342.9680055619101</v>
      </c>
      <c r="Q139">
        <v>11151.209033180099</v>
      </c>
      <c r="R139">
        <v>1209.8165453997899</v>
      </c>
      <c r="S139">
        <v>258.13582876854701</v>
      </c>
      <c r="T139">
        <v>243.311836099229</v>
      </c>
      <c r="U139">
        <v>206.475663175617</v>
      </c>
      <c r="V139">
        <v>251.91644719259801</v>
      </c>
      <c r="W139">
        <v>162.64719516395499</v>
      </c>
      <c r="X139">
        <v>179.84132767543301</v>
      </c>
      <c r="Y139">
        <v>910.38346123635699</v>
      </c>
      <c r="Z139">
        <v>176.45612421413401</v>
      </c>
      <c r="AA139">
        <v>789.40455839918002</v>
      </c>
      <c r="AB139">
        <v>1027.4967856097901</v>
      </c>
      <c r="AC139">
        <v>767.46611985243101</v>
      </c>
      <c r="AD139">
        <v>870.89209291654697</v>
      </c>
      <c r="AE139">
        <v>864.491867949837</v>
      </c>
      <c r="AF139">
        <v>678.41154768702995</v>
      </c>
      <c r="AG139">
        <v>865.12287823237</v>
      </c>
    </row>
    <row r="140" spans="1:33" x14ac:dyDescent="0.25">
      <c r="A140" s="1">
        <v>44191</v>
      </c>
      <c r="B140">
        <v>12330.456368990501</v>
      </c>
      <c r="C140">
        <v>10362.467738604801</v>
      </c>
      <c r="D140">
        <v>8957.6849825177505</v>
      </c>
      <c r="E140">
        <v>12648.0156350288</v>
      </c>
      <c r="F140">
        <v>17001.691557557198</v>
      </c>
      <c r="G140">
        <v>17116.098236173399</v>
      </c>
      <c r="H140">
        <v>30242.919373625598</v>
      </c>
      <c r="I140">
        <v>18106.156410974902</v>
      </c>
      <c r="J140">
        <v>2215.82768967632</v>
      </c>
      <c r="K140">
        <v>2240.6337740949398</v>
      </c>
      <c r="L140">
        <v>1123.5287976407401</v>
      </c>
      <c r="M140">
        <v>14998.927200771701</v>
      </c>
      <c r="N140">
        <v>4383.3482346995097</v>
      </c>
      <c r="O140">
        <v>1133.3422603762699</v>
      </c>
      <c r="P140">
        <v>2681.8722870793899</v>
      </c>
      <c r="Q140">
        <v>12831.786082996099</v>
      </c>
      <c r="R140">
        <v>1311.41057109485</v>
      </c>
      <c r="S140">
        <v>254.805226900864</v>
      </c>
      <c r="T140">
        <v>294.09850028201998</v>
      </c>
      <c r="U140">
        <v>198.18506978880899</v>
      </c>
      <c r="V140">
        <v>295.345553228629</v>
      </c>
      <c r="W140">
        <v>157.25251691685099</v>
      </c>
      <c r="X140">
        <v>179.72486347870401</v>
      </c>
      <c r="Y140">
        <v>944.41708287708104</v>
      </c>
      <c r="Z140">
        <v>175.72929202259499</v>
      </c>
      <c r="AA140">
        <v>800.66662510177298</v>
      </c>
      <c r="AB140">
        <v>1057.96810108977</v>
      </c>
      <c r="AC140">
        <v>768.71116807485703</v>
      </c>
      <c r="AD140">
        <v>951.66863584857401</v>
      </c>
      <c r="AE140">
        <v>856.41491798062805</v>
      </c>
      <c r="AF140">
        <v>677.37282451650799</v>
      </c>
      <c r="AG140">
        <v>849.56015522987104</v>
      </c>
    </row>
    <row r="141" spans="1:33" x14ac:dyDescent="0.25">
      <c r="A141" s="1">
        <v>44192</v>
      </c>
      <c r="B141">
        <v>12226.0622010277</v>
      </c>
      <c r="C141">
        <v>11891.9102176131</v>
      </c>
      <c r="D141">
        <v>8927.1394771646792</v>
      </c>
      <c r="E141">
        <v>12529.922571339301</v>
      </c>
      <c r="F141">
        <v>17263.077888370299</v>
      </c>
      <c r="G141">
        <v>17048.748042924799</v>
      </c>
      <c r="H141">
        <v>29250.898195863399</v>
      </c>
      <c r="I141">
        <v>18834.886624463401</v>
      </c>
      <c r="J141">
        <v>2217.1552167254199</v>
      </c>
      <c r="K141">
        <v>2314.8299320258202</v>
      </c>
      <c r="L141">
        <v>1128.9619767962899</v>
      </c>
      <c r="M141">
        <v>15155.521313021</v>
      </c>
      <c r="N141">
        <v>4418.8158608209997</v>
      </c>
      <c r="O141">
        <v>1120.7457298222</v>
      </c>
      <c r="P141">
        <v>2768.6512171507002</v>
      </c>
      <c r="Q141">
        <v>12872.929891942</v>
      </c>
      <c r="R141">
        <v>1302.0892563730999</v>
      </c>
      <c r="S141">
        <v>253.06628021048701</v>
      </c>
      <c r="T141">
        <v>326.15896757027201</v>
      </c>
      <c r="U141">
        <v>197.542255278836</v>
      </c>
      <c r="V141">
        <v>324.45376504689602</v>
      </c>
      <c r="W141">
        <v>156.437046532945</v>
      </c>
      <c r="X141">
        <v>195.70355262992101</v>
      </c>
      <c r="Y141">
        <v>927.51038424178205</v>
      </c>
      <c r="Z141">
        <v>173.796681490119</v>
      </c>
      <c r="AA141">
        <v>804.63657012731198</v>
      </c>
      <c r="AB141">
        <v>1034.5848960088999</v>
      </c>
      <c r="AC141">
        <v>779.81921867090205</v>
      </c>
      <c r="AD141">
        <v>967.01275389220098</v>
      </c>
      <c r="AE141">
        <v>854.79665260100796</v>
      </c>
      <c r="AF141">
        <v>677.12526034481004</v>
      </c>
      <c r="AG141">
        <v>855.91678768173597</v>
      </c>
    </row>
    <row r="142" spans="1:33" x14ac:dyDescent="0.25">
      <c r="A142" s="1">
        <v>44193</v>
      </c>
      <c r="B142">
        <v>11964.6050014266</v>
      </c>
      <c r="C142">
        <v>12050.308650933801</v>
      </c>
      <c r="D142">
        <v>9333.39033091493</v>
      </c>
      <c r="E142">
        <v>12558.139979703999</v>
      </c>
      <c r="F142">
        <v>17932.783084845101</v>
      </c>
      <c r="G142">
        <v>18073.148232613901</v>
      </c>
      <c r="H142">
        <v>29529.160220502701</v>
      </c>
      <c r="I142">
        <v>19452.572606191301</v>
      </c>
      <c r="J142">
        <v>2231.8940089153598</v>
      </c>
      <c r="K142">
        <v>2522.72532890925</v>
      </c>
      <c r="L142">
        <v>1168.8158737434601</v>
      </c>
      <c r="M142">
        <v>15961.1007065882</v>
      </c>
      <c r="N142">
        <v>5294.3025960042996</v>
      </c>
      <c r="O142">
        <v>1173.30585268868</v>
      </c>
      <c r="P142">
        <v>3067.0102789878802</v>
      </c>
      <c r="Q142">
        <v>13909.401830573501</v>
      </c>
      <c r="R142">
        <v>1352.80187170769</v>
      </c>
      <c r="S142">
        <v>250.82468681838901</v>
      </c>
      <c r="T142">
        <v>403.59419263997302</v>
      </c>
      <c r="U142">
        <v>200.29690098697</v>
      </c>
      <c r="V142">
        <v>390.75753449087699</v>
      </c>
      <c r="W142">
        <v>154.40131878323999</v>
      </c>
      <c r="X142">
        <v>210.82588899260301</v>
      </c>
      <c r="Y142">
        <v>929.70901714385298</v>
      </c>
      <c r="Z142">
        <v>174.23218957960199</v>
      </c>
      <c r="AA142">
        <v>805.64975152560498</v>
      </c>
      <c r="AB142">
        <v>1043.51080531345</v>
      </c>
      <c r="AC142">
        <v>790.55449941498705</v>
      </c>
      <c r="AD142">
        <v>1002.85669421835</v>
      </c>
      <c r="AE142">
        <v>853.98209888186</v>
      </c>
      <c r="AF142">
        <v>676.67161712402105</v>
      </c>
      <c r="AG142">
        <v>876.96360768948296</v>
      </c>
    </row>
    <row r="143" spans="1:33" x14ac:dyDescent="0.25">
      <c r="A143" s="1">
        <v>44194</v>
      </c>
      <c r="B143">
        <v>11892.234102624599</v>
      </c>
      <c r="C143">
        <v>12853.3320331823</v>
      </c>
      <c r="D143">
        <v>9781.9165637342703</v>
      </c>
      <c r="E143">
        <v>12386.923532947099</v>
      </c>
      <c r="F143">
        <v>17797.829881015699</v>
      </c>
      <c r="G143">
        <v>17222.433004194001</v>
      </c>
      <c r="H143">
        <v>28603.853364856899</v>
      </c>
      <c r="I143">
        <v>19824.193743707001</v>
      </c>
      <c r="J143">
        <v>2237.9244461424701</v>
      </c>
      <c r="K143">
        <v>2439.52627603678</v>
      </c>
      <c r="L143">
        <v>1165.2305064930299</v>
      </c>
      <c r="M143">
        <v>15398.172585382399</v>
      </c>
      <c r="N143">
        <v>4813.9137802630203</v>
      </c>
      <c r="O143">
        <v>1145.7978977241801</v>
      </c>
      <c r="P143">
        <v>2929.8294933522802</v>
      </c>
      <c r="Q143">
        <v>13174.6606905727</v>
      </c>
      <c r="R143">
        <v>1337.3976395478801</v>
      </c>
      <c r="S143">
        <v>249.782736442398</v>
      </c>
      <c r="T143">
        <v>377.68986861147403</v>
      </c>
      <c r="U143">
        <v>194.40432492549999</v>
      </c>
      <c r="V143">
        <v>341.61861132097198</v>
      </c>
      <c r="W143">
        <v>156.56266782124399</v>
      </c>
      <c r="X143">
        <v>186.79496960520399</v>
      </c>
      <c r="Y143">
        <v>946.59025356109396</v>
      </c>
      <c r="Z143">
        <v>172.982453929369</v>
      </c>
      <c r="AA143">
        <v>818.93422372049497</v>
      </c>
      <c r="AB143">
        <v>1062.4790868786999</v>
      </c>
      <c r="AC143">
        <v>793.83274178164595</v>
      </c>
      <c r="AD143">
        <v>989.06365276686302</v>
      </c>
      <c r="AE143">
        <v>856.40712682909896</v>
      </c>
      <c r="AF143">
        <v>677.57400901332301</v>
      </c>
      <c r="AG143">
        <v>888.97712299107695</v>
      </c>
    </row>
    <row r="144" spans="1:33" x14ac:dyDescent="0.25">
      <c r="A144" s="1">
        <v>44195</v>
      </c>
      <c r="B144">
        <v>11772.8409501439</v>
      </c>
      <c r="C144">
        <v>12186.5980603836</v>
      </c>
      <c r="D144">
        <v>10409.4177159591</v>
      </c>
      <c r="E144">
        <v>12405.591689474</v>
      </c>
      <c r="F144">
        <v>17051.777300877799</v>
      </c>
      <c r="G144">
        <v>16450.696118543099</v>
      </c>
      <c r="H144">
        <v>28058.348657586299</v>
      </c>
      <c r="I144">
        <v>19947.843130110501</v>
      </c>
      <c r="J144">
        <v>2232.4122875479802</v>
      </c>
      <c r="K144">
        <v>2393.0102884303101</v>
      </c>
      <c r="L144">
        <v>1145.32710675045</v>
      </c>
      <c r="M144">
        <v>14774.1374212512</v>
      </c>
      <c r="N144">
        <v>4585.1971244999704</v>
      </c>
      <c r="O144">
        <v>1076.4905760190099</v>
      </c>
      <c r="P144">
        <v>2844.5655743636698</v>
      </c>
      <c r="Q144">
        <v>12527.8301350847</v>
      </c>
      <c r="R144">
        <v>1286.9020817795299</v>
      </c>
      <c r="S144">
        <v>248.993217647535</v>
      </c>
      <c r="T144">
        <v>383.42621897426301</v>
      </c>
      <c r="U144">
        <v>194.82331363337499</v>
      </c>
      <c r="V144">
        <v>359.54128985159502</v>
      </c>
      <c r="W144">
        <v>151.10859987182801</v>
      </c>
      <c r="X144">
        <v>198.30580615160099</v>
      </c>
      <c r="Y144">
        <v>976.19785630919296</v>
      </c>
      <c r="Z144">
        <v>173.26810145595701</v>
      </c>
      <c r="AA144">
        <v>826.76909777285198</v>
      </c>
      <c r="AB144">
        <v>1076.5346274230001</v>
      </c>
      <c r="AC144">
        <v>780.08808625250094</v>
      </c>
      <c r="AD144">
        <v>979.57198036151897</v>
      </c>
      <c r="AE144">
        <v>852.58352792052494</v>
      </c>
      <c r="AF144">
        <v>679.91369716302404</v>
      </c>
      <c r="AG144">
        <v>901.84285526005897</v>
      </c>
    </row>
    <row r="145" spans="1:33" x14ac:dyDescent="0.25">
      <c r="A145" s="1">
        <v>44196</v>
      </c>
      <c r="B145">
        <v>11764.556347567201</v>
      </c>
      <c r="C145">
        <v>11625.866616859301</v>
      </c>
      <c r="D145">
        <v>10931.3698633445</v>
      </c>
      <c r="E145">
        <v>12532.944189788201</v>
      </c>
      <c r="F145">
        <v>16857.018647666799</v>
      </c>
      <c r="G145">
        <v>16291.714242304701</v>
      </c>
      <c r="H145">
        <v>27736.080313024799</v>
      </c>
      <c r="I145">
        <v>19964.301412778001</v>
      </c>
      <c r="J145">
        <v>2228.8403247628198</v>
      </c>
      <c r="K145">
        <v>2364.6770608965999</v>
      </c>
      <c r="L145">
        <v>1134.6797351918699</v>
      </c>
      <c r="M145">
        <v>14499.7842205425</v>
      </c>
      <c r="N145">
        <v>4461.0453222985298</v>
      </c>
      <c r="O145">
        <v>1099.2562036776401</v>
      </c>
      <c r="P145">
        <v>2791.4914057793699</v>
      </c>
      <c r="Q145">
        <v>12383.259274313499</v>
      </c>
      <c r="R145">
        <v>1297.0996755269</v>
      </c>
      <c r="S145">
        <v>247.876407217881</v>
      </c>
      <c r="T145">
        <v>379.09881564960102</v>
      </c>
      <c r="U145">
        <v>192.31160907774799</v>
      </c>
      <c r="V145">
        <v>347.31876406280003</v>
      </c>
      <c r="W145">
        <v>150.81269529176299</v>
      </c>
      <c r="X145">
        <v>185.56127338443</v>
      </c>
      <c r="Y145">
        <v>970.62454546522895</v>
      </c>
      <c r="Z145">
        <v>174.56730967070601</v>
      </c>
      <c r="AA145">
        <v>828.60095987232603</v>
      </c>
      <c r="AB145">
        <v>1076.6880149240999</v>
      </c>
      <c r="AC145">
        <v>783.84543549616706</v>
      </c>
      <c r="AD145">
        <v>969.72177796675203</v>
      </c>
      <c r="AE145">
        <v>857.42687275966296</v>
      </c>
      <c r="AF145">
        <v>681.94197896426999</v>
      </c>
      <c r="AG145">
        <v>913.34003344739801</v>
      </c>
    </row>
    <row r="146" spans="1:33" x14ac:dyDescent="0.25">
      <c r="A146" s="1">
        <v>44197</v>
      </c>
      <c r="B146">
        <v>11871.937625099201</v>
      </c>
      <c r="C146">
        <v>11534.3759481258</v>
      </c>
      <c r="D146">
        <v>11290.668684443501</v>
      </c>
      <c r="E146">
        <v>12735.6855720893</v>
      </c>
      <c r="F146">
        <v>16355.995165209401</v>
      </c>
      <c r="G146">
        <v>15803.4982427544</v>
      </c>
      <c r="H146">
        <v>27111.875722118501</v>
      </c>
      <c r="I146">
        <v>19775.512621086498</v>
      </c>
      <c r="J146">
        <v>2209.5377644063501</v>
      </c>
      <c r="K146">
        <v>2330.1374620461002</v>
      </c>
      <c r="L146">
        <v>1119.68100227834</v>
      </c>
      <c r="M146">
        <v>14141.442816348301</v>
      </c>
      <c r="N146">
        <v>4430.5743165142703</v>
      </c>
      <c r="O146">
        <v>1043.6145543622399</v>
      </c>
      <c r="P146">
        <v>2753.5839094266398</v>
      </c>
      <c r="Q146">
        <v>11931.4390754467</v>
      </c>
      <c r="R146">
        <v>1253.8457112295</v>
      </c>
      <c r="S146">
        <v>246.55469223937001</v>
      </c>
      <c r="T146">
        <v>384.32161492971198</v>
      </c>
      <c r="U146">
        <v>191.86407180224899</v>
      </c>
      <c r="V146">
        <v>363.28532705147097</v>
      </c>
      <c r="W146">
        <v>144.837620646321</v>
      </c>
      <c r="X146">
        <v>193.20975591527099</v>
      </c>
      <c r="Y146">
        <v>941.98144810751899</v>
      </c>
      <c r="Z146">
        <v>175.81231924156501</v>
      </c>
      <c r="AA146">
        <v>831.76226815074006</v>
      </c>
      <c r="AB146">
        <v>1026.3731624608799</v>
      </c>
      <c r="AC146">
        <v>800.58789984475902</v>
      </c>
      <c r="AD146">
        <v>961.07347093745796</v>
      </c>
      <c r="AE146">
        <v>863.50738551925394</v>
      </c>
      <c r="AF146">
        <v>686.88487652423703</v>
      </c>
      <c r="AG146">
        <v>920.34047576270495</v>
      </c>
    </row>
    <row r="147" spans="1:33" x14ac:dyDescent="0.25">
      <c r="A147" s="1">
        <v>44198</v>
      </c>
      <c r="B147">
        <v>12021.422672959599</v>
      </c>
      <c r="C147">
        <v>11052.0224067864</v>
      </c>
      <c r="D147">
        <v>11376.392596544099</v>
      </c>
      <c r="E147">
        <v>12766.087076882101</v>
      </c>
      <c r="F147">
        <v>16159.2468811735</v>
      </c>
      <c r="G147">
        <v>15381.710744194501</v>
      </c>
      <c r="H147">
        <v>26458.251561609501</v>
      </c>
      <c r="I147">
        <v>19621.139139401599</v>
      </c>
      <c r="J147">
        <v>2189.91112961812</v>
      </c>
      <c r="K147">
        <v>2266.3744980526699</v>
      </c>
      <c r="L147">
        <v>1110.3711000461701</v>
      </c>
      <c r="M147">
        <v>13680.2334357734</v>
      </c>
      <c r="N147">
        <v>4125.1964762185298</v>
      </c>
      <c r="O147">
        <v>1021.14176681653</v>
      </c>
      <c r="P147">
        <v>2658.09893231857</v>
      </c>
      <c r="Q147">
        <v>11482.1137996697</v>
      </c>
      <c r="R147">
        <v>1234.2167462457201</v>
      </c>
      <c r="S147">
        <v>245.90251450922901</v>
      </c>
      <c r="T147">
        <v>357.88265934655402</v>
      </c>
      <c r="U147">
        <v>192.95890706157701</v>
      </c>
      <c r="V147">
        <v>330.35135228567799</v>
      </c>
      <c r="W147">
        <v>153.66328341611899</v>
      </c>
      <c r="X147">
        <v>176.050168492284</v>
      </c>
      <c r="Y147">
        <v>943.99161407825898</v>
      </c>
      <c r="Z147">
        <v>177.11267516267799</v>
      </c>
      <c r="AA147">
        <v>832.60832844956997</v>
      </c>
      <c r="AB147">
        <v>1025.7575192306199</v>
      </c>
      <c r="AC147">
        <v>811.22794426616395</v>
      </c>
      <c r="AD147">
        <v>949.74377183380398</v>
      </c>
      <c r="AE147">
        <v>873.37200940335799</v>
      </c>
      <c r="AF147">
        <v>692.09576471677099</v>
      </c>
      <c r="AG147">
        <v>923.99175083949694</v>
      </c>
    </row>
    <row r="148" spans="1:33" x14ac:dyDescent="0.25">
      <c r="A148" s="1">
        <v>44199</v>
      </c>
      <c r="B148">
        <v>12163.579248579699</v>
      </c>
      <c r="C148">
        <v>10765.685690909</v>
      </c>
      <c r="D148">
        <v>11334.7302477658</v>
      </c>
      <c r="E148">
        <v>12815.1402554244</v>
      </c>
      <c r="F148">
        <v>15944.6750485142</v>
      </c>
      <c r="G148">
        <v>15213.43372128</v>
      </c>
      <c r="H148">
        <v>26362.494275634199</v>
      </c>
      <c r="I148">
        <v>19410.657800907102</v>
      </c>
      <c r="J148">
        <v>2174.2628768261102</v>
      </c>
      <c r="K148">
        <v>2231.0259618110699</v>
      </c>
      <c r="L148">
        <v>1106.57781893997</v>
      </c>
      <c r="M148">
        <v>13467.9057543485</v>
      </c>
      <c r="N148">
        <v>3967.4330048780498</v>
      </c>
      <c r="O148">
        <v>1015.54203357502</v>
      </c>
      <c r="P148">
        <v>2617.5616780820801</v>
      </c>
      <c r="Q148">
        <v>11258.805299351199</v>
      </c>
      <c r="R148">
        <v>1223.10787009715</v>
      </c>
      <c r="S148">
        <v>245.97229088466301</v>
      </c>
      <c r="T148">
        <v>345.035143130888</v>
      </c>
      <c r="U148">
        <v>191.23250948556799</v>
      </c>
      <c r="V148">
        <v>312.26591518113599</v>
      </c>
      <c r="W148">
        <v>156.48726581395701</v>
      </c>
      <c r="X148">
        <v>164.743465744785</v>
      </c>
      <c r="Y148">
        <v>970.55045501912002</v>
      </c>
      <c r="Z148">
        <v>178.310161643437</v>
      </c>
      <c r="AA148">
        <v>829.26166933006402</v>
      </c>
      <c r="AB148">
        <v>1055.87843638656</v>
      </c>
      <c r="AC148">
        <v>815.46178381268999</v>
      </c>
      <c r="AD148">
        <v>943.74878378073902</v>
      </c>
      <c r="AE148">
        <v>866.115463295837</v>
      </c>
      <c r="AF148">
        <v>697.62867748172005</v>
      </c>
      <c r="AG148">
        <v>924.22787570541402</v>
      </c>
    </row>
    <row r="149" spans="1:33" x14ac:dyDescent="0.25">
      <c r="A149" s="1">
        <v>44200</v>
      </c>
      <c r="B149">
        <v>12250.562140760499</v>
      </c>
      <c r="C149">
        <v>10933.346540889301</v>
      </c>
      <c r="D149">
        <v>11262.348459884401</v>
      </c>
      <c r="E149">
        <v>13045.1908530378</v>
      </c>
      <c r="F149">
        <v>15985.2194211803</v>
      </c>
      <c r="G149">
        <v>15993.1176315088</v>
      </c>
      <c r="H149">
        <v>27610.903968144099</v>
      </c>
      <c r="I149">
        <v>19238.3889043829</v>
      </c>
      <c r="J149">
        <v>2174.1897070661298</v>
      </c>
      <c r="K149">
        <v>2355.7774723591001</v>
      </c>
      <c r="L149">
        <v>1135.38148636899</v>
      </c>
      <c r="M149">
        <v>14335.213580080201</v>
      </c>
      <c r="N149">
        <v>4686.22302026749</v>
      </c>
      <c r="O149">
        <v>1066.93106719396</v>
      </c>
      <c r="P149">
        <v>2822.1537043551298</v>
      </c>
      <c r="Q149">
        <v>11931.4954301862</v>
      </c>
      <c r="R149">
        <v>1280.6448450876901</v>
      </c>
      <c r="S149">
        <v>243.06862851372099</v>
      </c>
      <c r="T149">
        <v>407.98724574351797</v>
      </c>
      <c r="U149">
        <v>188.256104854672</v>
      </c>
      <c r="V149">
        <v>380.99399677335799</v>
      </c>
      <c r="W149">
        <v>155.684624300656</v>
      </c>
      <c r="X149">
        <v>201.14079783344499</v>
      </c>
      <c r="Y149">
        <v>995.36912026024595</v>
      </c>
      <c r="Z149">
        <v>180.144437567258</v>
      </c>
      <c r="AA149">
        <v>821.87089150202496</v>
      </c>
      <c r="AB149">
        <v>1068.20113235434</v>
      </c>
      <c r="AC149">
        <v>820.57125480591299</v>
      </c>
      <c r="AD149">
        <v>974.58978903041202</v>
      </c>
      <c r="AE149">
        <v>869.97702397065495</v>
      </c>
      <c r="AF149">
        <v>702.94390999594395</v>
      </c>
      <c r="AG149">
        <v>916.74135282961197</v>
      </c>
    </row>
    <row r="150" spans="1:33" x14ac:dyDescent="0.25">
      <c r="A150" s="1">
        <v>44201</v>
      </c>
      <c r="B150">
        <v>12321.9372138364</v>
      </c>
      <c r="C150">
        <v>10949.7192844275</v>
      </c>
      <c r="D150">
        <v>10918.4456405367</v>
      </c>
      <c r="E150">
        <v>12586.5639484106</v>
      </c>
      <c r="F150">
        <v>15904.0213369394</v>
      </c>
      <c r="G150">
        <v>14588.9120072884</v>
      </c>
      <c r="H150">
        <v>24864.04728947</v>
      </c>
      <c r="I150">
        <v>19239.7143429924</v>
      </c>
      <c r="J150">
        <v>2147.9935322349302</v>
      </c>
      <c r="K150">
        <v>2123.3705697339501</v>
      </c>
      <c r="L150">
        <v>1092.31551987118</v>
      </c>
      <c r="M150">
        <v>12787.176374090001</v>
      </c>
      <c r="N150">
        <v>3281.6329126929099</v>
      </c>
      <c r="O150">
        <v>1008.61151961051</v>
      </c>
      <c r="P150">
        <v>2420.37183786576</v>
      </c>
      <c r="Q150">
        <v>10511.928903439501</v>
      </c>
      <c r="R150">
        <v>1205.01804297171</v>
      </c>
      <c r="S150">
        <v>248.012159079611</v>
      </c>
      <c r="T150">
        <v>286.64734112937401</v>
      </c>
      <c r="U150">
        <v>186.19173275115901</v>
      </c>
      <c r="V150">
        <v>226.34021138006301</v>
      </c>
      <c r="W150">
        <v>156.24778502529799</v>
      </c>
      <c r="X150">
        <v>165.279798453334</v>
      </c>
      <c r="Y150">
        <v>934.29127992840904</v>
      </c>
      <c r="Z150">
        <v>179.08370301380799</v>
      </c>
      <c r="AA150">
        <v>830.57206594811203</v>
      </c>
      <c r="AB150">
        <v>1022.48337748191</v>
      </c>
      <c r="AC150">
        <v>824.43571609830701</v>
      </c>
      <c r="AD150">
        <v>921.40801185129101</v>
      </c>
      <c r="AE150">
        <v>865.48982515399405</v>
      </c>
      <c r="AF150">
        <v>710.698228161629</v>
      </c>
      <c r="AG150">
        <v>909.05651920275704</v>
      </c>
    </row>
    <row r="151" spans="1:33" x14ac:dyDescent="0.25">
      <c r="A151" s="1">
        <v>44202</v>
      </c>
      <c r="B151">
        <v>12375.129988226299</v>
      </c>
      <c r="C151">
        <v>10071.648830017701</v>
      </c>
      <c r="D151">
        <v>10754.928039140001</v>
      </c>
      <c r="E151">
        <v>12530.8351081571</v>
      </c>
      <c r="F151">
        <v>15137.5365425364</v>
      </c>
      <c r="G151">
        <v>13915.6576466921</v>
      </c>
      <c r="H151">
        <v>24680.3972899486</v>
      </c>
      <c r="I151">
        <v>19055.934161657198</v>
      </c>
      <c r="J151">
        <v>2132.11646242602</v>
      </c>
      <c r="K151">
        <v>2073.2916460910201</v>
      </c>
      <c r="L151">
        <v>1064.6079913257499</v>
      </c>
      <c r="M151">
        <v>12033.774511832</v>
      </c>
      <c r="N151">
        <v>2856.6764317019502</v>
      </c>
      <c r="O151">
        <v>939.61206742645595</v>
      </c>
      <c r="P151">
        <v>2328.5644226208501</v>
      </c>
      <c r="Q151">
        <v>9833.79335495536</v>
      </c>
      <c r="R151">
        <v>1147.5022720485699</v>
      </c>
      <c r="S151">
        <v>257.451379897104</v>
      </c>
      <c r="T151">
        <v>268.62509603686402</v>
      </c>
      <c r="U151">
        <v>185.14674009118301</v>
      </c>
      <c r="V151">
        <v>249.49528090086901</v>
      </c>
      <c r="W151">
        <v>153.684012717494</v>
      </c>
      <c r="X151">
        <v>175.299017410771</v>
      </c>
      <c r="Y151">
        <v>914.845540055181</v>
      </c>
      <c r="Z151">
        <v>179.64311874328101</v>
      </c>
      <c r="AA151">
        <v>829.26711677358003</v>
      </c>
      <c r="AB151">
        <v>1005.09215632725</v>
      </c>
      <c r="AC151">
        <v>820.54642261543802</v>
      </c>
      <c r="AD151">
        <v>899.16998538867006</v>
      </c>
      <c r="AE151">
        <v>854.28352210221203</v>
      </c>
      <c r="AF151">
        <v>720.146133840007</v>
      </c>
      <c r="AG151">
        <v>900.15089445329397</v>
      </c>
    </row>
    <row r="152" spans="1:33" x14ac:dyDescent="0.25">
      <c r="A152" s="1">
        <v>44203</v>
      </c>
      <c r="B152">
        <v>12423.8388320587</v>
      </c>
      <c r="C152">
        <v>9419.7998166206598</v>
      </c>
      <c r="D152">
        <v>10735.8500489084</v>
      </c>
      <c r="E152">
        <v>12547.1185776814</v>
      </c>
      <c r="F152">
        <v>14954.48796751</v>
      </c>
      <c r="G152">
        <v>13821.1538635016</v>
      </c>
      <c r="H152">
        <v>24867.491455410302</v>
      </c>
      <c r="I152">
        <v>18876.116749143101</v>
      </c>
      <c r="J152">
        <v>2125.34822149193</v>
      </c>
      <c r="K152">
        <v>2062.95252900176</v>
      </c>
      <c r="L152">
        <v>1051.0183726897601</v>
      </c>
      <c r="M152">
        <v>11967.883529085</v>
      </c>
      <c r="N152">
        <v>2809.7278208401999</v>
      </c>
      <c r="O152">
        <v>954.09013752385101</v>
      </c>
      <c r="P152">
        <v>2313.2378238609799</v>
      </c>
      <c r="Q152">
        <v>9736.0247203837007</v>
      </c>
      <c r="R152">
        <v>1148.13327840335</v>
      </c>
      <c r="S152">
        <v>262.35145613202099</v>
      </c>
      <c r="T152">
        <v>260.77096181947297</v>
      </c>
      <c r="U152">
        <v>183.75803959869</v>
      </c>
      <c r="V152">
        <v>250.35680382321701</v>
      </c>
      <c r="W152">
        <v>150.66895326682999</v>
      </c>
      <c r="X152">
        <v>178.55284010001</v>
      </c>
      <c r="Y152">
        <v>944.98658672327201</v>
      </c>
      <c r="Z152">
        <v>179.46075628451001</v>
      </c>
      <c r="AA152">
        <v>821.93855992619001</v>
      </c>
      <c r="AB152">
        <v>1026.3657558377399</v>
      </c>
      <c r="AC152">
        <v>821.42499629850397</v>
      </c>
      <c r="AD152">
        <v>888.62693141</v>
      </c>
      <c r="AE152">
        <v>865.41943301228605</v>
      </c>
      <c r="AF152">
        <v>725.83266015653999</v>
      </c>
      <c r="AG152">
        <v>889.55656328810403</v>
      </c>
    </row>
    <row r="153" spans="1:33" x14ac:dyDescent="0.25">
      <c r="A153" s="1">
        <v>44204</v>
      </c>
      <c r="B153">
        <v>12400.025754660401</v>
      </c>
      <c r="C153">
        <v>9332.81765347488</v>
      </c>
      <c r="D153">
        <v>10672.650210648901</v>
      </c>
      <c r="E153">
        <v>12661.565919316799</v>
      </c>
      <c r="F153">
        <v>15141.368601268599</v>
      </c>
      <c r="G153">
        <v>14403.617323665099</v>
      </c>
      <c r="H153">
        <v>25769.372111652199</v>
      </c>
      <c r="I153">
        <v>18719.2697673414</v>
      </c>
      <c r="J153">
        <v>2137.5435941639798</v>
      </c>
      <c r="K153">
        <v>2137.3782332559799</v>
      </c>
      <c r="L153">
        <v>1047.73781862492</v>
      </c>
      <c r="M153">
        <v>12531.842750182999</v>
      </c>
      <c r="N153">
        <v>3297.8261915609301</v>
      </c>
      <c r="O153">
        <v>1003.03935958822</v>
      </c>
      <c r="P153">
        <v>2443.45025322127</v>
      </c>
      <c r="Q153">
        <v>10311.5150111483</v>
      </c>
      <c r="R153">
        <v>1200.9387840259401</v>
      </c>
      <c r="S153">
        <v>261.880233420877</v>
      </c>
      <c r="T153">
        <v>287.66547039820102</v>
      </c>
      <c r="U153">
        <v>184.90720728808799</v>
      </c>
      <c r="V153">
        <v>280.50706011911802</v>
      </c>
      <c r="W153">
        <v>150.18059215876301</v>
      </c>
      <c r="X153">
        <v>186.86947832368699</v>
      </c>
      <c r="Y153">
        <v>958.13599430213901</v>
      </c>
      <c r="Z153">
        <v>179.32830354534599</v>
      </c>
      <c r="AA153">
        <v>817.33648735889801</v>
      </c>
      <c r="AB153">
        <v>1042.2801882716601</v>
      </c>
      <c r="AC153">
        <v>823.93874087576501</v>
      </c>
      <c r="AD153">
        <v>900.36537469419204</v>
      </c>
      <c r="AE153">
        <v>855.99637958416099</v>
      </c>
      <c r="AF153">
        <v>727.87298601773205</v>
      </c>
      <c r="AG153">
        <v>876.94711043702705</v>
      </c>
    </row>
    <row r="154" spans="1:33" x14ac:dyDescent="0.25">
      <c r="A154" s="1">
        <v>44205</v>
      </c>
      <c r="B154">
        <v>12402.1568786445</v>
      </c>
      <c r="C154">
        <v>9844.8405653941809</v>
      </c>
      <c r="D154">
        <v>10501.425189471</v>
      </c>
      <c r="E154">
        <v>12755.0473210614</v>
      </c>
      <c r="F154">
        <v>15371.5112223793</v>
      </c>
      <c r="G154">
        <v>14806.149808913</v>
      </c>
      <c r="H154">
        <v>26401.896058968701</v>
      </c>
      <c r="I154">
        <v>18683.995519651598</v>
      </c>
      <c r="J154">
        <v>2149.8038409544702</v>
      </c>
      <c r="K154">
        <v>2212.6594306396501</v>
      </c>
      <c r="L154">
        <v>1058.3221181466299</v>
      </c>
      <c r="M154">
        <v>12999.097986781801</v>
      </c>
      <c r="N154">
        <v>3700.6375820063499</v>
      </c>
      <c r="O154">
        <v>1039.5175965036899</v>
      </c>
      <c r="P154">
        <v>2564.9325216225998</v>
      </c>
      <c r="Q154">
        <v>10752.160282970101</v>
      </c>
      <c r="R154">
        <v>1239.7552644356199</v>
      </c>
      <c r="S154">
        <v>265.37681473214599</v>
      </c>
      <c r="T154">
        <v>324.42845366544202</v>
      </c>
      <c r="U154">
        <v>183.771821476193</v>
      </c>
      <c r="V154">
        <v>319.26287365805899</v>
      </c>
      <c r="W154">
        <v>151.60263221102301</v>
      </c>
      <c r="X154">
        <v>198.64350629950101</v>
      </c>
      <c r="Y154">
        <v>977.71740523750395</v>
      </c>
      <c r="Z154">
        <v>178.241856015721</v>
      </c>
      <c r="AA154">
        <v>823.29513909320997</v>
      </c>
      <c r="AB154">
        <v>1066.7891146294401</v>
      </c>
      <c r="AC154">
        <v>824.37349108164301</v>
      </c>
      <c r="AD154">
        <v>918.703639514325</v>
      </c>
      <c r="AE154">
        <v>779.624833706971</v>
      </c>
      <c r="AF154">
        <v>730.63644222190896</v>
      </c>
      <c r="AG154">
        <v>870.59263420630703</v>
      </c>
    </row>
    <row r="155" spans="1:33" x14ac:dyDescent="0.25">
      <c r="A155" s="1">
        <v>44206</v>
      </c>
      <c r="B155">
        <v>12381.248021330701</v>
      </c>
      <c r="C155">
        <v>10226.1122000387</v>
      </c>
      <c r="D155">
        <v>10438.9811379901</v>
      </c>
      <c r="E155">
        <v>12918.4740039115</v>
      </c>
      <c r="F155">
        <v>15918.9617708567</v>
      </c>
      <c r="G155">
        <v>15613.029371590799</v>
      </c>
      <c r="H155">
        <v>27056.6325980113</v>
      </c>
      <c r="I155">
        <v>18764.411184537799</v>
      </c>
      <c r="J155">
        <v>2166.9086153365502</v>
      </c>
      <c r="K155">
        <v>2404.8059966524502</v>
      </c>
      <c r="L155">
        <v>1117.8373428017101</v>
      </c>
      <c r="M155">
        <v>13858.2554025508</v>
      </c>
      <c r="N155">
        <v>4454.1760408447399</v>
      </c>
      <c r="O155">
        <v>1091.24651964384</v>
      </c>
      <c r="P155">
        <v>2836.4539568687001</v>
      </c>
      <c r="Q155">
        <v>11692.803464352501</v>
      </c>
      <c r="R155">
        <v>1303.8756568705601</v>
      </c>
      <c r="S155">
        <v>261.47453647210801</v>
      </c>
      <c r="T155">
        <v>395.14568905547202</v>
      </c>
      <c r="U155">
        <v>184.614324802987</v>
      </c>
      <c r="V155">
        <v>401.49345572986499</v>
      </c>
      <c r="W155">
        <v>146.36908580844101</v>
      </c>
      <c r="X155">
        <v>232.43520705401201</v>
      </c>
      <c r="Y155">
        <v>982.02677845068001</v>
      </c>
      <c r="Z155">
        <v>177.34778995007599</v>
      </c>
      <c r="AA155">
        <v>822.62105507085903</v>
      </c>
      <c r="AB155">
        <v>1063.43519449115</v>
      </c>
      <c r="AC155">
        <v>825.31338902257801</v>
      </c>
      <c r="AD155">
        <v>964.32987226652199</v>
      </c>
      <c r="AE155">
        <v>774.46157611845103</v>
      </c>
      <c r="AF155">
        <v>732.64021030531603</v>
      </c>
      <c r="AG155">
        <v>872.55862026154796</v>
      </c>
    </row>
    <row r="156" spans="1:33" x14ac:dyDescent="0.25">
      <c r="A156" s="1">
        <v>44207</v>
      </c>
      <c r="B156">
        <v>12374.063707604701</v>
      </c>
      <c r="C156">
        <v>10761.7876507036</v>
      </c>
      <c r="D156">
        <v>10413.7043516106</v>
      </c>
      <c r="E156">
        <v>13013.115499474199</v>
      </c>
      <c r="F156">
        <v>16332.452463100601</v>
      </c>
      <c r="G156">
        <v>15949.1602355742</v>
      </c>
      <c r="H156">
        <v>27194.715118848599</v>
      </c>
      <c r="I156">
        <v>19050.260216098399</v>
      </c>
      <c r="J156">
        <v>2197.6134045242102</v>
      </c>
      <c r="K156">
        <v>2497.39340935573</v>
      </c>
      <c r="L156">
        <v>1147.1148710929799</v>
      </c>
      <c r="M156">
        <v>14182.064480896801</v>
      </c>
      <c r="N156">
        <v>4785.0184463982796</v>
      </c>
      <c r="O156">
        <v>1136.859141916</v>
      </c>
      <c r="P156">
        <v>2954.2006992491101</v>
      </c>
      <c r="Q156">
        <v>12094.4428190612</v>
      </c>
      <c r="R156">
        <v>1345.0580296061801</v>
      </c>
      <c r="S156">
        <v>262.822589229919</v>
      </c>
      <c r="T156">
        <v>449.529701806871</v>
      </c>
      <c r="U156">
        <v>183.79559437517901</v>
      </c>
      <c r="V156">
        <v>446.57429059899903</v>
      </c>
      <c r="W156">
        <v>157.84821991408799</v>
      </c>
      <c r="X156">
        <v>251.31245498990401</v>
      </c>
      <c r="Y156">
        <v>973.47907504232205</v>
      </c>
      <c r="Z156">
        <v>176.242557025591</v>
      </c>
      <c r="AA156">
        <v>830.82903031307899</v>
      </c>
      <c r="AB156">
        <v>1058.2885092219899</v>
      </c>
      <c r="AC156">
        <v>828.064493634869</v>
      </c>
      <c r="AD156">
        <v>988.09219661533496</v>
      </c>
      <c r="AE156">
        <v>832.57675075524298</v>
      </c>
      <c r="AF156">
        <v>735.10435651125601</v>
      </c>
      <c r="AG156">
        <v>876.11638694264104</v>
      </c>
    </row>
    <row r="157" spans="1:33" x14ac:dyDescent="0.25">
      <c r="A157" s="1">
        <v>44208</v>
      </c>
      <c r="B157">
        <v>12393.145894093301</v>
      </c>
      <c r="C157">
        <v>11138.919167434</v>
      </c>
      <c r="D157">
        <v>10564.4564527743</v>
      </c>
      <c r="E157">
        <v>13180.0611379605</v>
      </c>
      <c r="F157">
        <v>16676.590163575202</v>
      </c>
      <c r="G157">
        <v>16501.188408398601</v>
      </c>
      <c r="H157">
        <v>27637.8769401348</v>
      </c>
      <c r="I157">
        <v>19339.921439708702</v>
      </c>
      <c r="J157">
        <v>2241.8153713439001</v>
      </c>
      <c r="K157">
        <v>2648.4906568266401</v>
      </c>
      <c r="L157">
        <v>1186.00882587825</v>
      </c>
      <c r="M157">
        <v>14734.130520164401</v>
      </c>
      <c r="N157">
        <v>5295.46098682294</v>
      </c>
      <c r="O157">
        <v>1190.6935447603801</v>
      </c>
      <c r="P157">
        <v>3151.13219606335</v>
      </c>
      <c r="Q157">
        <v>12692.0636468499</v>
      </c>
      <c r="R157">
        <v>1390.65104207688</v>
      </c>
      <c r="S157">
        <v>261.67276388270602</v>
      </c>
      <c r="T157">
        <v>540.19708625805094</v>
      </c>
      <c r="U157">
        <v>182.93451530666101</v>
      </c>
      <c r="V157">
        <v>523.73881739204603</v>
      </c>
      <c r="W157">
        <v>157.696202884813</v>
      </c>
      <c r="X157">
        <v>281.06288669608603</v>
      </c>
      <c r="Y157">
        <v>962.71981497512195</v>
      </c>
      <c r="Z157">
        <v>175.94499683580901</v>
      </c>
      <c r="AA157">
        <v>835.098571057821</v>
      </c>
      <c r="AB157">
        <v>1034.2788399373401</v>
      </c>
      <c r="AC157">
        <v>823.27457416994503</v>
      </c>
      <c r="AD157">
        <v>1021.7356410316</v>
      </c>
      <c r="AE157">
        <v>851.575275482341</v>
      </c>
      <c r="AF157">
        <v>735.812369333986</v>
      </c>
      <c r="AG157">
        <v>883.321581007845</v>
      </c>
    </row>
    <row r="158" spans="1:33" x14ac:dyDescent="0.25">
      <c r="A158" s="1">
        <v>44209</v>
      </c>
      <c r="B158">
        <v>12450.0177597902</v>
      </c>
      <c r="C158">
        <v>11600.6032177282</v>
      </c>
      <c r="D158">
        <v>10620.168866419201</v>
      </c>
      <c r="E158">
        <v>13153.4685906759</v>
      </c>
      <c r="F158">
        <v>16882.326909397802</v>
      </c>
      <c r="G158">
        <v>16322.1144261309</v>
      </c>
      <c r="H158">
        <v>27461.523967785801</v>
      </c>
      <c r="I158">
        <v>19623.397611268501</v>
      </c>
      <c r="J158">
        <v>2280.0628712776202</v>
      </c>
      <c r="K158">
        <v>2661.2434145153902</v>
      </c>
      <c r="L158">
        <v>1203.7880968715101</v>
      </c>
      <c r="M158">
        <v>14619.872209539</v>
      </c>
      <c r="N158">
        <v>5201.4790279326899</v>
      </c>
      <c r="O158">
        <v>1196.98543180558</v>
      </c>
      <c r="P158">
        <v>3158.8076664704899</v>
      </c>
      <c r="Q158">
        <v>12605.7515468201</v>
      </c>
      <c r="R158">
        <v>1401.6813701506801</v>
      </c>
      <c r="S158">
        <v>260.57960697831402</v>
      </c>
      <c r="T158">
        <v>535.37194037753704</v>
      </c>
      <c r="U158">
        <v>181.55004224796801</v>
      </c>
      <c r="V158">
        <v>501.97317533379902</v>
      </c>
      <c r="W158">
        <v>157.77818037802999</v>
      </c>
      <c r="X158">
        <v>259.91601797160598</v>
      </c>
      <c r="Y158">
        <v>915.67565909078405</v>
      </c>
      <c r="Z158">
        <v>174.61655507409</v>
      </c>
      <c r="AA158">
        <v>843.18194500927905</v>
      </c>
      <c r="AB158">
        <v>993.13395312447199</v>
      </c>
      <c r="AC158">
        <v>813.41796416428201</v>
      </c>
      <c r="AD158">
        <v>1029.10121925095</v>
      </c>
      <c r="AE158">
        <v>847.68925214692501</v>
      </c>
      <c r="AF158">
        <v>739.14968990913496</v>
      </c>
      <c r="AG158">
        <v>891.45764776374494</v>
      </c>
    </row>
    <row r="159" spans="1:33" x14ac:dyDescent="0.25">
      <c r="A159" s="1">
        <v>44210</v>
      </c>
      <c r="B159">
        <v>12465.222454717999</v>
      </c>
      <c r="C159">
        <v>11460.538959662401</v>
      </c>
      <c r="D159">
        <v>10754.7013561353</v>
      </c>
      <c r="E159">
        <v>13067.024910237</v>
      </c>
      <c r="F159">
        <v>16645.9547065558</v>
      </c>
      <c r="G159">
        <v>15896.058756808099</v>
      </c>
      <c r="H159">
        <v>26986.165981752201</v>
      </c>
      <c r="I159">
        <v>19664.0270532658</v>
      </c>
      <c r="J159">
        <v>2300.5702108441701</v>
      </c>
      <c r="K159">
        <v>2611.25352742205</v>
      </c>
      <c r="L159">
        <v>1197.98021956812</v>
      </c>
      <c r="M159">
        <v>14186.807493316101</v>
      </c>
      <c r="N159">
        <v>4836.2365250375997</v>
      </c>
      <c r="O159">
        <v>1166.73790421786</v>
      </c>
      <c r="P159">
        <v>3066.3872970385501</v>
      </c>
      <c r="Q159">
        <v>12155.0905345388</v>
      </c>
      <c r="R159">
        <v>1380.86272059573</v>
      </c>
      <c r="S159">
        <v>262.04975317240297</v>
      </c>
      <c r="T159">
        <v>489.50172977108798</v>
      </c>
      <c r="U159">
        <v>181.77607075299301</v>
      </c>
      <c r="V159">
        <v>450.88771591017701</v>
      </c>
      <c r="W159">
        <v>171.21039196316499</v>
      </c>
      <c r="X159">
        <v>227.41341423260701</v>
      </c>
      <c r="Y159">
        <v>887.41084945750003</v>
      </c>
      <c r="Z159">
        <v>173.39123285718401</v>
      </c>
      <c r="AA159">
        <v>848.62939969797401</v>
      </c>
      <c r="AB159">
        <v>967.89345906391202</v>
      </c>
      <c r="AC159">
        <v>808.71335944407997</v>
      </c>
      <c r="AD159">
        <v>1020.98073009092</v>
      </c>
      <c r="AE159">
        <v>848.16041708078296</v>
      </c>
      <c r="AF159">
        <v>743.60418425028604</v>
      </c>
      <c r="AG159">
        <v>898.806599423889</v>
      </c>
    </row>
    <row r="160" spans="1:33" x14ac:dyDescent="0.25">
      <c r="A160" s="1">
        <v>44211</v>
      </c>
      <c r="B160">
        <v>12463.764070916999</v>
      </c>
      <c r="C160">
        <v>11038.8362350312</v>
      </c>
      <c r="D160">
        <v>10901.725391843</v>
      </c>
      <c r="E160">
        <v>12971.8278808503</v>
      </c>
      <c r="F160">
        <v>16413.3147029756</v>
      </c>
      <c r="G160">
        <v>15590.002377446801</v>
      </c>
      <c r="H160">
        <v>26667.440034228599</v>
      </c>
      <c r="I160">
        <v>19539.370068168399</v>
      </c>
      <c r="J160">
        <v>2312.3899321332201</v>
      </c>
      <c r="K160">
        <v>2561.9251324368602</v>
      </c>
      <c r="L160">
        <v>1188.1158463250499</v>
      </c>
      <c r="M160">
        <v>13889.601801553999</v>
      </c>
      <c r="N160">
        <v>4538.1704970034798</v>
      </c>
      <c r="O160">
        <v>1145.7508474609299</v>
      </c>
      <c r="P160">
        <v>2987.1550529023302</v>
      </c>
      <c r="Q160">
        <v>11796.393990460099</v>
      </c>
      <c r="R160">
        <v>1363.29167533905</v>
      </c>
      <c r="S160">
        <v>263.53828262876198</v>
      </c>
      <c r="T160">
        <v>451.35068427325899</v>
      </c>
      <c r="U160">
        <v>179.86269852117701</v>
      </c>
      <c r="V160">
        <v>414.069333810187</v>
      </c>
      <c r="W160">
        <v>165.02860658512299</v>
      </c>
      <c r="X160">
        <v>208.12728863517</v>
      </c>
      <c r="Y160">
        <v>871.69708572931302</v>
      </c>
      <c r="Z160">
        <v>172.72926181017101</v>
      </c>
      <c r="AA160">
        <v>850.402450392947</v>
      </c>
      <c r="AB160">
        <v>956.01370130990199</v>
      </c>
      <c r="AC160">
        <v>817.76351752648998</v>
      </c>
      <c r="AD160">
        <v>1011.78645612719</v>
      </c>
      <c r="AE160">
        <v>844.09215549695</v>
      </c>
      <c r="AF160">
        <v>747.75256572152</v>
      </c>
      <c r="AG160">
        <v>906.94255953417996</v>
      </c>
    </row>
    <row r="161" spans="1:33" x14ac:dyDescent="0.25">
      <c r="A161" s="1">
        <v>44212</v>
      </c>
      <c r="B161">
        <v>12470.2044261747</v>
      </c>
      <c r="C161">
        <v>10881.645644620199</v>
      </c>
      <c r="D161">
        <v>11048.548379346301</v>
      </c>
      <c r="E161">
        <v>13001.567979571</v>
      </c>
      <c r="F161">
        <v>16463.238244427299</v>
      </c>
      <c r="G161">
        <v>15820.3303367312</v>
      </c>
      <c r="H161">
        <v>26900.763275264901</v>
      </c>
      <c r="I161">
        <v>19403.366574388801</v>
      </c>
      <c r="J161">
        <v>2326.71989629984</v>
      </c>
      <c r="K161">
        <v>2572.8384635471798</v>
      </c>
      <c r="L161">
        <v>1196.2242734481599</v>
      </c>
      <c r="M161">
        <v>14087.069584667601</v>
      </c>
      <c r="N161">
        <v>4609.1134909289303</v>
      </c>
      <c r="O161">
        <v>1170.1318378700601</v>
      </c>
      <c r="P161">
        <v>3014.3994343500099</v>
      </c>
      <c r="Q161">
        <v>11968.766802878699</v>
      </c>
      <c r="R161">
        <v>1379.1561125512801</v>
      </c>
      <c r="S161">
        <v>262.60773408086197</v>
      </c>
      <c r="T161">
        <v>456.807878401084</v>
      </c>
      <c r="U161">
        <v>180.176613172982</v>
      </c>
      <c r="V161">
        <v>419.22044311752398</v>
      </c>
      <c r="W161">
        <v>157.98305796288</v>
      </c>
      <c r="X161">
        <v>210.421268189892</v>
      </c>
      <c r="Y161">
        <v>888.79203711624405</v>
      </c>
      <c r="Z161">
        <v>172.940283716241</v>
      </c>
      <c r="AA161">
        <v>850.09984722312697</v>
      </c>
      <c r="AB161">
        <v>973.54026541275903</v>
      </c>
      <c r="AC161">
        <v>825.17129637873802</v>
      </c>
      <c r="AD161">
        <v>1017.4231544685</v>
      </c>
      <c r="AE161">
        <v>831.00077196131599</v>
      </c>
      <c r="AF161">
        <v>750.26300251994098</v>
      </c>
      <c r="AG161">
        <v>914.50521193786005</v>
      </c>
    </row>
    <row r="162" spans="1:33" x14ac:dyDescent="0.25">
      <c r="A162" s="1">
        <v>44213</v>
      </c>
      <c r="B162">
        <v>12509.104390417901</v>
      </c>
      <c r="C162">
        <v>11287.905353794</v>
      </c>
      <c r="D162">
        <v>11055.804221609</v>
      </c>
      <c r="E162">
        <v>12930.0227341677</v>
      </c>
      <c r="F162">
        <v>16622.802089502002</v>
      </c>
      <c r="G162">
        <v>15913.302118901</v>
      </c>
      <c r="H162">
        <v>26831.877332778</v>
      </c>
      <c r="I162">
        <v>19406.945455662899</v>
      </c>
      <c r="J162">
        <v>2330.17334717619</v>
      </c>
      <c r="K162">
        <v>2544.3900635845998</v>
      </c>
      <c r="L162">
        <v>1204.03091648995</v>
      </c>
      <c r="M162">
        <v>14150.3277735551</v>
      </c>
      <c r="N162">
        <v>4499.4260977137201</v>
      </c>
      <c r="O162">
        <v>1181.2286878541299</v>
      </c>
      <c r="P162">
        <v>2987.2548644905501</v>
      </c>
      <c r="Q162">
        <v>11969.5900203825</v>
      </c>
      <c r="R162">
        <v>1381.8799944166699</v>
      </c>
      <c r="S162">
        <v>261.68597794528199</v>
      </c>
      <c r="T162">
        <v>422.38826995562903</v>
      </c>
      <c r="U162">
        <v>177.295113197924</v>
      </c>
      <c r="V162">
        <v>360.878936080909</v>
      </c>
      <c r="W162">
        <v>165.72257878248601</v>
      </c>
      <c r="X162">
        <v>190.258959211193</v>
      </c>
      <c r="Y162">
        <v>906.76406453571303</v>
      </c>
      <c r="Z162">
        <v>172.81626704510799</v>
      </c>
      <c r="AA162">
        <v>852.25931847792799</v>
      </c>
      <c r="AB162">
        <v>993.05707788191796</v>
      </c>
      <c r="AC162">
        <v>829.36577045208503</v>
      </c>
      <c r="AD162">
        <v>1016.78990064037</v>
      </c>
      <c r="AE162">
        <v>839.22987723152198</v>
      </c>
      <c r="AF162">
        <v>753.13902879275599</v>
      </c>
      <c r="AG162">
        <v>919.14398938905595</v>
      </c>
    </row>
    <row r="163" spans="1:33" x14ac:dyDescent="0.25">
      <c r="A163" s="1">
        <v>44214</v>
      </c>
      <c r="B163">
        <v>12553.088060272499</v>
      </c>
      <c r="C163">
        <v>11534.746510848099</v>
      </c>
      <c r="D163">
        <v>10989.162683672401</v>
      </c>
      <c r="E163">
        <v>12780.8741563189</v>
      </c>
      <c r="F163">
        <v>16821.114198896401</v>
      </c>
      <c r="G163">
        <v>15936.8411276975</v>
      </c>
      <c r="H163">
        <v>26383.264542262099</v>
      </c>
      <c r="I163">
        <v>19462.468664047199</v>
      </c>
      <c r="J163">
        <v>2332.4105865882002</v>
      </c>
      <c r="K163">
        <v>2514.9939653203701</v>
      </c>
      <c r="L163">
        <v>1194.4874493242201</v>
      </c>
      <c r="M163">
        <v>13588.5774166309</v>
      </c>
      <c r="N163">
        <v>3678.7737466551298</v>
      </c>
      <c r="O163">
        <v>1249.30734661018</v>
      </c>
      <c r="P163">
        <v>2865.4549476623802</v>
      </c>
      <c r="Q163">
        <v>11538.379458388799</v>
      </c>
      <c r="R163">
        <v>1410.0278011840801</v>
      </c>
      <c r="S163">
        <v>260.64077093617999</v>
      </c>
      <c r="T163">
        <v>350.19635941596601</v>
      </c>
      <c r="U163">
        <v>178.288792556288</v>
      </c>
      <c r="V163">
        <v>252.81893382778901</v>
      </c>
      <c r="W163">
        <v>174.08073601582001</v>
      </c>
      <c r="X163">
        <v>176.697857051613</v>
      </c>
      <c r="Y163">
        <v>935.99471996862997</v>
      </c>
      <c r="Z163">
        <v>172.94807561406299</v>
      </c>
      <c r="AA163">
        <v>851.48052543305198</v>
      </c>
      <c r="AB163">
        <v>1023.0702203201899</v>
      </c>
      <c r="AC163">
        <v>830.70575929011204</v>
      </c>
      <c r="AD163">
        <v>1006.24303219528</v>
      </c>
      <c r="AE163">
        <v>853.86892734125797</v>
      </c>
      <c r="AF163">
        <v>755.85053216148106</v>
      </c>
      <c r="AG163">
        <v>920.10306435421705</v>
      </c>
    </row>
    <row r="164" spans="1:33" x14ac:dyDescent="0.25">
      <c r="A164" s="1">
        <v>44215</v>
      </c>
      <c r="B164">
        <v>12539.492956492901</v>
      </c>
      <c r="C164">
        <v>11783.631394829299</v>
      </c>
      <c r="D164">
        <v>10894.3871884417</v>
      </c>
      <c r="E164">
        <v>12516.3433811301</v>
      </c>
      <c r="F164">
        <v>15464.5726823108</v>
      </c>
      <c r="G164">
        <v>13607.7459130266</v>
      </c>
      <c r="H164">
        <v>24377.5395118753</v>
      </c>
      <c r="I164">
        <v>19544.380711739399</v>
      </c>
      <c r="J164">
        <v>2216.62144355182</v>
      </c>
      <c r="K164">
        <v>2254.8289412809099</v>
      </c>
      <c r="L164">
        <v>1084.5312564483099</v>
      </c>
      <c r="M164">
        <v>11007.547235947501</v>
      </c>
      <c r="N164">
        <v>2116.1222207765099</v>
      </c>
      <c r="O164">
        <v>1064.3502288975899</v>
      </c>
      <c r="P164">
        <v>2490.85048563582</v>
      </c>
      <c r="Q164">
        <v>9246.8136687748392</v>
      </c>
      <c r="R164">
        <v>1269.31801118718</v>
      </c>
      <c r="S164">
        <v>279.26751324263103</v>
      </c>
      <c r="T164">
        <v>263.80101246501403</v>
      </c>
      <c r="U164">
        <v>176.20496210784501</v>
      </c>
      <c r="V164">
        <v>184.53895827822001</v>
      </c>
      <c r="W164">
        <v>187.142478977151</v>
      </c>
      <c r="X164">
        <v>164.94896546567799</v>
      </c>
      <c r="Y164">
        <v>886.43151571444605</v>
      </c>
      <c r="Z164">
        <v>172.88583744444199</v>
      </c>
      <c r="AA164">
        <v>853.19804449314199</v>
      </c>
      <c r="AB164">
        <v>949.41061552151803</v>
      </c>
      <c r="AC164">
        <v>828.67346447605701</v>
      </c>
      <c r="AD164">
        <v>932.60038076241801</v>
      </c>
      <c r="AE164">
        <v>872.55277095773204</v>
      </c>
      <c r="AF164">
        <v>769.90637649819405</v>
      </c>
      <c r="AG164">
        <v>922.382978504947</v>
      </c>
    </row>
    <row r="165" spans="1:33" x14ac:dyDescent="0.25">
      <c r="A165" s="1">
        <v>44216</v>
      </c>
      <c r="B165">
        <v>12637.725310276101</v>
      </c>
      <c r="C165">
        <v>9169.5830203404294</v>
      </c>
      <c r="D165">
        <v>11001.4000199005</v>
      </c>
      <c r="E165">
        <v>12863.4287320208</v>
      </c>
      <c r="F165">
        <v>15800.5469504715</v>
      </c>
      <c r="G165">
        <v>15405.5751164392</v>
      </c>
      <c r="H165">
        <v>28258.241763326001</v>
      </c>
      <c r="I165">
        <v>19496.586369929399</v>
      </c>
      <c r="J165">
        <v>2282.1070156956998</v>
      </c>
      <c r="K165">
        <v>2448.0315460448801</v>
      </c>
      <c r="L165">
        <v>1065.70418486833</v>
      </c>
      <c r="M165">
        <v>13449.2246121794</v>
      </c>
      <c r="N165">
        <v>3577.8602215433998</v>
      </c>
      <c r="O165">
        <v>1202.96922905765</v>
      </c>
      <c r="P165">
        <v>2770.5707522124999</v>
      </c>
      <c r="Q165">
        <v>11373.3204620755</v>
      </c>
      <c r="R165">
        <v>1374.01921968906</v>
      </c>
      <c r="S165">
        <v>275.70558759711201</v>
      </c>
      <c r="T165">
        <v>305.33671914116502</v>
      </c>
      <c r="U165">
        <v>176.850383720791</v>
      </c>
      <c r="V165">
        <v>285.79540911999101</v>
      </c>
      <c r="W165">
        <v>171.34857356317499</v>
      </c>
      <c r="X165">
        <v>203.27846150329901</v>
      </c>
      <c r="Y165">
        <v>933.82027923905298</v>
      </c>
      <c r="Z165">
        <v>175.732337242802</v>
      </c>
      <c r="AA165">
        <v>834.42521831080103</v>
      </c>
      <c r="AB165">
        <v>1053.59182252542</v>
      </c>
      <c r="AC165">
        <v>828.60141438704602</v>
      </c>
      <c r="AD165">
        <v>960.544489952341</v>
      </c>
      <c r="AE165">
        <v>872.38054743713406</v>
      </c>
      <c r="AF165">
        <v>767.69249270802004</v>
      </c>
      <c r="AG165">
        <v>924.72833390776202</v>
      </c>
    </row>
    <row r="166" spans="1:33" x14ac:dyDescent="0.25">
      <c r="A166" s="1">
        <v>44217</v>
      </c>
      <c r="B166">
        <v>12942.4406724374</v>
      </c>
      <c r="C166">
        <v>10502.6083210373</v>
      </c>
      <c r="D166">
        <v>11059.9170742061</v>
      </c>
      <c r="E166">
        <v>13084.9126093176</v>
      </c>
      <c r="F166">
        <v>17004.5195600773</v>
      </c>
      <c r="G166">
        <v>16488.245404149598</v>
      </c>
      <c r="H166">
        <v>29469.7185085116</v>
      </c>
      <c r="I166">
        <v>19541.056450205098</v>
      </c>
      <c r="J166">
        <v>2337.9318367849</v>
      </c>
      <c r="K166">
        <v>2558.7933450196801</v>
      </c>
      <c r="L166">
        <v>1184.64881448642</v>
      </c>
      <c r="M166">
        <v>14318.375138027801</v>
      </c>
      <c r="N166">
        <v>4141.8825530709</v>
      </c>
      <c r="O166">
        <v>1271.63776824091</v>
      </c>
      <c r="P166">
        <v>2930.0298953653701</v>
      </c>
      <c r="Q166">
        <v>12252.2194449526</v>
      </c>
      <c r="R166">
        <v>1475.0097160427899</v>
      </c>
      <c r="S166">
        <v>271.23274422966699</v>
      </c>
      <c r="T166">
        <v>323.62964756813199</v>
      </c>
      <c r="U166">
        <v>175.70176814988599</v>
      </c>
      <c r="V166">
        <v>311.51185383617099</v>
      </c>
      <c r="W166">
        <v>159.59260396524201</v>
      </c>
      <c r="X166">
        <v>211.337525248926</v>
      </c>
      <c r="Y166">
        <v>966.42971137571794</v>
      </c>
      <c r="Z166">
        <v>178.254800129616</v>
      </c>
      <c r="AA166">
        <v>836.76338198636699</v>
      </c>
      <c r="AB166">
        <v>1080.3931939737899</v>
      </c>
      <c r="AC166">
        <v>830.63030202079506</v>
      </c>
      <c r="AD166">
        <v>1009.65826725358</v>
      </c>
      <c r="AE166">
        <v>878.913880203845</v>
      </c>
      <c r="AF166">
        <v>766.76151208374699</v>
      </c>
      <c r="AG166">
        <v>919.67360211813605</v>
      </c>
    </row>
    <row r="167" spans="1:33" x14ac:dyDescent="0.25">
      <c r="A167" s="1">
        <v>44218</v>
      </c>
      <c r="B167">
        <v>13070.676148705899</v>
      </c>
      <c r="C167">
        <v>11694.955848207899</v>
      </c>
      <c r="D167">
        <v>10906.565000483401</v>
      </c>
      <c r="E167">
        <v>13317.5571694912</v>
      </c>
      <c r="F167">
        <v>17885.024548011501</v>
      </c>
      <c r="G167">
        <v>17574.872134586301</v>
      </c>
      <c r="H167">
        <v>30825.882575650401</v>
      </c>
      <c r="I167">
        <v>19655.479340100701</v>
      </c>
      <c r="J167">
        <v>2415.6622400343899</v>
      </c>
      <c r="K167">
        <v>2813.7216038104898</v>
      </c>
      <c r="L167">
        <v>1278.2265401914401</v>
      </c>
      <c r="M167">
        <v>15809.915426367201</v>
      </c>
      <c r="N167">
        <v>5222.3394722642597</v>
      </c>
      <c r="O167">
        <v>1351.0918848097799</v>
      </c>
      <c r="P167">
        <v>3307.0153102000099</v>
      </c>
      <c r="Q167">
        <v>13425.0449970794</v>
      </c>
      <c r="R167">
        <v>1578.6904309664801</v>
      </c>
      <c r="S167">
        <v>266.95887379753901</v>
      </c>
      <c r="T167">
        <v>407.13813742180599</v>
      </c>
      <c r="U167">
        <v>174.04947071114299</v>
      </c>
      <c r="V167">
        <v>392.689721839453</v>
      </c>
      <c r="W167">
        <v>158.5036724041</v>
      </c>
      <c r="X167">
        <v>240.10036515519101</v>
      </c>
      <c r="Y167">
        <v>976.26250594268095</v>
      </c>
      <c r="Z167">
        <v>181.01310975026701</v>
      </c>
      <c r="AA167">
        <v>853.37038534127703</v>
      </c>
      <c r="AB167">
        <v>1095.1281156632399</v>
      </c>
      <c r="AC167">
        <v>832.75558979809</v>
      </c>
      <c r="AD167">
        <v>1086.5678077725099</v>
      </c>
      <c r="AE167">
        <v>862.04882880832497</v>
      </c>
      <c r="AF167">
        <v>766.18312649841801</v>
      </c>
      <c r="AG167">
        <v>890.87760733727396</v>
      </c>
    </row>
    <row r="168" spans="1:33" x14ac:dyDescent="0.25">
      <c r="A168" s="1">
        <v>44219</v>
      </c>
      <c r="B168">
        <v>13075.935931931301</v>
      </c>
      <c r="C168">
        <v>12735.4377062311</v>
      </c>
      <c r="D168">
        <v>10722.833547443901</v>
      </c>
      <c r="E168">
        <v>13057.1509077839</v>
      </c>
      <c r="F168">
        <v>18075.119816930601</v>
      </c>
      <c r="G168">
        <v>17091.551432335102</v>
      </c>
      <c r="H168">
        <v>29023.956518733401</v>
      </c>
      <c r="I168">
        <v>19880.700151745299</v>
      </c>
      <c r="J168">
        <v>2418.3256395076201</v>
      </c>
      <c r="K168">
        <v>2719.8035925149402</v>
      </c>
      <c r="L168">
        <v>1265.32522110226</v>
      </c>
      <c r="M168">
        <v>15119.4803844249</v>
      </c>
      <c r="N168">
        <v>4401.2648618392996</v>
      </c>
      <c r="O168">
        <v>1283.54233833905</v>
      </c>
      <c r="P168">
        <v>3165.85882501983</v>
      </c>
      <c r="Q168">
        <v>12867.7570701895</v>
      </c>
      <c r="R168">
        <v>1535.0430774050101</v>
      </c>
      <c r="S168">
        <v>269.22615335260502</v>
      </c>
      <c r="T168">
        <v>327.66455585690301</v>
      </c>
      <c r="U168">
        <v>171.36450252173901</v>
      </c>
      <c r="V168">
        <v>287.58377403185</v>
      </c>
      <c r="W168">
        <v>158.124029172343</v>
      </c>
      <c r="X168">
        <v>184.67408446116499</v>
      </c>
      <c r="Y168">
        <v>947.95491012875698</v>
      </c>
      <c r="Z168">
        <v>182.44283430803901</v>
      </c>
      <c r="AA168">
        <v>865.54575524185304</v>
      </c>
      <c r="AB168">
        <v>1058.1161155585401</v>
      </c>
      <c r="AC168">
        <v>838.25689093813503</v>
      </c>
      <c r="AD168">
        <v>1071.6669336858299</v>
      </c>
      <c r="AE168">
        <v>844.55628296724694</v>
      </c>
      <c r="AF168">
        <v>768.60554141306795</v>
      </c>
      <c r="AG168">
        <v>883.014758544448</v>
      </c>
    </row>
    <row r="169" spans="1:33" x14ac:dyDescent="0.25">
      <c r="A169" s="1">
        <v>44220</v>
      </c>
      <c r="B169">
        <v>12883.8501667892</v>
      </c>
      <c r="C169">
        <v>12165.061720911201</v>
      </c>
      <c r="D169">
        <v>10930.598224867201</v>
      </c>
      <c r="E169">
        <v>13122.6029630629</v>
      </c>
      <c r="F169">
        <v>17914.630184138699</v>
      </c>
      <c r="G169">
        <v>17414.7537194447</v>
      </c>
      <c r="H169">
        <v>29924.7573694079</v>
      </c>
      <c r="I169">
        <v>19997.008340792399</v>
      </c>
      <c r="J169">
        <v>2457.9247580270398</v>
      </c>
      <c r="K169">
        <v>2830.15080282804</v>
      </c>
      <c r="L169">
        <v>1280.9127388956899</v>
      </c>
      <c r="M169">
        <v>15774.333680374701</v>
      </c>
      <c r="N169">
        <v>5117.5765929055697</v>
      </c>
      <c r="O169">
        <v>1307.89414897454</v>
      </c>
      <c r="P169">
        <v>3313.4799642295502</v>
      </c>
      <c r="Q169">
        <v>13559.7158103235</v>
      </c>
      <c r="R169">
        <v>1579.2958373353899</v>
      </c>
      <c r="S169">
        <v>278.78658316854802</v>
      </c>
      <c r="T169">
        <v>407.64040389934098</v>
      </c>
      <c r="U169">
        <v>171.596058700724</v>
      </c>
      <c r="V169">
        <v>375.56410148042897</v>
      </c>
      <c r="W169">
        <v>161.60898396856899</v>
      </c>
      <c r="X169">
        <v>216.803879660093</v>
      </c>
      <c r="Y169">
        <v>953.47663600851399</v>
      </c>
      <c r="Z169">
        <v>185.41099036746601</v>
      </c>
      <c r="AA169">
        <v>869.84256633633095</v>
      </c>
      <c r="AB169">
        <v>1058.83806004127</v>
      </c>
      <c r="AC169">
        <v>845.10127736899096</v>
      </c>
      <c r="AD169">
        <v>1103.0545081380301</v>
      </c>
      <c r="AE169">
        <v>845.26268066782598</v>
      </c>
      <c r="AF169">
        <v>770.03478384847995</v>
      </c>
      <c r="AG169">
        <v>892.31025719464503</v>
      </c>
    </row>
    <row r="170" spans="1:33" x14ac:dyDescent="0.25">
      <c r="A170" s="1">
        <v>44221</v>
      </c>
      <c r="B170">
        <v>12748.610864357601</v>
      </c>
      <c r="C170">
        <v>12802.5051376745</v>
      </c>
      <c r="D170">
        <v>11229.850756191599</v>
      </c>
      <c r="E170">
        <v>12866.2195530429</v>
      </c>
      <c r="F170">
        <v>18080.192271510601</v>
      </c>
      <c r="G170">
        <v>16880.413318843399</v>
      </c>
      <c r="H170">
        <v>29778.371290469899</v>
      </c>
      <c r="I170">
        <v>20060.227172459501</v>
      </c>
      <c r="J170">
        <v>2519.2011886646201</v>
      </c>
      <c r="K170">
        <v>2763.2182196056201</v>
      </c>
      <c r="L170">
        <v>1273.2731698698301</v>
      </c>
      <c r="M170">
        <v>15078.930666906899</v>
      </c>
      <c r="N170">
        <v>4550.4998454710803</v>
      </c>
      <c r="O170">
        <v>1347.06367606394</v>
      </c>
      <c r="P170">
        <v>3160.74077980322</v>
      </c>
      <c r="Q170">
        <v>12936.6679251111</v>
      </c>
      <c r="R170">
        <v>1596.99416334532</v>
      </c>
      <c r="S170">
        <v>279.64521549325298</v>
      </c>
      <c r="T170">
        <v>352.511421185838</v>
      </c>
      <c r="U170">
        <v>171.90010835381</v>
      </c>
      <c r="V170">
        <v>273.57257070123597</v>
      </c>
      <c r="W170">
        <v>165.225905935811</v>
      </c>
      <c r="X170">
        <v>169.24528510816199</v>
      </c>
      <c r="Y170">
        <v>954.82223115752197</v>
      </c>
      <c r="Z170">
        <v>186.916476302371</v>
      </c>
      <c r="AA170">
        <v>883.81195777410505</v>
      </c>
      <c r="AB170">
        <v>1041.2778992375299</v>
      </c>
      <c r="AC170">
        <v>848.18057150127197</v>
      </c>
      <c r="AD170">
        <v>1084.9808022013201</v>
      </c>
      <c r="AE170">
        <v>847.701795717133</v>
      </c>
      <c r="AF170">
        <v>767.17027153004994</v>
      </c>
      <c r="AG170">
        <v>912.006049985554</v>
      </c>
    </row>
    <row r="171" spans="1:33" x14ac:dyDescent="0.25">
      <c r="A171" s="1">
        <v>44222</v>
      </c>
      <c r="B171">
        <v>12600.0233262764</v>
      </c>
      <c r="C171">
        <v>12571.563702437699</v>
      </c>
      <c r="D171">
        <v>11692.9271901267</v>
      </c>
      <c r="E171">
        <v>13235.059332986601</v>
      </c>
      <c r="F171">
        <v>17084.139370430501</v>
      </c>
      <c r="G171">
        <v>16169.4923147874</v>
      </c>
      <c r="H171">
        <v>28584.772798185899</v>
      </c>
      <c r="I171">
        <v>19436.1019261826</v>
      </c>
      <c r="J171">
        <v>2533.6451167150899</v>
      </c>
      <c r="K171">
        <v>2629.8489619369798</v>
      </c>
      <c r="L171">
        <v>1243.1413803299599</v>
      </c>
      <c r="M171">
        <v>15122.6659825511</v>
      </c>
      <c r="N171">
        <v>4702.0479249674099</v>
      </c>
      <c r="O171">
        <v>1209.9866810876499</v>
      </c>
      <c r="P171">
        <v>3083.9315910042701</v>
      </c>
      <c r="Q171">
        <v>12570.2992582958</v>
      </c>
      <c r="R171">
        <v>1444.04335501535</v>
      </c>
      <c r="S171">
        <v>295.179129346987</v>
      </c>
      <c r="T171">
        <v>378.50372063589401</v>
      </c>
      <c r="U171">
        <v>170.68384263632001</v>
      </c>
      <c r="V171">
        <v>341.47397657808301</v>
      </c>
      <c r="W171">
        <v>167.122567078907</v>
      </c>
      <c r="X171">
        <v>206.103967361234</v>
      </c>
      <c r="Y171">
        <v>933.95362709887195</v>
      </c>
      <c r="Z171">
        <v>191.820627544768</v>
      </c>
      <c r="AA171">
        <v>894.10950177754296</v>
      </c>
      <c r="AB171">
        <v>1013.82573796935</v>
      </c>
      <c r="AC171">
        <v>847.03595636362797</v>
      </c>
      <c r="AD171">
        <v>1067.2835606481499</v>
      </c>
      <c r="AE171">
        <v>855.55609499813397</v>
      </c>
      <c r="AF171">
        <v>775.27606060632695</v>
      </c>
      <c r="AG171">
        <v>931.11887660767297</v>
      </c>
    </row>
    <row r="172" spans="1:33" x14ac:dyDescent="0.25">
      <c r="A172" s="1">
        <v>44223</v>
      </c>
      <c r="B172">
        <v>12501.9282830964</v>
      </c>
      <c r="C172">
        <v>11837.578833879399</v>
      </c>
      <c r="D172">
        <v>12178.654786143001</v>
      </c>
      <c r="E172">
        <v>14407.5228739596</v>
      </c>
      <c r="F172">
        <v>18312.647988870998</v>
      </c>
      <c r="G172">
        <v>18879.579148402499</v>
      </c>
      <c r="H172">
        <v>30048.813613510301</v>
      </c>
      <c r="I172">
        <v>19542.931629357499</v>
      </c>
      <c r="J172">
        <v>2560.0974448822699</v>
      </c>
      <c r="K172">
        <v>3078.3751911190302</v>
      </c>
      <c r="L172">
        <v>1380.4993476305001</v>
      </c>
      <c r="M172">
        <v>17327.3965804443</v>
      </c>
      <c r="N172">
        <v>7045.8949632712602</v>
      </c>
      <c r="O172">
        <v>1281.0929539025601</v>
      </c>
      <c r="P172">
        <v>3809.4231096056501</v>
      </c>
      <c r="Q172">
        <v>14712.7322419345</v>
      </c>
      <c r="R172">
        <v>1518.3684930920799</v>
      </c>
      <c r="S172">
        <v>253.06350544362499</v>
      </c>
      <c r="T172">
        <v>702.71138667229104</v>
      </c>
      <c r="U172">
        <v>172.23301693906299</v>
      </c>
      <c r="V172">
        <v>699.05016762799801</v>
      </c>
      <c r="W172">
        <v>171.972366367483</v>
      </c>
      <c r="X172">
        <v>351.70792976225403</v>
      </c>
      <c r="Y172">
        <v>999.33957726739698</v>
      </c>
      <c r="Z172">
        <v>209.67274058757999</v>
      </c>
      <c r="AA172">
        <v>908.67008371807697</v>
      </c>
      <c r="AB172">
        <v>1061.3849157243301</v>
      </c>
      <c r="AC172">
        <v>843.53166363336595</v>
      </c>
      <c r="AD172">
        <v>1203.37134837958</v>
      </c>
      <c r="AE172">
        <v>847.07972383189394</v>
      </c>
      <c r="AF172">
        <v>780.01466749716496</v>
      </c>
      <c r="AG172">
        <v>956.13675129091098</v>
      </c>
    </row>
    <row r="173" spans="1:33" x14ac:dyDescent="0.25">
      <c r="A173" s="1">
        <v>44224</v>
      </c>
      <c r="B173">
        <v>12554.166460019</v>
      </c>
      <c r="C173">
        <v>12668.452967033099</v>
      </c>
      <c r="D173">
        <v>12106.819473301</v>
      </c>
      <c r="E173">
        <v>13952.195786197301</v>
      </c>
      <c r="F173">
        <v>18728.035376474301</v>
      </c>
      <c r="G173">
        <v>18288.565007467401</v>
      </c>
      <c r="H173">
        <v>28986.212855894399</v>
      </c>
      <c r="I173">
        <v>20079.340751916799</v>
      </c>
      <c r="J173">
        <v>2528.9041756910101</v>
      </c>
      <c r="K173">
        <v>3122.5219160748202</v>
      </c>
      <c r="L173">
        <v>1404.74043023528</v>
      </c>
      <c r="M173">
        <v>16551.156895124099</v>
      </c>
      <c r="N173">
        <v>5910.7970066149301</v>
      </c>
      <c r="O173">
        <v>1210.4003877118701</v>
      </c>
      <c r="P173">
        <v>3769.5733661263898</v>
      </c>
      <c r="Q173">
        <v>14366.283641283801</v>
      </c>
      <c r="R173">
        <v>1536.260555312</v>
      </c>
      <c r="S173">
        <v>284.28318126107899</v>
      </c>
      <c r="T173">
        <v>567.85216906074004</v>
      </c>
      <c r="U173">
        <v>173.58471650714699</v>
      </c>
      <c r="V173">
        <v>453.14546819637798</v>
      </c>
      <c r="W173">
        <v>174.75649738336301</v>
      </c>
      <c r="X173">
        <v>216.06829178902501</v>
      </c>
      <c r="Y173">
        <v>972.00471209777095</v>
      </c>
      <c r="Z173">
        <v>233.63120505515599</v>
      </c>
      <c r="AA173">
        <v>913.55723565064795</v>
      </c>
      <c r="AB173">
        <v>1042.4199685572</v>
      </c>
      <c r="AC173">
        <v>841.634291874567</v>
      </c>
      <c r="AD173">
        <v>1176.0208659938</v>
      </c>
      <c r="AE173">
        <v>711.74022462838604</v>
      </c>
      <c r="AF173">
        <v>791.17103054215499</v>
      </c>
      <c r="AG173">
        <v>990.60295054052699</v>
      </c>
    </row>
    <row r="174" spans="1:33" x14ac:dyDescent="0.25">
      <c r="A174" s="1">
        <v>44225</v>
      </c>
      <c r="B174">
        <v>12609.4334941876</v>
      </c>
      <c r="C174">
        <v>12583.0999653872</v>
      </c>
      <c r="D174">
        <v>12014.5769528903</v>
      </c>
      <c r="E174">
        <v>13525.039116541</v>
      </c>
      <c r="F174">
        <v>17943.4236132162</v>
      </c>
      <c r="G174">
        <v>16298.0678765458</v>
      </c>
      <c r="H174">
        <v>27234.676898345799</v>
      </c>
      <c r="I174">
        <v>20483.098652746601</v>
      </c>
      <c r="J174">
        <v>2473.8440075286298</v>
      </c>
      <c r="K174">
        <v>2703.7346359778098</v>
      </c>
      <c r="L174">
        <v>1258.1115004189401</v>
      </c>
      <c r="M174">
        <v>14576.246815005999</v>
      </c>
      <c r="N174">
        <v>4382.5581750138199</v>
      </c>
      <c r="O174">
        <v>993.30309292447305</v>
      </c>
      <c r="P174">
        <v>3153.9561902290202</v>
      </c>
      <c r="Q174">
        <v>12510.7263928063</v>
      </c>
      <c r="R174">
        <v>1339.0244018451499</v>
      </c>
      <c r="S174">
        <v>310.15940563461299</v>
      </c>
      <c r="T174">
        <v>395.77698853443701</v>
      </c>
      <c r="U174">
        <v>180.35776265415399</v>
      </c>
      <c r="V174">
        <v>286.687004058063</v>
      </c>
      <c r="W174">
        <v>167.18443724823101</v>
      </c>
      <c r="X174">
        <v>179.416153784995</v>
      </c>
      <c r="Y174">
        <v>901.221288625331</v>
      </c>
      <c r="Z174">
        <v>240.690206711412</v>
      </c>
      <c r="AA174">
        <v>921.16736008259795</v>
      </c>
      <c r="AB174">
        <v>980.23478897952202</v>
      </c>
      <c r="AC174">
        <v>831.88718986459401</v>
      </c>
      <c r="AD174">
        <v>1052.3063896079</v>
      </c>
      <c r="AE174">
        <v>546.25140715147597</v>
      </c>
      <c r="AF174">
        <v>801.11316636708295</v>
      </c>
      <c r="AG174">
        <v>1041.5656287757199</v>
      </c>
    </row>
    <row r="175" spans="1:33" x14ac:dyDescent="0.25">
      <c r="A175" s="1">
        <v>44226</v>
      </c>
      <c r="B175">
        <v>12645.065556387</v>
      </c>
      <c r="C175">
        <v>10690.926223394399</v>
      </c>
      <c r="D175">
        <v>12048.9366566266</v>
      </c>
      <c r="E175">
        <v>13312.90602774</v>
      </c>
      <c r="F175">
        <v>16089.147519697801</v>
      </c>
      <c r="G175">
        <v>14207.8143732793</v>
      </c>
      <c r="H175">
        <v>25434.690413469201</v>
      </c>
      <c r="I175">
        <v>20205.739586146399</v>
      </c>
      <c r="J175">
        <v>2406.1301270542199</v>
      </c>
      <c r="K175">
        <v>2348.2430644586202</v>
      </c>
      <c r="L175">
        <v>1116.7844161769799</v>
      </c>
      <c r="M175">
        <v>12552.7388972716</v>
      </c>
      <c r="N175">
        <v>3075.62152214976</v>
      </c>
      <c r="O175">
        <v>837.43630113871404</v>
      </c>
      <c r="P175">
        <v>2650.5617588273799</v>
      </c>
      <c r="Q175">
        <v>10436.556602356401</v>
      </c>
      <c r="R175">
        <v>1120.90197947106</v>
      </c>
      <c r="S175">
        <v>331.51786195339002</v>
      </c>
      <c r="T175">
        <v>305.36052698508598</v>
      </c>
      <c r="U175">
        <v>191.62379484868401</v>
      </c>
      <c r="V175">
        <v>214.433606941319</v>
      </c>
      <c r="W175">
        <v>169.13899915527301</v>
      </c>
      <c r="X175">
        <v>171.790865551406</v>
      </c>
      <c r="Y175">
        <v>885.27834274520603</v>
      </c>
      <c r="Z175">
        <v>252.885024866181</v>
      </c>
      <c r="AA175">
        <v>928.04238679010302</v>
      </c>
      <c r="AB175">
        <v>958.10349530628503</v>
      </c>
      <c r="AC175">
        <v>708.85389509663696</v>
      </c>
      <c r="AD175">
        <v>956.92786776118896</v>
      </c>
      <c r="AE175">
        <v>565.464190347819</v>
      </c>
      <c r="AF175">
        <v>821.73357659666101</v>
      </c>
      <c r="AG175">
        <v>1087.20059260934</v>
      </c>
    </row>
    <row r="176" spans="1:33" x14ac:dyDescent="0.25">
      <c r="A176" s="1">
        <v>44227</v>
      </c>
      <c r="B176">
        <v>12716.5289049858</v>
      </c>
      <c r="C176">
        <v>8886.5490756722102</v>
      </c>
      <c r="D176">
        <v>12076.7763974356</v>
      </c>
      <c r="E176">
        <v>13319.6183613429</v>
      </c>
      <c r="F176">
        <v>14884.409233935899</v>
      </c>
      <c r="G176">
        <v>13323.938273306099</v>
      </c>
      <c r="H176">
        <v>24833.464673850802</v>
      </c>
      <c r="I176">
        <v>19497.1950903295</v>
      </c>
      <c r="J176">
        <v>2349.8868209054899</v>
      </c>
      <c r="K176">
        <v>2155.02159717312</v>
      </c>
      <c r="L176">
        <v>1042.8345074429201</v>
      </c>
      <c r="M176">
        <v>11660.797870709401</v>
      </c>
      <c r="N176">
        <v>2547.0164965919298</v>
      </c>
      <c r="O176">
        <v>799.26902853435695</v>
      </c>
      <c r="P176">
        <v>2417.0384100248498</v>
      </c>
      <c r="Q176">
        <v>9464.6762251998807</v>
      </c>
      <c r="R176">
        <v>1048.01697066413</v>
      </c>
      <c r="S176">
        <v>351.32924268657803</v>
      </c>
      <c r="T176">
        <v>267.984857903776</v>
      </c>
      <c r="U176">
        <v>251.769554938129</v>
      </c>
      <c r="V176">
        <v>183.099686368569</v>
      </c>
      <c r="W176">
        <v>170.345941197233</v>
      </c>
      <c r="X176">
        <v>169.11769492629901</v>
      </c>
      <c r="Y176">
        <v>833.96166370660205</v>
      </c>
      <c r="Z176">
        <v>255.857518114236</v>
      </c>
      <c r="AA176">
        <v>931.84575141659695</v>
      </c>
      <c r="AB176">
        <v>936.23407853472895</v>
      </c>
      <c r="AC176">
        <v>645.28529629913896</v>
      </c>
      <c r="AD176">
        <v>899.79597740525696</v>
      </c>
      <c r="AE176">
        <v>625.71758143236002</v>
      </c>
      <c r="AF176">
        <v>856.85170331611096</v>
      </c>
      <c r="AG176">
        <v>1098.8846423083901</v>
      </c>
    </row>
    <row r="177" spans="1:33" x14ac:dyDescent="0.25">
      <c r="A177" s="1">
        <v>44228</v>
      </c>
      <c r="B177">
        <v>12810.18419652</v>
      </c>
      <c r="C177">
        <v>8134.6601332605296</v>
      </c>
      <c r="D177">
        <v>11757.277266527</v>
      </c>
      <c r="E177">
        <v>13421.5296695663</v>
      </c>
      <c r="F177">
        <v>14332.164949723099</v>
      </c>
      <c r="G177">
        <v>13166.844839588101</v>
      </c>
      <c r="H177">
        <v>24971.1424029767</v>
      </c>
      <c r="I177">
        <v>18836.5398514558</v>
      </c>
      <c r="J177">
        <v>2297.88182011037</v>
      </c>
      <c r="K177">
        <v>2039.4664026021901</v>
      </c>
      <c r="L177">
        <v>1000.70770634164</v>
      </c>
      <c r="M177">
        <v>11425.094774032899</v>
      </c>
      <c r="N177">
        <v>2325.3305840502699</v>
      </c>
      <c r="O177">
        <v>801.860291712248</v>
      </c>
      <c r="P177">
        <v>2301.66975424255</v>
      </c>
      <c r="Q177">
        <v>9224.7080934738697</v>
      </c>
      <c r="R177">
        <v>1028.1512751759201</v>
      </c>
      <c r="S177">
        <v>369.35619701646698</v>
      </c>
      <c r="T177">
        <v>248.65789981123899</v>
      </c>
      <c r="U177">
        <v>226.80789543897001</v>
      </c>
      <c r="V177">
        <v>180.89572053121799</v>
      </c>
      <c r="W177">
        <v>183.51216316067601</v>
      </c>
      <c r="X177">
        <v>169.16090194052401</v>
      </c>
      <c r="Y177">
        <v>768.66726378179101</v>
      </c>
      <c r="Z177">
        <v>242.56113801633001</v>
      </c>
      <c r="AA177">
        <v>933.12251335490396</v>
      </c>
      <c r="AB177">
        <v>890.68364523461605</v>
      </c>
      <c r="AC177">
        <v>662.45735373789898</v>
      </c>
      <c r="AD177">
        <v>865.100469293576</v>
      </c>
      <c r="AE177">
        <v>671.73353857792404</v>
      </c>
      <c r="AF177">
        <v>862.213068167031</v>
      </c>
      <c r="AG177">
        <v>1079.9504294692899</v>
      </c>
    </row>
    <row r="178" spans="1:33" x14ac:dyDescent="0.25">
      <c r="A178" s="1">
        <v>44229</v>
      </c>
      <c r="B178">
        <v>12827.2856419327</v>
      </c>
      <c r="C178">
        <v>7993.7155525177304</v>
      </c>
      <c r="D178">
        <v>10773.0628038505</v>
      </c>
      <c r="E178">
        <v>13189.7762338062</v>
      </c>
      <c r="F178">
        <v>13742.4991138478</v>
      </c>
      <c r="G178">
        <v>12119.328550889701</v>
      </c>
      <c r="H178">
        <v>23293.994305570701</v>
      </c>
      <c r="I178">
        <v>18586.551403510701</v>
      </c>
      <c r="J178">
        <v>2235.3206002007801</v>
      </c>
      <c r="K178">
        <v>1869.8367140975799</v>
      </c>
      <c r="L178">
        <v>978.32655447550098</v>
      </c>
      <c r="M178">
        <v>10277.121444251199</v>
      </c>
      <c r="N178">
        <v>1691.6184517919601</v>
      </c>
      <c r="O178">
        <v>740.16019194870796</v>
      </c>
      <c r="P178">
        <v>2038.04884033298</v>
      </c>
      <c r="Q178">
        <v>7966.6489338801903</v>
      </c>
      <c r="R178">
        <v>967.44001647879202</v>
      </c>
      <c r="S178">
        <v>381.584009997946</v>
      </c>
      <c r="T178">
        <v>227.44806367165901</v>
      </c>
      <c r="U178">
        <v>226.85144975983599</v>
      </c>
      <c r="V178">
        <v>187.30789992200701</v>
      </c>
      <c r="W178">
        <v>174.354946447652</v>
      </c>
      <c r="X178">
        <v>183.79772690349799</v>
      </c>
      <c r="Y178">
        <v>772.47867178538104</v>
      </c>
      <c r="Z178">
        <v>224.99505545354199</v>
      </c>
      <c r="AA178">
        <v>934.68704906140795</v>
      </c>
      <c r="AB178">
        <v>891.52830628155903</v>
      </c>
      <c r="AC178">
        <v>670.55468615544601</v>
      </c>
      <c r="AD178">
        <v>831.36851935004495</v>
      </c>
      <c r="AE178">
        <v>782.15811030220004</v>
      </c>
      <c r="AF178">
        <v>807.73636312079304</v>
      </c>
      <c r="AG178">
        <v>1053.6831988051299</v>
      </c>
    </row>
    <row r="179" spans="1:33" x14ac:dyDescent="0.25">
      <c r="A179" s="1">
        <v>44230</v>
      </c>
      <c r="B179">
        <v>12852.1007321301</v>
      </c>
      <c r="C179">
        <v>7136.69324850877</v>
      </c>
      <c r="D179">
        <v>9796.6311359167103</v>
      </c>
      <c r="E179">
        <v>12882.9296910131</v>
      </c>
      <c r="F179">
        <v>12155.0609554271</v>
      </c>
      <c r="G179">
        <v>10499.2607852744</v>
      </c>
      <c r="H179">
        <v>22032.1835576046</v>
      </c>
      <c r="I179">
        <v>18115.4314706816</v>
      </c>
      <c r="J179">
        <v>2181.7837751593001</v>
      </c>
      <c r="K179">
        <v>1709.5625137270899</v>
      </c>
      <c r="L179">
        <v>956.30536016972303</v>
      </c>
      <c r="M179">
        <v>8812.2964677557702</v>
      </c>
      <c r="N179">
        <v>1183.4461808982401</v>
      </c>
      <c r="O179">
        <v>660.21883070628405</v>
      </c>
      <c r="P179">
        <v>1805.3912896433501</v>
      </c>
      <c r="Q179">
        <v>6486.24009757358</v>
      </c>
      <c r="R179">
        <v>866.65542104166502</v>
      </c>
      <c r="S179">
        <v>403.61690870651898</v>
      </c>
      <c r="T179">
        <v>220.402362479044</v>
      </c>
      <c r="U179">
        <v>234.48971983863501</v>
      </c>
      <c r="V179">
        <v>189.99795901694901</v>
      </c>
      <c r="W179">
        <v>161.38402950375001</v>
      </c>
      <c r="X179">
        <v>181.037112301273</v>
      </c>
      <c r="Y179">
        <v>775.08708249922597</v>
      </c>
      <c r="Z179">
        <v>223.97681442953899</v>
      </c>
      <c r="AA179">
        <v>937.15253659487098</v>
      </c>
      <c r="AB179">
        <v>896.69338367024</v>
      </c>
      <c r="AC179">
        <v>693.30925940352301</v>
      </c>
      <c r="AD179">
        <v>806.42161638145797</v>
      </c>
      <c r="AE179">
        <v>911.77185964414696</v>
      </c>
      <c r="AF179">
        <v>738.19501306361303</v>
      </c>
      <c r="AG179">
        <v>1048.92208909082</v>
      </c>
    </row>
    <row r="180" spans="1:33" x14ac:dyDescent="0.25">
      <c r="A180" s="1">
        <v>44231</v>
      </c>
      <c r="B180">
        <v>12777.774269891601</v>
      </c>
      <c r="C180">
        <v>6198.0938126850297</v>
      </c>
      <c r="D180">
        <v>9208.1577315026498</v>
      </c>
      <c r="E180">
        <v>12619.7467164354</v>
      </c>
      <c r="F180">
        <v>11133.517171878701</v>
      </c>
      <c r="G180">
        <v>9229.4107101260306</v>
      </c>
      <c r="H180">
        <v>20878.749925889999</v>
      </c>
      <c r="I180">
        <v>17235.1176678345</v>
      </c>
      <c r="J180">
        <v>2124.4895517369</v>
      </c>
      <c r="K180">
        <v>1592.2940037124699</v>
      </c>
      <c r="L180">
        <v>928.58555621603398</v>
      </c>
      <c r="M180">
        <v>7631.7273682129598</v>
      </c>
      <c r="N180">
        <v>1009.89992653335</v>
      </c>
      <c r="O180">
        <v>630.82863173346595</v>
      </c>
      <c r="P180">
        <v>1663.3011449048699</v>
      </c>
      <c r="Q180">
        <v>5373.4444792346403</v>
      </c>
      <c r="R180">
        <v>821.12592161815803</v>
      </c>
      <c r="S180">
        <v>431.736651752348</v>
      </c>
      <c r="T180">
        <v>213.728374294915</v>
      </c>
      <c r="U180">
        <v>233.53367561190001</v>
      </c>
      <c r="V180">
        <v>179.99413385893101</v>
      </c>
      <c r="W180">
        <v>160.936153828985</v>
      </c>
      <c r="X180">
        <v>165.923634811075</v>
      </c>
      <c r="Y180">
        <v>801.87912963907002</v>
      </c>
      <c r="Z180">
        <v>225.28694594994499</v>
      </c>
      <c r="AA180">
        <v>938.06443094552503</v>
      </c>
      <c r="AB180">
        <v>909.90239288700002</v>
      </c>
      <c r="AC180">
        <v>739.88649665527305</v>
      </c>
      <c r="AD180">
        <v>783.13542858297501</v>
      </c>
      <c r="AE180">
        <v>1023.13292079582</v>
      </c>
      <c r="AF180">
        <v>699.54277976650803</v>
      </c>
      <c r="AG180">
        <v>1036.6469444642801</v>
      </c>
    </row>
    <row r="181" spans="1:33" x14ac:dyDescent="0.25">
      <c r="A181" s="1">
        <v>44232</v>
      </c>
      <c r="B181">
        <v>12558.818073108399</v>
      </c>
      <c r="C181">
        <v>5527.4128348206696</v>
      </c>
      <c r="D181">
        <v>8697.1744622163806</v>
      </c>
      <c r="E181">
        <v>12347.8053078145</v>
      </c>
      <c r="F181">
        <v>10656.1444545349</v>
      </c>
      <c r="G181">
        <v>9078.5888908167108</v>
      </c>
      <c r="H181">
        <v>21187.973142540301</v>
      </c>
      <c r="I181">
        <v>16495.979034066</v>
      </c>
      <c r="J181">
        <v>2080.4906679874898</v>
      </c>
      <c r="K181">
        <v>1506.6633902676799</v>
      </c>
      <c r="L181">
        <v>859.88470664440104</v>
      </c>
      <c r="M181">
        <v>7546.9635208112804</v>
      </c>
      <c r="N181">
        <v>1068.8606521757299</v>
      </c>
      <c r="O181">
        <v>638.02127212072503</v>
      </c>
      <c r="P181">
        <v>1593.27901101567</v>
      </c>
      <c r="Q181">
        <v>5444.5890670449799</v>
      </c>
      <c r="R181">
        <v>816.38832986416503</v>
      </c>
      <c r="S181">
        <v>437.44035616801</v>
      </c>
      <c r="T181">
        <v>207.43165563873299</v>
      </c>
      <c r="U181">
        <v>251.80878258826601</v>
      </c>
      <c r="V181">
        <v>172.89550743489801</v>
      </c>
      <c r="W181">
        <v>165.64586151549599</v>
      </c>
      <c r="X181">
        <v>160.73587844527</v>
      </c>
      <c r="Y181">
        <v>879.79063206230796</v>
      </c>
      <c r="Z181">
        <v>226.43878379155501</v>
      </c>
      <c r="AA181">
        <v>932.97799367606501</v>
      </c>
      <c r="AB181">
        <v>1010.90667802137</v>
      </c>
      <c r="AC181">
        <v>810.821215714613</v>
      </c>
      <c r="AD181">
        <v>759.16096342557705</v>
      </c>
      <c r="AE181">
        <v>1069.4286595783601</v>
      </c>
      <c r="AF181">
        <v>687.48883915893703</v>
      </c>
      <c r="AG181">
        <v>1009.33729454991</v>
      </c>
    </row>
    <row r="182" spans="1:33" x14ac:dyDescent="0.25">
      <c r="A182" s="1">
        <v>44233</v>
      </c>
      <c r="B182">
        <v>12213.5468344806</v>
      </c>
      <c r="C182">
        <v>5342.4965928533002</v>
      </c>
      <c r="D182">
        <v>8144.95150924875</v>
      </c>
      <c r="E182">
        <v>12022.5074223872</v>
      </c>
      <c r="F182">
        <v>10554.3800049985</v>
      </c>
      <c r="G182">
        <v>9173.3871941776597</v>
      </c>
      <c r="H182">
        <v>21717.1810347151</v>
      </c>
      <c r="I182">
        <v>15854.8309193157</v>
      </c>
      <c r="J182">
        <v>2019.1408032965601</v>
      </c>
      <c r="K182">
        <v>1464.7224308265399</v>
      </c>
      <c r="L182">
        <v>824.87988189037196</v>
      </c>
      <c r="M182">
        <v>7826.7065606569404</v>
      </c>
      <c r="N182">
        <v>1246.7360260338601</v>
      </c>
      <c r="O182">
        <v>657.15288605401395</v>
      </c>
      <c r="P182">
        <v>1571.1259428773801</v>
      </c>
      <c r="Q182">
        <v>5725.3692316065099</v>
      </c>
      <c r="R182">
        <v>832.31651423122696</v>
      </c>
      <c r="S182">
        <v>429.866277503677</v>
      </c>
      <c r="T182">
        <v>204.176230823938</v>
      </c>
      <c r="U182">
        <v>255.42396689083299</v>
      </c>
      <c r="V182">
        <v>178.05834726402401</v>
      </c>
      <c r="W182">
        <v>167.97528829763999</v>
      </c>
      <c r="X182">
        <v>165.960257753007</v>
      </c>
      <c r="Y182">
        <v>957.43090430917005</v>
      </c>
      <c r="Z182">
        <v>226.95057450214799</v>
      </c>
      <c r="AA182">
        <v>926.25949253577903</v>
      </c>
      <c r="AB182">
        <v>1086.0900861968</v>
      </c>
      <c r="AC182">
        <v>856.87327635578902</v>
      </c>
      <c r="AD182">
        <v>736.34546853849895</v>
      </c>
      <c r="AE182">
        <v>1082.4050186670099</v>
      </c>
      <c r="AF182">
        <v>689.17147715768203</v>
      </c>
      <c r="AG182">
        <v>997.795745861245</v>
      </c>
    </row>
    <row r="183" spans="1:33" x14ac:dyDescent="0.25">
      <c r="A183" s="1">
        <v>44234</v>
      </c>
      <c r="B183">
        <v>11801.757839841899</v>
      </c>
      <c r="C183">
        <v>5329.1077738521099</v>
      </c>
      <c r="D183">
        <v>7621.2811108064798</v>
      </c>
      <c r="E183">
        <v>11586.4018394462</v>
      </c>
      <c r="F183">
        <v>10658.1916423075</v>
      </c>
      <c r="G183">
        <v>9442.8509594640109</v>
      </c>
      <c r="H183">
        <v>22120.5600524125</v>
      </c>
      <c r="I183">
        <v>15189.8153083459</v>
      </c>
      <c r="J183">
        <v>1944.08987903243</v>
      </c>
      <c r="K183">
        <v>1431.04588453312</v>
      </c>
      <c r="L183">
        <v>817.44719880395201</v>
      </c>
      <c r="M183">
        <v>8077.6205266077104</v>
      </c>
      <c r="N183">
        <v>1384.00058516896</v>
      </c>
      <c r="O183">
        <v>672.75643930419096</v>
      </c>
      <c r="P183">
        <v>1552.82882371971</v>
      </c>
      <c r="Q183">
        <v>6094.5261430852997</v>
      </c>
      <c r="R183">
        <v>846.06849204468404</v>
      </c>
      <c r="S183">
        <v>425.945179186632</v>
      </c>
      <c r="T183">
        <v>205.950638793091</v>
      </c>
      <c r="U183">
        <v>272.46879640230901</v>
      </c>
      <c r="V183">
        <v>191.65629806061401</v>
      </c>
      <c r="W183">
        <v>176.023259718904</v>
      </c>
      <c r="X183">
        <v>171.114007251017</v>
      </c>
      <c r="Y183">
        <v>984.16980668690496</v>
      </c>
      <c r="Z183">
        <v>227.49456147189201</v>
      </c>
      <c r="AA183">
        <v>923.19278523316495</v>
      </c>
      <c r="AB183">
        <v>1088.5807099290701</v>
      </c>
      <c r="AC183">
        <v>888.31751955015704</v>
      </c>
      <c r="AD183">
        <v>721.55514065797297</v>
      </c>
      <c r="AE183">
        <v>1084.8063077710001</v>
      </c>
      <c r="AF183">
        <v>694.47705868149205</v>
      </c>
      <c r="AG183">
        <v>986.49046605352601</v>
      </c>
    </row>
    <row r="184" spans="1:33" x14ac:dyDescent="0.25">
      <c r="A184" s="1">
        <v>44235</v>
      </c>
      <c r="B184">
        <v>11372.5595237425</v>
      </c>
      <c r="C184">
        <v>5463.5474116445503</v>
      </c>
      <c r="D184">
        <v>7242.8488152121599</v>
      </c>
      <c r="E184">
        <v>11102.0405171037</v>
      </c>
      <c r="F184">
        <v>10986.2112117122</v>
      </c>
      <c r="G184">
        <v>10185.4845342381</v>
      </c>
      <c r="H184">
        <v>22772.946999629999</v>
      </c>
      <c r="I184">
        <v>14733.5654889585</v>
      </c>
      <c r="J184">
        <v>1859.0345414189401</v>
      </c>
      <c r="K184">
        <v>1419.7134178408501</v>
      </c>
      <c r="L184">
        <v>819.28346688306397</v>
      </c>
      <c r="M184">
        <v>8652.9293643031397</v>
      </c>
      <c r="N184">
        <v>1691.1289097965</v>
      </c>
      <c r="O184">
        <v>709.44641693775202</v>
      </c>
      <c r="P184">
        <v>1560.08685182623</v>
      </c>
      <c r="Q184">
        <v>6752.6667288991403</v>
      </c>
      <c r="R184">
        <v>862.49022472715205</v>
      </c>
      <c r="S184">
        <v>416.645092361602</v>
      </c>
      <c r="T184">
        <v>217.54083859601599</v>
      </c>
      <c r="U184">
        <v>275.73466619115402</v>
      </c>
      <c r="V184">
        <v>215.037678852022</v>
      </c>
      <c r="W184">
        <v>176.544050529716</v>
      </c>
      <c r="X184">
        <v>179.00984622158899</v>
      </c>
      <c r="Y184">
        <v>983.43276089892595</v>
      </c>
      <c r="Z184">
        <v>226.87019024590501</v>
      </c>
      <c r="AA184">
        <v>921.17888163672797</v>
      </c>
      <c r="AB184">
        <v>1078.0290501673601</v>
      </c>
      <c r="AC184">
        <v>901.31566879981494</v>
      </c>
      <c r="AD184">
        <v>724.18014874237599</v>
      </c>
      <c r="AE184">
        <v>1089.20077377194</v>
      </c>
      <c r="AF184">
        <v>701.04717629976199</v>
      </c>
      <c r="AG184">
        <v>977.69959481122203</v>
      </c>
    </row>
    <row r="185" spans="1:33" x14ac:dyDescent="0.25">
      <c r="A185" s="1">
        <v>44236</v>
      </c>
      <c r="B185">
        <v>10981.7211855651</v>
      </c>
      <c r="C185">
        <v>5938.9763115066098</v>
      </c>
      <c r="D185">
        <v>6847.95565029516</v>
      </c>
      <c r="E185">
        <v>10657.2394885304</v>
      </c>
      <c r="F185">
        <v>11364.7977658165</v>
      </c>
      <c r="G185">
        <v>10618.685469612201</v>
      </c>
      <c r="H185">
        <v>22963.3966606213</v>
      </c>
      <c r="I185">
        <v>14677.188389442599</v>
      </c>
      <c r="J185">
        <v>1791.6531218749401</v>
      </c>
      <c r="K185">
        <v>1399.64311746409</v>
      </c>
      <c r="L185">
        <v>827.603527584625</v>
      </c>
      <c r="M185">
        <v>9092.7103685340298</v>
      </c>
      <c r="N185">
        <v>1925.9504727891899</v>
      </c>
      <c r="O185">
        <v>741.09263538905702</v>
      </c>
      <c r="P185">
        <v>1543.07175936095</v>
      </c>
      <c r="Q185">
        <v>7174.6253060478602</v>
      </c>
      <c r="R185">
        <v>877.19233508268906</v>
      </c>
      <c r="S185">
        <v>406.335983156868</v>
      </c>
      <c r="T185">
        <v>236.24880620318899</v>
      </c>
      <c r="U185">
        <v>265.40666270385702</v>
      </c>
      <c r="V185">
        <v>231.62905299356299</v>
      </c>
      <c r="W185">
        <v>162.09834875957401</v>
      </c>
      <c r="X185">
        <v>187.24092855962201</v>
      </c>
      <c r="Y185">
        <v>987.21879875785498</v>
      </c>
      <c r="Z185">
        <v>224.99704608286899</v>
      </c>
      <c r="AA185">
        <v>917.39241456690104</v>
      </c>
      <c r="AB185">
        <v>1079.41307524748</v>
      </c>
      <c r="AC185">
        <v>905.65811196601805</v>
      </c>
      <c r="AD185">
        <v>728.14451919779106</v>
      </c>
      <c r="AE185">
        <v>1118.5853367587899</v>
      </c>
      <c r="AF185">
        <v>708.85057621589499</v>
      </c>
      <c r="AG185">
        <v>974.00181588044597</v>
      </c>
    </row>
    <row r="186" spans="1:33" x14ac:dyDescent="0.25">
      <c r="A186" s="1">
        <v>44237</v>
      </c>
      <c r="B186">
        <v>10622.524332265901</v>
      </c>
      <c r="C186">
        <v>6345.6663378667899</v>
      </c>
      <c r="D186">
        <v>6469.4969587440501</v>
      </c>
      <c r="E186">
        <v>10154.4986371252</v>
      </c>
      <c r="F186">
        <v>11431.9501945053</v>
      </c>
      <c r="G186">
        <v>10390.4947376172</v>
      </c>
      <c r="H186">
        <v>22367.937712617</v>
      </c>
      <c r="I186">
        <v>14705.780865119399</v>
      </c>
      <c r="J186">
        <v>1743.70418724767</v>
      </c>
      <c r="K186">
        <v>1350.8888567531901</v>
      </c>
      <c r="L186">
        <v>828.24332397475598</v>
      </c>
      <c r="M186">
        <v>8945.5651801407002</v>
      </c>
      <c r="N186">
        <v>1883.4232706436701</v>
      </c>
      <c r="O186">
        <v>745.41481820123397</v>
      </c>
      <c r="P186">
        <v>1482.5180389129901</v>
      </c>
      <c r="Q186">
        <v>7043.6225430811701</v>
      </c>
      <c r="R186">
        <v>872.447792404236</v>
      </c>
      <c r="S186">
        <v>402.421636251986</v>
      </c>
      <c r="T186">
        <v>236.349541671835</v>
      </c>
      <c r="U186">
        <v>268.07469259450698</v>
      </c>
      <c r="V186">
        <v>223.54387729705601</v>
      </c>
      <c r="W186">
        <v>162.50942321461301</v>
      </c>
      <c r="X186">
        <v>180.717475250891</v>
      </c>
      <c r="Y186">
        <v>1017.0606785904</v>
      </c>
      <c r="Z186">
        <v>222.523589275576</v>
      </c>
      <c r="AA186">
        <v>909.07125742075596</v>
      </c>
      <c r="AB186">
        <v>1103.1790923747401</v>
      </c>
      <c r="AC186">
        <v>914.64245749674603</v>
      </c>
      <c r="AD186">
        <v>726.59354560680799</v>
      </c>
      <c r="AE186">
        <v>1163.2662398791999</v>
      </c>
      <c r="AF186">
        <v>719.91121521611899</v>
      </c>
      <c r="AG186">
        <v>969.420280262549</v>
      </c>
    </row>
    <row r="187" spans="1:33" x14ac:dyDescent="0.25">
      <c r="A187" s="1">
        <v>44238</v>
      </c>
      <c r="B187">
        <v>10199.5806172597</v>
      </c>
      <c r="C187">
        <v>6188.96968706384</v>
      </c>
      <c r="D187">
        <v>6302.5948148302596</v>
      </c>
      <c r="E187">
        <v>9624.4285295781901</v>
      </c>
      <c r="F187">
        <v>11072.2905100392</v>
      </c>
      <c r="G187">
        <v>10084.222790608001</v>
      </c>
      <c r="H187">
        <v>21949.422914446899</v>
      </c>
      <c r="I187">
        <v>14486.9488174287</v>
      </c>
      <c r="J187">
        <v>1697.59646248114</v>
      </c>
      <c r="K187">
        <v>1315.0455852837999</v>
      </c>
      <c r="L187">
        <v>815.56621496812704</v>
      </c>
      <c r="M187">
        <v>8740.6678725833899</v>
      </c>
      <c r="N187">
        <v>1844.6976955159701</v>
      </c>
      <c r="O187">
        <v>717.96763962512102</v>
      </c>
      <c r="P187">
        <v>1446.0822855144199</v>
      </c>
      <c r="Q187">
        <v>6827.2939232110903</v>
      </c>
      <c r="R187">
        <v>839.51336866763404</v>
      </c>
      <c r="S187">
        <v>401.35617926232999</v>
      </c>
      <c r="T187">
        <v>233.87650234957201</v>
      </c>
      <c r="U187">
        <v>262.825904845205</v>
      </c>
      <c r="V187">
        <v>217.71697395601799</v>
      </c>
      <c r="W187">
        <v>158.621071369909</v>
      </c>
      <c r="X187">
        <v>169.68488690157699</v>
      </c>
      <c r="Y187">
        <v>987.740647389586</v>
      </c>
      <c r="Z187">
        <v>222.25972863473001</v>
      </c>
      <c r="AA187">
        <v>902.98179153687295</v>
      </c>
      <c r="AB187">
        <v>1064.8904635198801</v>
      </c>
      <c r="AC187">
        <v>943.85695028185603</v>
      </c>
      <c r="AD187">
        <v>716.87452261046599</v>
      </c>
      <c r="AE187">
        <v>1077.8540476554299</v>
      </c>
      <c r="AF187">
        <v>735.00083777288103</v>
      </c>
      <c r="AG187">
        <v>969.862576595262</v>
      </c>
    </row>
    <row r="188" spans="1:33" x14ac:dyDescent="0.25">
      <c r="A188" s="1">
        <v>44239</v>
      </c>
      <c r="B188">
        <v>9746.1490589253208</v>
      </c>
      <c r="C188">
        <v>5983.9551743878201</v>
      </c>
      <c r="D188">
        <v>6170.5894678453697</v>
      </c>
      <c r="E188">
        <v>9112.9965589942203</v>
      </c>
      <c r="F188">
        <v>11220.3509235315</v>
      </c>
      <c r="G188">
        <v>9903.1172971768392</v>
      </c>
      <c r="H188">
        <v>21780.9491954765</v>
      </c>
      <c r="I188">
        <v>14323.077662965001</v>
      </c>
      <c r="J188">
        <v>1646.4868680306699</v>
      </c>
      <c r="K188">
        <v>1275.5498206610901</v>
      </c>
      <c r="L188">
        <v>805.40969728473794</v>
      </c>
      <c r="M188">
        <v>8521.3797511366502</v>
      </c>
      <c r="N188">
        <v>1697.0627994828001</v>
      </c>
      <c r="O188">
        <v>718.76268160991401</v>
      </c>
      <c r="P188">
        <v>1399.4404207740499</v>
      </c>
      <c r="Q188">
        <v>6686.71320455976</v>
      </c>
      <c r="R188">
        <v>835.42142968854796</v>
      </c>
      <c r="S188">
        <v>403.49812617878803</v>
      </c>
      <c r="T188">
        <v>224.53523943566799</v>
      </c>
      <c r="U188">
        <v>257.71010194427902</v>
      </c>
      <c r="V188">
        <v>195.936415243276</v>
      </c>
      <c r="W188">
        <v>162.771291162126</v>
      </c>
      <c r="X188">
        <v>162.29435324926399</v>
      </c>
      <c r="Y188">
        <v>1018.74055300293</v>
      </c>
      <c r="Z188">
        <v>222.64735898203901</v>
      </c>
      <c r="AA188">
        <v>892.16794207717101</v>
      </c>
      <c r="AB188">
        <v>1080.8330823935701</v>
      </c>
      <c r="AC188">
        <v>965.66952981363602</v>
      </c>
      <c r="AD188">
        <v>707.50886123219698</v>
      </c>
      <c r="AE188">
        <v>998.63536711371501</v>
      </c>
      <c r="AF188">
        <v>748.73018239631597</v>
      </c>
      <c r="AG188">
        <v>963.65489602620801</v>
      </c>
    </row>
    <row r="189" spans="1:33" x14ac:dyDescent="0.25">
      <c r="A189" s="1">
        <v>44240</v>
      </c>
      <c r="B189">
        <v>9328.1251318726008</v>
      </c>
      <c r="C189">
        <v>6114.69310219218</v>
      </c>
      <c r="D189">
        <v>6163.0920916262803</v>
      </c>
      <c r="E189">
        <v>8739.9169181421403</v>
      </c>
      <c r="F189">
        <v>10619.198421663799</v>
      </c>
      <c r="G189">
        <v>9454.6290770108008</v>
      </c>
      <c r="H189">
        <v>21359.360213987999</v>
      </c>
      <c r="I189">
        <v>14068.266152845001</v>
      </c>
      <c r="J189">
        <v>1613.9342800449499</v>
      </c>
      <c r="K189">
        <v>1236.35862096694</v>
      </c>
      <c r="L189">
        <v>782.40232373325603</v>
      </c>
      <c r="M189">
        <v>8042.9644872761601</v>
      </c>
      <c r="N189">
        <v>1461.9107537761499</v>
      </c>
      <c r="O189">
        <v>696.43949400151098</v>
      </c>
      <c r="P189">
        <v>1328.2046741454601</v>
      </c>
      <c r="Q189">
        <v>6348.0939570213604</v>
      </c>
      <c r="R189">
        <v>811.279738249704</v>
      </c>
      <c r="S189">
        <v>411.40447825237197</v>
      </c>
      <c r="T189">
        <v>214.899804461575</v>
      </c>
      <c r="U189">
        <v>248.818649241651</v>
      </c>
      <c r="V189">
        <v>184.130406686421</v>
      </c>
      <c r="W189">
        <v>176.655048431186</v>
      </c>
      <c r="X189">
        <v>162.29382151207301</v>
      </c>
      <c r="Y189">
        <v>1021.65847789439</v>
      </c>
      <c r="Z189">
        <v>223.85753711702</v>
      </c>
      <c r="AA189">
        <v>883.28150702227504</v>
      </c>
      <c r="AB189">
        <v>1075.9579459353299</v>
      </c>
      <c r="AC189">
        <v>970.72110171601196</v>
      </c>
      <c r="AD189">
        <v>689.185265398708</v>
      </c>
      <c r="AE189">
        <v>938.84934477808599</v>
      </c>
      <c r="AF189">
        <v>767.19420056645799</v>
      </c>
      <c r="AG189">
        <v>960.38291942755995</v>
      </c>
    </row>
    <row r="190" spans="1:33" x14ac:dyDescent="0.25">
      <c r="A190" s="1">
        <v>44241</v>
      </c>
      <c r="B190">
        <v>9078.9034875475409</v>
      </c>
      <c r="C190">
        <v>5724.7539963998397</v>
      </c>
      <c r="D190">
        <v>6073.9667707615499</v>
      </c>
      <c r="E190">
        <v>8445.23438943361</v>
      </c>
      <c r="F190">
        <v>10045.9423920503</v>
      </c>
      <c r="G190">
        <v>8396.6366880552505</v>
      </c>
      <c r="H190">
        <v>19863.376369524602</v>
      </c>
      <c r="I190">
        <v>13871.9552519464</v>
      </c>
      <c r="J190">
        <v>1597.11602742626</v>
      </c>
      <c r="K190">
        <v>1164.97601514644</v>
      </c>
      <c r="L190">
        <v>762.85787473026903</v>
      </c>
      <c r="M190">
        <v>7174.90987072598</v>
      </c>
      <c r="N190">
        <v>1125.2762803068699</v>
      </c>
      <c r="O190">
        <v>638.98467084736706</v>
      </c>
      <c r="P190">
        <v>1233.43457362237</v>
      </c>
      <c r="Q190">
        <v>5418.2823172462404</v>
      </c>
      <c r="R190">
        <v>762.277620009825</v>
      </c>
      <c r="S190">
        <v>432.061307808116</v>
      </c>
      <c r="T190">
        <v>201.50516474655001</v>
      </c>
      <c r="U190">
        <v>252.889676057022</v>
      </c>
      <c r="V190">
        <v>175.40027142693401</v>
      </c>
      <c r="W190">
        <v>190.1525914131</v>
      </c>
      <c r="X190">
        <v>164.265007012338</v>
      </c>
      <c r="Y190">
        <v>1014.22556987324</v>
      </c>
      <c r="Z190">
        <v>223.75252731621899</v>
      </c>
      <c r="AA190">
        <v>876.83752371157095</v>
      </c>
      <c r="AB190">
        <v>1071.0985276991901</v>
      </c>
      <c r="AC190">
        <v>924.39041830955796</v>
      </c>
      <c r="AD190">
        <v>670.37800208147405</v>
      </c>
      <c r="AE190">
        <v>917.08976933980796</v>
      </c>
      <c r="AF190">
        <v>790.79189221666195</v>
      </c>
      <c r="AG190">
        <v>951.70448371672205</v>
      </c>
    </row>
    <row r="191" spans="1:33" x14ac:dyDescent="0.25">
      <c r="A191" s="1">
        <v>44242</v>
      </c>
      <c r="B191">
        <v>8739.1252434639991</v>
      </c>
      <c r="C191">
        <v>5319.0798000716204</v>
      </c>
      <c r="D191">
        <v>6087.1985874421598</v>
      </c>
      <c r="E191">
        <v>8182.21105428788</v>
      </c>
      <c r="F191">
        <v>9703.4889620998892</v>
      </c>
      <c r="G191">
        <v>8554.3249525245901</v>
      </c>
      <c r="H191">
        <v>20097.4212638561</v>
      </c>
      <c r="I191">
        <v>13476.716988694599</v>
      </c>
      <c r="J191">
        <v>1569.2095210398099</v>
      </c>
      <c r="K191">
        <v>1143.05327896416</v>
      </c>
      <c r="L191">
        <v>731.42095538518197</v>
      </c>
      <c r="M191">
        <v>7273.2230643129797</v>
      </c>
      <c r="N191">
        <v>1144.2521231017299</v>
      </c>
      <c r="O191">
        <v>615.69844849451397</v>
      </c>
      <c r="P191">
        <v>1220.2392804930901</v>
      </c>
      <c r="Q191">
        <v>5449.0680105424999</v>
      </c>
      <c r="R191">
        <v>742.41650621541805</v>
      </c>
      <c r="S191">
        <v>426.353546567401</v>
      </c>
      <c r="T191">
        <v>201.13791430926099</v>
      </c>
      <c r="U191">
        <v>259.759879525933</v>
      </c>
      <c r="V191">
        <v>189.26585624176801</v>
      </c>
      <c r="W191">
        <v>198.011982311607</v>
      </c>
      <c r="X191">
        <v>183.05841793641599</v>
      </c>
      <c r="Y191">
        <v>990.41482622581896</v>
      </c>
      <c r="Z191">
        <v>222.76740518686901</v>
      </c>
      <c r="AA191">
        <v>867.68825710841998</v>
      </c>
      <c r="AB191">
        <v>1060.9220864282599</v>
      </c>
      <c r="AC191">
        <v>888.87317586095503</v>
      </c>
      <c r="AD191">
        <v>649.87407750156297</v>
      </c>
      <c r="AE191">
        <v>840.78207703602595</v>
      </c>
      <c r="AF191">
        <v>808.29227699993305</v>
      </c>
      <c r="AG191">
        <v>947.16586695061301</v>
      </c>
    </row>
    <row r="192" spans="1:33" x14ac:dyDescent="0.25">
      <c r="A192" s="1">
        <v>44243</v>
      </c>
      <c r="B192">
        <v>8395.4152292541294</v>
      </c>
      <c r="C192">
        <v>4966.9446844837603</v>
      </c>
      <c r="D192">
        <v>6056.1204768637899</v>
      </c>
      <c r="E192">
        <v>8160.6614812568596</v>
      </c>
      <c r="F192">
        <v>9228.7953601327899</v>
      </c>
      <c r="G192">
        <v>7692.11512645331</v>
      </c>
      <c r="H192">
        <v>19077.8008753586</v>
      </c>
      <c r="I192">
        <v>13340.349780409</v>
      </c>
      <c r="J192">
        <v>1542.5750154273901</v>
      </c>
      <c r="K192">
        <v>1083.2146199259901</v>
      </c>
      <c r="L192">
        <v>723.34904383982905</v>
      </c>
      <c r="M192">
        <v>6438.1873788457297</v>
      </c>
      <c r="N192">
        <v>765.65913202108402</v>
      </c>
      <c r="O192">
        <v>586.36116154899503</v>
      </c>
      <c r="P192">
        <v>1121.1137389053999</v>
      </c>
      <c r="Q192">
        <v>4520.3598533676404</v>
      </c>
      <c r="R192">
        <v>713.546824445791</v>
      </c>
      <c r="S192">
        <v>429.98373193231703</v>
      </c>
      <c r="T192">
        <v>200.305213305038</v>
      </c>
      <c r="U192">
        <v>259.25313759034401</v>
      </c>
      <c r="V192">
        <v>196.17408126208699</v>
      </c>
      <c r="W192">
        <v>197.88657830225699</v>
      </c>
      <c r="X192">
        <v>196.52833329294899</v>
      </c>
      <c r="Y192">
        <v>950.13811360415798</v>
      </c>
      <c r="Z192">
        <v>214.833572088415</v>
      </c>
      <c r="AA192">
        <v>857.08661700672405</v>
      </c>
      <c r="AB192">
        <v>1046.5020466758899</v>
      </c>
      <c r="AC192">
        <v>868.80097785158102</v>
      </c>
      <c r="AD192">
        <v>634.20579726052301</v>
      </c>
      <c r="AE192">
        <v>834.57567358179904</v>
      </c>
      <c r="AF192">
        <v>826.47447677144601</v>
      </c>
      <c r="AG192">
        <v>924.58518642336503</v>
      </c>
    </row>
    <row r="193" spans="1:33" x14ac:dyDescent="0.25">
      <c r="A193" s="1">
        <v>44244</v>
      </c>
      <c r="B193">
        <v>8179.9244116424197</v>
      </c>
      <c r="C193">
        <v>4943.1282823620804</v>
      </c>
      <c r="D193">
        <v>5987.4558938556502</v>
      </c>
      <c r="E193">
        <v>8121.1878536609302</v>
      </c>
      <c r="F193">
        <v>8466.1145115900108</v>
      </c>
      <c r="G193">
        <v>7034.95708225216</v>
      </c>
      <c r="H193">
        <v>18455.193698942101</v>
      </c>
      <c r="I193">
        <v>12949.0370942184</v>
      </c>
      <c r="J193">
        <v>1528.02964937395</v>
      </c>
      <c r="K193">
        <v>1043.92549578226</v>
      </c>
      <c r="L193">
        <v>669.81009736438102</v>
      </c>
      <c r="M193">
        <v>5778.0057620298203</v>
      </c>
      <c r="N193">
        <v>558.35123796374705</v>
      </c>
      <c r="O193">
        <v>556.18133513182897</v>
      </c>
      <c r="P193">
        <v>1075.7569744525099</v>
      </c>
      <c r="Q193">
        <v>3899.3520257916198</v>
      </c>
      <c r="R193">
        <v>677.41176788141797</v>
      </c>
      <c r="S193">
        <v>465.10520087553903</v>
      </c>
      <c r="T193">
        <v>202.24504636210199</v>
      </c>
      <c r="U193">
        <v>258.959596156028</v>
      </c>
      <c r="V193">
        <v>198.36894484271201</v>
      </c>
      <c r="W193">
        <v>197.47846383734301</v>
      </c>
      <c r="X193">
        <v>197.12534003744199</v>
      </c>
      <c r="Y193">
        <v>931.55064666644796</v>
      </c>
      <c r="Z193">
        <v>208.44165430231001</v>
      </c>
      <c r="AA193">
        <v>845.05318096869701</v>
      </c>
      <c r="AB193">
        <v>1026.9944020686401</v>
      </c>
      <c r="AC193">
        <v>843.47061420086197</v>
      </c>
      <c r="AD193">
        <v>606.00506243728103</v>
      </c>
      <c r="AE193">
        <v>825.88094178242704</v>
      </c>
      <c r="AF193">
        <v>848.69181034294502</v>
      </c>
      <c r="AG193">
        <v>901.66653664502905</v>
      </c>
    </row>
    <row r="194" spans="1:33" x14ac:dyDescent="0.25">
      <c r="A194" s="1">
        <v>44245</v>
      </c>
      <c r="B194">
        <v>8089.6039697474898</v>
      </c>
      <c r="C194">
        <v>3981.1852990125299</v>
      </c>
      <c r="D194">
        <v>5794.6885950451997</v>
      </c>
      <c r="E194">
        <v>8059.6370912800303</v>
      </c>
      <c r="F194">
        <v>8188.7093036972701</v>
      </c>
      <c r="G194">
        <v>6828.8175166193996</v>
      </c>
      <c r="H194">
        <v>19251.053082443101</v>
      </c>
      <c r="I194">
        <v>12525.4348532534</v>
      </c>
      <c r="J194">
        <v>1512.32999180926</v>
      </c>
      <c r="K194">
        <v>1019.01810710959</v>
      </c>
      <c r="L194">
        <v>622.86572841965199</v>
      </c>
      <c r="M194">
        <v>5641.8770032058001</v>
      </c>
      <c r="N194">
        <v>525.10038245840099</v>
      </c>
      <c r="O194">
        <v>554.94748166807005</v>
      </c>
      <c r="P194">
        <v>1065.6602614339299</v>
      </c>
      <c r="Q194">
        <v>3782.57793269479</v>
      </c>
      <c r="R194">
        <v>676.51680008790197</v>
      </c>
      <c r="S194">
        <v>477.89524833200198</v>
      </c>
      <c r="T194">
        <v>203.64915570138101</v>
      </c>
      <c r="U194">
        <v>265.38925106952797</v>
      </c>
      <c r="V194">
        <v>199.08526358933301</v>
      </c>
      <c r="W194">
        <v>187.65851654420399</v>
      </c>
      <c r="X194">
        <v>197.87057436311099</v>
      </c>
      <c r="Y194">
        <v>907.40227500152901</v>
      </c>
      <c r="Z194">
        <v>205.50637573199799</v>
      </c>
      <c r="AA194">
        <v>830.36213463943898</v>
      </c>
      <c r="AB194">
        <v>1008.29791922626</v>
      </c>
      <c r="AC194">
        <v>833.22280427716601</v>
      </c>
      <c r="AD194">
        <v>584.98426388817495</v>
      </c>
      <c r="AE194">
        <v>834.37060562971203</v>
      </c>
      <c r="AF194">
        <v>870.26671126322299</v>
      </c>
      <c r="AG194">
        <v>880.65002944778405</v>
      </c>
    </row>
    <row r="195" spans="1:33" x14ac:dyDescent="0.25">
      <c r="A195" s="1">
        <v>44246</v>
      </c>
      <c r="B195">
        <v>7995.1596577271202</v>
      </c>
      <c r="C195">
        <v>3665.1996157209101</v>
      </c>
      <c r="D195">
        <v>5596.6963210193599</v>
      </c>
      <c r="E195">
        <v>7975.63333658185</v>
      </c>
      <c r="F195">
        <v>8263.0911962345199</v>
      </c>
      <c r="G195">
        <v>7250.9334994130004</v>
      </c>
      <c r="H195">
        <v>20784.519799932899</v>
      </c>
      <c r="I195">
        <v>12282.7267049531</v>
      </c>
      <c r="J195">
        <v>1487.95635766193</v>
      </c>
      <c r="K195">
        <v>1014.55437125763</v>
      </c>
      <c r="L195">
        <v>621.97210830465099</v>
      </c>
      <c r="M195">
        <v>5980.2951804143504</v>
      </c>
      <c r="N195">
        <v>570.67611854607605</v>
      </c>
      <c r="O195">
        <v>549.78787803352304</v>
      </c>
      <c r="P195">
        <v>1082.7759250156601</v>
      </c>
      <c r="Q195">
        <v>4027.5928297004102</v>
      </c>
      <c r="R195">
        <v>685.81328762569603</v>
      </c>
      <c r="S195">
        <v>464.35386379771001</v>
      </c>
      <c r="T195">
        <v>203.51430850514899</v>
      </c>
      <c r="U195">
        <v>268.39438339964602</v>
      </c>
      <c r="V195">
        <v>196.14076065037199</v>
      </c>
      <c r="W195">
        <v>175.62123089116699</v>
      </c>
      <c r="X195">
        <v>194.145801543191</v>
      </c>
      <c r="Y195">
        <v>902.78807724633305</v>
      </c>
      <c r="Z195">
        <v>205.19087161766601</v>
      </c>
      <c r="AA195">
        <v>812.92494548195805</v>
      </c>
      <c r="AB195">
        <v>1008.24855273385</v>
      </c>
      <c r="AC195">
        <v>830.90914701757401</v>
      </c>
      <c r="AD195">
        <v>573.07036623069905</v>
      </c>
      <c r="AE195">
        <v>816.20777016152897</v>
      </c>
      <c r="AF195">
        <v>878.81844742993405</v>
      </c>
      <c r="AG195">
        <v>861.15481706971195</v>
      </c>
    </row>
    <row r="196" spans="1:33" x14ac:dyDescent="0.25">
      <c r="A196" s="1">
        <v>44247</v>
      </c>
      <c r="B196">
        <v>7907.2807490918303</v>
      </c>
      <c r="C196">
        <v>3894.8997065522899</v>
      </c>
      <c r="D196">
        <v>5180.6317596057597</v>
      </c>
      <c r="E196">
        <v>7905.6755586751297</v>
      </c>
      <c r="F196">
        <v>8607.7324980517806</v>
      </c>
      <c r="G196">
        <v>7383.9611569837898</v>
      </c>
      <c r="H196">
        <v>21668.952521465199</v>
      </c>
      <c r="I196">
        <v>11995.264260447</v>
      </c>
      <c r="J196">
        <v>1444.5510667220001</v>
      </c>
      <c r="K196">
        <v>1039.0161261066</v>
      </c>
      <c r="L196">
        <v>655.99275377276899</v>
      </c>
      <c r="M196">
        <v>6291.5613291569898</v>
      </c>
      <c r="N196">
        <v>613.04450780567799</v>
      </c>
      <c r="O196">
        <v>582.39127630404096</v>
      </c>
      <c r="P196">
        <v>1138.0399849278899</v>
      </c>
      <c r="Q196">
        <v>4276.1526468278298</v>
      </c>
      <c r="R196">
        <v>720.33706174800898</v>
      </c>
      <c r="S196">
        <v>453.03447420576902</v>
      </c>
      <c r="T196">
        <v>202.75650490335599</v>
      </c>
      <c r="U196">
        <v>266.49582094472902</v>
      </c>
      <c r="V196">
        <v>186.37997447043</v>
      </c>
      <c r="W196">
        <v>168.48146740167201</v>
      </c>
      <c r="X196">
        <v>183.47813818447901</v>
      </c>
      <c r="Y196">
        <v>908.61778579495206</v>
      </c>
      <c r="Z196">
        <v>207.16733779642601</v>
      </c>
      <c r="AA196">
        <v>798.33495814755804</v>
      </c>
      <c r="AB196">
        <v>961.77622253540596</v>
      </c>
      <c r="AC196">
        <v>829.72123688209797</v>
      </c>
      <c r="AD196">
        <v>569.23002697756397</v>
      </c>
      <c r="AE196">
        <v>839.15299244626306</v>
      </c>
      <c r="AF196">
        <v>879.15630454798702</v>
      </c>
      <c r="AG196">
        <v>845.74671270208705</v>
      </c>
    </row>
    <row r="197" spans="1:33" x14ac:dyDescent="0.25">
      <c r="A197" s="1">
        <v>44248</v>
      </c>
      <c r="B197">
        <v>7779.4186933750298</v>
      </c>
      <c r="C197">
        <v>4325.5987944639901</v>
      </c>
      <c r="D197">
        <v>4817.0532275453197</v>
      </c>
      <c r="E197">
        <v>7684.3713122033796</v>
      </c>
      <c r="F197">
        <v>8433.8759239348201</v>
      </c>
      <c r="G197">
        <v>6849.9486428269502</v>
      </c>
      <c r="H197">
        <v>20288.042100869501</v>
      </c>
      <c r="I197">
        <v>11878.7940464287</v>
      </c>
      <c r="J197">
        <v>1421.48774336577</v>
      </c>
      <c r="K197">
        <v>969.021344170009</v>
      </c>
      <c r="L197">
        <v>623.03580744348506</v>
      </c>
      <c r="M197">
        <v>5880.5215630730399</v>
      </c>
      <c r="N197">
        <v>520.726336417781</v>
      </c>
      <c r="O197">
        <v>554.68028872848095</v>
      </c>
      <c r="P197">
        <v>1053.8763536208801</v>
      </c>
      <c r="Q197">
        <v>3914.7231699826698</v>
      </c>
      <c r="R197">
        <v>674.68721764900295</v>
      </c>
      <c r="S197">
        <v>482.94876412049803</v>
      </c>
      <c r="T197">
        <v>200.329650142661</v>
      </c>
      <c r="U197">
        <v>261.978119461848</v>
      </c>
      <c r="V197">
        <v>176.15888170959099</v>
      </c>
      <c r="W197">
        <v>181.75695907686901</v>
      </c>
      <c r="X197">
        <v>172.01169284895099</v>
      </c>
      <c r="Y197">
        <v>892.83281706827995</v>
      </c>
      <c r="Z197">
        <v>210.08383788841499</v>
      </c>
      <c r="AA197">
        <v>787.37414645241699</v>
      </c>
      <c r="AB197">
        <v>955.27846834814704</v>
      </c>
      <c r="AC197">
        <v>822.70281424775999</v>
      </c>
      <c r="AD197">
        <v>556.730229735389</v>
      </c>
      <c r="AE197">
        <v>695.43205221006997</v>
      </c>
      <c r="AF197">
        <v>892.48439874117105</v>
      </c>
      <c r="AG197">
        <v>835.61410950300899</v>
      </c>
    </row>
    <row r="198" spans="1:33" x14ac:dyDescent="0.25">
      <c r="A198" s="1">
        <v>44249</v>
      </c>
      <c r="B198">
        <v>7472.8079708464402</v>
      </c>
      <c r="C198">
        <v>3741.0431252030698</v>
      </c>
      <c r="D198">
        <v>4687.8989196785496</v>
      </c>
      <c r="E198">
        <v>7448.9015556327804</v>
      </c>
      <c r="F198">
        <v>8442.4593838685996</v>
      </c>
      <c r="G198">
        <v>7941.22539402241</v>
      </c>
      <c r="H198">
        <v>21635.538549436402</v>
      </c>
      <c r="I198">
        <v>11666.758892170899</v>
      </c>
      <c r="J198">
        <v>1364.9086352664499</v>
      </c>
      <c r="K198">
        <v>999.92984802548995</v>
      </c>
      <c r="L198">
        <v>627.32038242932094</v>
      </c>
      <c r="M198">
        <v>6764.4998611411802</v>
      </c>
      <c r="N198">
        <v>797.40038845405104</v>
      </c>
      <c r="O198">
        <v>573.078651652541</v>
      </c>
      <c r="P198">
        <v>1105.4281918199999</v>
      </c>
      <c r="Q198">
        <v>4848.2869763748304</v>
      </c>
      <c r="R198">
        <v>688.187906912117</v>
      </c>
      <c r="S198">
        <v>486.606913260277</v>
      </c>
      <c r="T198">
        <v>201.27305734276899</v>
      </c>
      <c r="U198">
        <v>261.99402877263901</v>
      </c>
      <c r="V198">
        <v>188.26230359582999</v>
      </c>
      <c r="W198">
        <v>169.73982203739001</v>
      </c>
      <c r="X198">
        <v>173.239535876757</v>
      </c>
      <c r="Y198">
        <v>899.939761788282</v>
      </c>
      <c r="Z198">
        <v>214.072018221832</v>
      </c>
      <c r="AA198">
        <v>774.43902330778405</v>
      </c>
      <c r="AB198">
        <v>945.02788668630296</v>
      </c>
      <c r="AC198">
        <v>821.01480682860097</v>
      </c>
      <c r="AD198">
        <v>560.89158012489702</v>
      </c>
      <c r="AE198">
        <v>627.94314134962804</v>
      </c>
      <c r="AF198">
        <v>894.96758734210005</v>
      </c>
      <c r="AG198">
        <v>821.24948695218802</v>
      </c>
    </row>
    <row r="199" spans="1:33" x14ac:dyDescent="0.25">
      <c r="A199" s="1">
        <v>44250</v>
      </c>
      <c r="B199">
        <v>7196.3082144372702</v>
      </c>
      <c r="C199">
        <v>4360.3729450085902</v>
      </c>
      <c r="D199">
        <v>4638.3978995267898</v>
      </c>
      <c r="E199">
        <v>7351.3777320556801</v>
      </c>
      <c r="F199">
        <v>9300.5906733359898</v>
      </c>
      <c r="G199">
        <v>9266.3116353758705</v>
      </c>
      <c r="H199">
        <v>23117.033696325601</v>
      </c>
      <c r="I199">
        <v>11661.992216721201</v>
      </c>
      <c r="J199">
        <v>1305.58934222781</v>
      </c>
      <c r="K199">
        <v>1038.8162545366399</v>
      </c>
      <c r="L199">
        <v>645.51710453443502</v>
      </c>
      <c r="M199">
        <v>7794.0026859373802</v>
      </c>
      <c r="N199">
        <v>1163.63500595912</v>
      </c>
      <c r="O199">
        <v>609.56088074780098</v>
      </c>
      <c r="P199">
        <v>1168.8077260708001</v>
      </c>
      <c r="Q199">
        <v>5869.2453473863898</v>
      </c>
      <c r="R199">
        <v>706.21289699178396</v>
      </c>
      <c r="S199">
        <v>465.80844363903901</v>
      </c>
      <c r="T199">
        <v>206.96595665996</v>
      </c>
      <c r="U199">
        <v>261.69483514308502</v>
      </c>
      <c r="V199">
        <v>203.32049151333001</v>
      </c>
      <c r="W199">
        <v>181.93496576406901</v>
      </c>
      <c r="X199">
        <v>181.97827691197199</v>
      </c>
      <c r="Y199">
        <v>896.05458860800798</v>
      </c>
      <c r="Z199">
        <v>217.43712395509399</v>
      </c>
      <c r="AA199">
        <v>760.41034773965805</v>
      </c>
      <c r="AB199">
        <v>925.73696957997504</v>
      </c>
      <c r="AC199">
        <v>814.63197881742406</v>
      </c>
      <c r="AD199">
        <v>575.73608951068604</v>
      </c>
      <c r="AE199">
        <v>750.798376487013</v>
      </c>
      <c r="AF199">
        <v>891.88492357446898</v>
      </c>
      <c r="AG199">
        <v>805.45360210498097</v>
      </c>
    </row>
    <row r="200" spans="1:33" x14ac:dyDescent="0.25">
      <c r="A200" s="1">
        <v>44251</v>
      </c>
      <c r="B200">
        <v>7062.28381013732</v>
      </c>
      <c r="C200">
        <v>5279.5712296422198</v>
      </c>
      <c r="D200">
        <v>4602.1797519882803</v>
      </c>
      <c r="E200">
        <v>7267.9130953307204</v>
      </c>
      <c r="F200">
        <v>10077.4083415721</v>
      </c>
      <c r="G200">
        <v>9693.5177407719202</v>
      </c>
      <c r="H200">
        <v>22922.2335270519</v>
      </c>
      <c r="I200">
        <v>12137.2641728452</v>
      </c>
      <c r="J200">
        <v>1274.33436315514</v>
      </c>
      <c r="K200">
        <v>1031.63075377778</v>
      </c>
      <c r="L200">
        <v>641.84671993293205</v>
      </c>
      <c r="M200">
        <v>7945.38699506186</v>
      </c>
      <c r="N200">
        <v>1115.97257041343</v>
      </c>
      <c r="O200">
        <v>632.06792302655401</v>
      </c>
      <c r="P200">
        <v>1148.3598375696899</v>
      </c>
      <c r="Q200">
        <v>6060.5489944842802</v>
      </c>
      <c r="R200">
        <v>698.69233454812502</v>
      </c>
      <c r="S200">
        <v>432.07220248656898</v>
      </c>
      <c r="T200">
        <v>210.333014836834</v>
      </c>
      <c r="U200">
        <v>261.01263647913299</v>
      </c>
      <c r="V200">
        <v>193.919765320474</v>
      </c>
      <c r="W200">
        <v>175.95866927804099</v>
      </c>
      <c r="X200">
        <v>174.58206189428299</v>
      </c>
      <c r="Y200">
        <v>873.97013655118701</v>
      </c>
      <c r="Z200">
        <v>218.187127695659</v>
      </c>
      <c r="AA200">
        <v>748.71536660174604</v>
      </c>
      <c r="AB200">
        <v>906.08067544137305</v>
      </c>
      <c r="AC200">
        <v>779.01386421391305</v>
      </c>
      <c r="AD200">
        <v>568.74828496571604</v>
      </c>
      <c r="AE200">
        <v>843.32077683697105</v>
      </c>
      <c r="AF200">
        <v>887.24424360768205</v>
      </c>
      <c r="AG200">
        <v>795.96865724937402</v>
      </c>
    </row>
    <row r="201" spans="1:33" x14ac:dyDescent="0.25">
      <c r="A201" s="1">
        <v>44252</v>
      </c>
      <c r="B201">
        <v>6965.6883493286005</v>
      </c>
      <c r="C201">
        <v>5641.3841041452397</v>
      </c>
      <c r="D201">
        <v>4670.5297577136798</v>
      </c>
      <c r="E201">
        <v>7271.6208443852302</v>
      </c>
      <c r="F201">
        <v>10262.0233542722</v>
      </c>
      <c r="G201">
        <v>9506.6536724612797</v>
      </c>
      <c r="H201">
        <v>22199.0849981926</v>
      </c>
      <c r="I201">
        <v>12683.4794891932</v>
      </c>
      <c r="J201">
        <v>1256.2091257688901</v>
      </c>
      <c r="K201">
        <v>1001.45359067525</v>
      </c>
      <c r="L201">
        <v>619.41882629370104</v>
      </c>
      <c r="M201">
        <v>7956.76630887191</v>
      </c>
      <c r="N201">
        <v>1406.12837588761</v>
      </c>
      <c r="O201">
        <v>621.062216445898</v>
      </c>
      <c r="P201">
        <v>1118.10552280759</v>
      </c>
      <c r="Q201">
        <v>6132.0761472088298</v>
      </c>
      <c r="R201">
        <v>685.16502748599805</v>
      </c>
      <c r="S201">
        <v>442.94970869106203</v>
      </c>
      <c r="T201">
        <v>217.738358820748</v>
      </c>
      <c r="U201">
        <v>260.30043407650601</v>
      </c>
      <c r="V201">
        <v>215.94049052540399</v>
      </c>
      <c r="W201">
        <v>172.08174413952099</v>
      </c>
      <c r="X201">
        <v>188.01454101612799</v>
      </c>
      <c r="Y201">
        <v>839.04747883811694</v>
      </c>
      <c r="Z201">
        <v>217.315188688343</v>
      </c>
      <c r="AA201">
        <v>739.30063083091204</v>
      </c>
      <c r="AB201">
        <v>884.12670901305501</v>
      </c>
      <c r="AC201">
        <v>777.25463587240097</v>
      </c>
      <c r="AD201">
        <v>558.70559640701003</v>
      </c>
      <c r="AE201">
        <v>858.26839670955599</v>
      </c>
      <c r="AF201">
        <v>883.59432101289599</v>
      </c>
      <c r="AG201">
        <v>792.31637540041504</v>
      </c>
    </row>
    <row r="202" spans="1:33" x14ac:dyDescent="0.25">
      <c r="A202" s="1">
        <v>44253</v>
      </c>
      <c r="B202">
        <v>6886.4323966476304</v>
      </c>
      <c r="C202">
        <v>5575.4192873986203</v>
      </c>
      <c r="D202">
        <v>4791.9171813905796</v>
      </c>
      <c r="E202">
        <v>7166.9092090964996</v>
      </c>
      <c r="F202">
        <v>10416.0239323437</v>
      </c>
      <c r="G202">
        <v>9619.4666721282301</v>
      </c>
      <c r="H202">
        <v>22140.4769770003</v>
      </c>
      <c r="I202">
        <v>12805.0258737697</v>
      </c>
      <c r="J202">
        <v>1234.34992422298</v>
      </c>
      <c r="K202">
        <v>985.44570569490395</v>
      </c>
      <c r="L202">
        <v>619.25122383653297</v>
      </c>
      <c r="M202">
        <v>8072.5603199622501</v>
      </c>
      <c r="N202">
        <v>1470.43567406441</v>
      </c>
      <c r="O202">
        <v>601.65738927320501</v>
      </c>
      <c r="P202">
        <v>1092.4065939437901</v>
      </c>
      <c r="Q202">
        <v>6168.7198000127901</v>
      </c>
      <c r="R202">
        <v>669.40207931174803</v>
      </c>
      <c r="S202">
        <v>449.96592546639903</v>
      </c>
      <c r="T202">
        <v>219.35285662755601</v>
      </c>
      <c r="U202">
        <v>259.42123953581</v>
      </c>
      <c r="V202">
        <v>215.438441536168</v>
      </c>
      <c r="W202">
        <v>173.20402953993801</v>
      </c>
      <c r="X202">
        <v>183.45984454255901</v>
      </c>
      <c r="Y202">
        <v>821.43706196076698</v>
      </c>
      <c r="Z202">
        <v>215.42574861418399</v>
      </c>
      <c r="AA202">
        <v>732.17414599950303</v>
      </c>
      <c r="AB202">
        <v>870.594119352147</v>
      </c>
      <c r="AC202">
        <v>799.33930967165702</v>
      </c>
      <c r="AD202">
        <v>557.18092510694498</v>
      </c>
      <c r="AE202">
        <v>895.33132819804302</v>
      </c>
      <c r="AF202">
        <v>878.37872032913106</v>
      </c>
      <c r="AG202">
        <v>787.98156644249798</v>
      </c>
    </row>
    <row r="203" spans="1:33" x14ac:dyDescent="0.25">
      <c r="A203" s="1">
        <v>44254</v>
      </c>
      <c r="B203">
        <v>6869.8069841686001</v>
      </c>
      <c r="C203">
        <v>5688.5813739528503</v>
      </c>
      <c r="D203">
        <v>4971.0410350228503</v>
      </c>
      <c r="E203">
        <v>7019.87062175147</v>
      </c>
      <c r="F203">
        <v>10051.5075726178</v>
      </c>
      <c r="G203">
        <v>9006.5154373210298</v>
      </c>
      <c r="H203">
        <v>20839.4504250684</v>
      </c>
      <c r="I203">
        <v>12911.6032399906</v>
      </c>
      <c r="J203">
        <v>1219.88597461873</v>
      </c>
      <c r="K203">
        <v>955.37710408072201</v>
      </c>
      <c r="L203">
        <v>601.91818617718002</v>
      </c>
      <c r="M203">
        <v>7352.5503451018103</v>
      </c>
      <c r="N203">
        <v>1199.3723992882699</v>
      </c>
      <c r="O203">
        <v>586.90376727973705</v>
      </c>
      <c r="P203">
        <v>1038.6421671102501</v>
      </c>
      <c r="Q203">
        <v>5667.4867960240999</v>
      </c>
      <c r="R203">
        <v>646.03314144910405</v>
      </c>
      <c r="S203">
        <v>455.90244826088201</v>
      </c>
      <c r="T203">
        <v>212.18704317572499</v>
      </c>
      <c r="U203">
        <v>259.115688886783</v>
      </c>
      <c r="V203">
        <v>196.39299266867101</v>
      </c>
      <c r="W203">
        <v>179.19780274227799</v>
      </c>
      <c r="X203">
        <v>175.273654940466</v>
      </c>
      <c r="Y203">
        <v>825.45741180420703</v>
      </c>
      <c r="Z203">
        <v>212.971814060794</v>
      </c>
      <c r="AA203">
        <v>725.94302653212901</v>
      </c>
      <c r="AB203">
        <v>867.52131296046605</v>
      </c>
      <c r="AC203">
        <v>820.22762389144998</v>
      </c>
      <c r="AD203">
        <v>541.66555100159405</v>
      </c>
      <c r="AE203">
        <v>943.61469787910198</v>
      </c>
      <c r="AF203">
        <v>872.33884325480903</v>
      </c>
      <c r="AG203">
        <v>782.24679289509697</v>
      </c>
    </row>
    <row r="204" spans="1:33" x14ac:dyDescent="0.25">
      <c r="A204" s="1">
        <v>44255</v>
      </c>
      <c r="B204">
        <v>6796.7071733209796</v>
      </c>
      <c r="C204">
        <v>5470.5420006792801</v>
      </c>
      <c r="D204">
        <v>5204.3309915374903</v>
      </c>
      <c r="E204">
        <v>7027.7949338382696</v>
      </c>
      <c r="F204">
        <v>10117.165041100199</v>
      </c>
      <c r="G204">
        <v>9435.0313588962908</v>
      </c>
      <c r="H204">
        <v>21081.450201432101</v>
      </c>
      <c r="I204">
        <v>12886.6886189953</v>
      </c>
      <c r="J204">
        <v>1194.8059994263299</v>
      </c>
      <c r="K204">
        <v>954.61139606633606</v>
      </c>
      <c r="L204">
        <v>597.382183176627</v>
      </c>
      <c r="M204">
        <v>7849.6536951012204</v>
      </c>
      <c r="N204">
        <v>1442.68647952541</v>
      </c>
      <c r="O204">
        <v>579.68019864174005</v>
      </c>
      <c r="P204">
        <v>1061.5781167565101</v>
      </c>
      <c r="Q204">
        <v>6013.2846866404598</v>
      </c>
      <c r="R204">
        <v>638.18131826803506</v>
      </c>
      <c r="S204">
        <v>454.71453186812499</v>
      </c>
      <c r="T204">
        <v>218.14112779146299</v>
      </c>
      <c r="U204">
        <v>258.38675693517001</v>
      </c>
      <c r="V204">
        <v>214.70501618098899</v>
      </c>
      <c r="W204">
        <v>178.92813764958399</v>
      </c>
      <c r="X204">
        <v>181.15336935992801</v>
      </c>
      <c r="Y204">
        <v>842.71647164767296</v>
      </c>
      <c r="Z204">
        <v>212.67564653003299</v>
      </c>
      <c r="AA204">
        <v>724.30271977555401</v>
      </c>
      <c r="AB204">
        <v>871.02146087700305</v>
      </c>
      <c r="AC204">
        <v>842.79288896752405</v>
      </c>
      <c r="AD204">
        <v>538.50220004344601</v>
      </c>
      <c r="AE204">
        <v>960.45914564003101</v>
      </c>
      <c r="AF204">
        <v>867.35393786639804</v>
      </c>
      <c r="AG204">
        <v>776.73984186195696</v>
      </c>
    </row>
    <row r="205" spans="1:33" x14ac:dyDescent="0.25">
      <c r="A205" s="1">
        <v>44256</v>
      </c>
      <c r="B205">
        <v>6761.0785226520102</v>
      </c>
      <c r="C205">
        <v>5612.2689115656003</v>
      </c>
      <c r="D205">
        <v>5376.113332461</v>
      </c>
      <c r="E205">
        <v>7113.9978928330902</v>
      </c>
      <c r="F205">
        <v>10813.7938158038</v>
      </c>
      <c r="G205">
        <v>10290.6235320264</v>
      </c>
      <c r="H205">
        <v>22035.2756094906</v>
      </c>
      <c r="I205">
        <v>13031.688250008299</v>
      </c>
      <c r="J205">
        <v>1177.15031256013</v>
      </c>
      <c r="K205">
        <v>978.97291556688106</v>
      </c>
      <c r="L205">
        <v>607.42524228292996</v>
      </c>
      <c r="M205">
        <v>8730.7610703844402</v>
      </c>
      <c r="N205">
        <v>1824.05886516542</v>
      </c>
      <c r="O205">
        <v>578.871098519405</v>
      </c>
      <c r="P205">
        <v>1109.0886682943101</v>
      </c>
      <c r="Q205">
        <v>6720.8339538516802</v>
      </c>
      <c r="R205">
        <v>641.69015309478095</v>
      </c>
      <c r="S205">
        <v>434.12676575293898</v>
      </c>
      <c r="T205">
        <v>227.85109743821999</v>
      </c>
      <c r="U205">
        <v>256.58616791718299</v>
      </c>
      <c r="V205">
        <v>237.565512806897</v>
      </c>
      <c r="W205">
        <v>179.27095141376699</v>
      </c>
      <c r="X205">
        <v>190.991185108845</v>
      </c>
      <c r="Y205">
        <v>860.44676526056799</v>
      </c>
      <c r="Z205">
        <v>211.63189159703401</v>
      </c>
      <c r="AA205">
        <v>719.61226368051996</v>
      </c>
      <c r="AB205">
        <v>880.32379307696203</v>
      </c>
      <c r="AC205">
        <v>859.25981999620706</v>
      </c>
      <c r="AD205">
        <v>542.61370015340196</v>
      </c>
      <c r="AE205">
        <v>935.04695630651497</v>
      </c>
      <c r="AF205">
        <v>863.79456843975299</v>
      </c>
      <c r="AG205">
        <v>772.14122466445895</v>
      </c>
    </row>
    <row r="206" spans="1:33" x14ac:dyDescent="0.25">
      <c r="A206" s="1">
        <v>44257</v>
      </c>
      <c r="B206">
        <v>6791.1908861964603</v>
      </c>
      <c r="C206">
        <v>6326.1586095399098</v>
      </c>
      <c r="D206">
        <v>5481.2658017548501</v>
      </c>
      <c r="E206">
        <v>7271.8012867329899</v>
      </c>
      <c r="F206">
        <v>11782.7400260126</v>
      </c>
      <c r="G206">
        <v>11456.261962066999</v>
      </c>
      <c r="H206">
        <v>23369.558431401099</v>
      </c>
      <c r="I206">
        <v>13345.0854158318</v>
      </c>
      <c r="J206">
        <v>1168.0901989439401</v>
      </c>
      <c r="K206">
        <v>1041.3638112574899</v>
      </c>
      <c r="L206">
        <v>616.36249999064</v>
      </c>
      <c r="M206">
        <v>9764.7556724903006</v>
      </c>
      <c r="N206">
        <v>2245.45082131156</v>
      </c>
      <c r="O206">
        <v>601.99338550715595</v>
      </c>
      <c r="P206">
        <v>1198.4848530821901</v>
      </c>
      <c r="Q206">
        <v>7780.4066150287099</v>
      </c>
      <c r="R206">
        <v>659.238565536122</v>
      </c>
      <c r="S206">
        <v>410.796897013994</v>
      </c>
      <c r="T206">
        <v>246.63849895139899</v>
      </c>
      <c r="U206">
        <v>257.35819664994898</v>
      </c>
      <c r="V206">
        <v>260.43559031243598</v>
      </c>
      <c r="W206">
        <v>178.68205364870701</v>
      </c>
      <c r="X206">
        <v>195.73841909226101</v>
      </c>
      <c r="Y206">
        <v>872.34679726994898</v>
      </c>
      <c r="Z206">
        <v>210.755680835161</v>
      </c>
      <c r="AA206">
        <v>713.17376444312799</v>
      </c>
      <c r="AB206">
        <v>886.17050963165502</v>
      </c>
      <c r="AC206">
        <v>876.88406880919695</v>
      </c>
      <c r="AD206">
        <v>547.78827428574505</v>
      </c>
      <c r="AE206">
        <v>894.50709157869096</v>
      </c>
      <c r="AF206">
        <v>861.91330169222999</v>
      </c>
      <c r="AG206">
        <v>764.77072811994196</v>
      </c>
    </row>
    <row r="207" spans="1:33" x14ac:dyDescent="0.25">
      <c r="A207" s="1">
        <v>44258</v>
      </c>
      <c r="B207">
        <v>6900.1276461950501</v>
      </c>
      <c r="C207">
        <v>7461.8540457157596</v>
      </c>
      <c r="D207">
        <v>5604.0018912278001</v>
      </c>
      <c r="E207">
        <v>7613.92764918372</v>
      </c>
      <c r="F207">
        <v>12756.6583245727</v>
      </c>
      <c r="G207">
        <v>12751.462281485001</v>
      </c>
      <c r="H207">
        <v>25269.557426209001</v>
      </c>
      <c r="I207">
        <v>13779.690873793201</v>
      </c>
      <c r="J207">
        <v>1171.52126587618</v>
      </c>
      <c r="K207">
        <v>1146.2868366430801</v>
      </c>
      <c r="L207">
        <v>627.14259094899001</v>
      </c>
      <c r="M207">
        <v>11062.197216218699</v>
      </c>
      <c r="N207">
        <v>2967.77091672804</v>
      </c>
      <c r="O207">
        <v>630.03233429256204</v>
      </c>
      <c r="P207">
        <v>1329.0483222395601</v>
      </c>
      <c r="Q207">
        <v>9094.0363122366307</v>
      </c>
      <c r="R207">
        <v>689.78506981943497</v>
      </c>
      <c r="S207">
        <v>383.19792000485302</v>
      </c>
      <c r="T207">
        <v>290.07196858659501</v>
      </c>
      <c r="U207">
        <v>255.78971213574999</v>
      </c>
      <c r="V207">
        <v>309.86995490378899</v>
      </c>
      <c r="W207">
        <v>178.65638067444701</v>
      </c>
      <c r="X207">
        <v>207.20410574399301</v>
      </c>
      <c r="Y207">
        <v>877.34124414848702</v>
      </c>
      <c r="Z207">
        <v>209.70328447747301</v>
      </c>
      <c r="AA207">
        <v>708.42036918382303</v>
      </c>
      <c r="AB207">
        <v>883.42494521873505</v>
      </c>
      <c r="AC207">
        <v>894.37885807009604</v>
      </c>
      <c r="AD207">
        <v>558.69746097202506</v>
      </c>
      <c r="AE207">
        <v>955.01829749182502</v>
      </c>
      <c r="AF207">
        <v>859.40776311444699</v>
      </c>
      <c r="AG207">
        <v>757.93240533222695</v>
      </c>
    </row>
    <row r="208" spans="1:33" x14ac:dyDescent="0.25">
      <c r="A208" s="1">
        <v>44259</v>
      </c>
      <c r="B208">
        <v>7062.0727549371104</v>
      </c>
      <c r="C208">
        <v>8883.4660255600302</v>
      </c>
      <c r="D208">
        <v>5771.0380692823901</v>
      </c>
      <c r="E208">
        <v>7646.84218058034</v>
      </c>
      <c r="F208">
        <v>13180.287929746601</v>
      </c>
      <c r="G208">
        <v>11939.001407976701</v>
      </c>
      <c r="H208">
        <v>23941.135495147999</v>
      </c>
      <c r="I208">
        <v>14161.668436063799</v>
      </c>
      <c r="J208">
        <v>1176.8282160291001</v>
      </c>
      <c r="K208">
        <v>1144.1599012853101</v>
      </c>
      <c r="L208">
        <v>646.20654979374501</v>
      </c>
      <c r="M208">
        <v>10467.398096876699</v>
      </c>
      <c r="N208">
        <v>2813.35933569911</v>
      </c>
      <c r="O208">
        <v>601.11035235510099</v>
      </c>
      <c r="P208">
        <v>1317.44445266856</v>
      </c>
      <c r="Q208">
        <v>8501.1461375350009</v>
      </c>
      <c r="R208">
        <v>678.82371234709399</v>
      </c>
      <c r="S208">
        <v>380.26181938116599</v>
      </c>
      <c r="T208">
        <v>284.37870117621401</v>
      </c>
      <c r="U208">
        <v>252.24013605568101</v>
      </c>
      <c r="V208">
        <v>270.82362194604701</v>
      </c>
      <c r="W208">
        <v>181.152865559399</v>
      </c>
      <c r="X208">
        <v>197.346719451111</v>
      </c>
      <c r="Y208">
        <v>885.80839365662803</v>
      </c>
      <c r="Z208">
        <v>205.95387003444301</v>
      </c>
      <c r="AA208">
        <v>705.96700855093502</v>
      </c>
      <c r="AB208">
        <v>884.34141402330999</v>
      </c>
      <c r="AC208">
        <v>891.15196990381298</v>
      </c>
      <c r="AD208">
        <v>558.55416078142105</v>
      </c>
      <c r="AE208">
        <v>967.02248369009305</v>
      </c>
      <c r="AF208">
        <v>853.23611389643304</v>
      </c>
      <c r="AG208">
        <v>760.44500858863398</v>
      </c>
    </row>
    <row r="209" spans="1:33" x14ac:dyDescent="0.25">
      <c r="A209" s="1">
        <v>44260</v>
      </c>
      <c r="B209">
        <v>7202.6288419994598</v>
      </c>
      <c r="C209">
        <v>8365.0837448371403</v>
      </c>
      <c r="D209">
        <v>6214.1422710152101</v>
      </c>
      <c r="E209">
        <v>7660.0455183472804</v>
      </c>
      <c r="F209">
        <v>12779.610074549901</v>
      </c>
      <c r="G209">
        <v>11358.345877003099</v>
      </c>
      <c r="H209">
        <v>23362.5311057855</v>
      </c>
      <c r="I209">
        <v>14447.8301348435</v>
      </c>
      <c r="J209">
        <v>1180.0015633889</v>
      </c>
      <c r="K209">
        <v>1122.1201000870301</v>
      </c>
      <c r="L209">
        <v>631.57424622405495</v>
      </c>
      <c r="M209">
        <v>9880.7900781952303</v>
      </c>
      <c r="N209">
        <v>2510.07884846245</v>
      </c>
      <c r="O209">
        <v>564.10744199630699</v>
      </c>
      <c r="P209">
        <v>1276.93039084918</v>
      </c>
      <c r="Q209">
        <v>7948.2535097743603</v>
      </c>
      <c r="R209">
        <v>650.62921681806199</v>
      </c>
      <c r="S209">
        <v>383.73101285888299</v>
      </c>
      <c r="T209">
        <v>268.25948376405398</v>
      </c>
      <c r="U209">
        <v>250.21671859513901</v>
      </c>
      <c r="V209">
        <v>264.55761935795499</v>
      </c>
      <c r="W209">
        <v>175.6714326748</v>
      </c>
      <c r="X209">
        <v>195.093078287238</v>
      </c>
      <c r="Y209">
        <v>895.67110053925296</v>
      </c>
      <c r="Z209">
        <v>205.38643521577501</v>
      </c>
      <c r="AA209">
        <v>707.10220304475899</v>
      </c>
      <c r="AB209">
        <v>888.77623558989796</v>
      </c>
      <c r="AC209">
        <v>875.50196355678804</v>
      </c>
      <c r="AD209">
        <v>555.41639300058898</v>
      </c>
      <c r="AE209">
        <v>944.32770091393104</v>
      </c>
      <c r="AF209">
        <v>845.52983500527398</v>
      </c>
      <c r="AG209">
        <v>766.48694505007404</v>
      </c>
    </row>
    <row r="210" spans="1:33" x14ac:dyDescent="0.25">
      <c r="A210" s="1">
        <v>44261</v>
      </c>
      <c r="B210">
        <v>7269.6861391820203</v>
      </c>
      <c r="C210">
        <v>8032.6517969381803</v>
      </c>
      <c r="D210">
        <v>6827.2196215757704</v>
      </c>
      <c r="E210">
        <v>7831.5895754965604</v>
      </c>
      <c r="F210">
        <v>12645.0574492301</v>
      </c>
      <c r="G210">
        <v>11459.7470478834</v>
      </c>
      <c r="H210">
        <v>23766.052767819601</v>
      </c>
      <c r="I210">
        <v>14703.6516443775</v>
      </c>
      <c r="J210">
        <v>1180.7303577308301</v>
      </c>
      <c r="K210">
        <v>1155.43332199939</v>
      </c>
      <c r="L210">
        <v>625.144507077453</v>
      </c>
      <c r="M210">
        <v>10068.078759488501</v>
      </c>
      <c r="N210">
        <v>2671.5883652959801</v>
      </c>
      <c r="O210">
        <v>569.42485699592805</v>
      </c>
      <c r="P210">
        <v>1320.6055431555501</v>
      </c>
      <c r="Q210">
        <v>8141.5099382831204</v>
      </c>
      <c r="R210">
        <v>663.86519520052298</v>
      </c>
      <c r="S210">
        <v>376.40447566900599</v>
      </c>
      <c r="T210">
        <v>284.35327803848901</v>
      </c>
      <c r="U210">
        <v>250.60447512252199</v>
      </c>
      <c r="V210">
        <v>280.738162109109</v>
      </c>
      <c r="W210">
        <v>173.74708944097901</v>
      </c>
      <c r="X210">
        <v>199.957906667651</v>
      </c>
      <c r="Y210">
        <v>896.74509499841395</v>
      </c>
      <c r="Z210">
        <v>207.41815197422599</v>
      </c>
      <c r="AA210">
        <v>707.596630170769</v>
      </c>
      <c r="AB210">
        <v>891.57243901894299</v>
      </c>
      <c r="AC210">
        <v>880.54388540237801</v>
      </c>
      <c r="AD210">
        <v>557.04041691186103</v>
      </c>
      <c r="AE210">
        <v>919.96048651733997</v>
      </c>
      <c r="AF210">
        <v>843.20933919506695</v>
      </c>
      <c r="AG210">
        <v>766.36569866102002</v>
      </c>
    </row>
    <row r="211" spans="1:33" x14ac:dyDescent="0.25">
      <c r="A211" s="1">
        <v>44262</v>
      </c>
      <c r="B211">
        <v>7335.4552672171303</v>
      </c>
      <c r="C211">
        <v>8107.5166621590997</v>
      </c>
      <c r="D211">
        <v>7299.4227433067599</v>
      </c>
      <c r="E211">
        <v>7858.82638842091</v>
      </c>
      <c r="F211">
        <v>12289.5091898971</v>
      </c>
      <c r="G211">
        <v>10884.507008884</v>
      </c>
      <c r="H211">
        <v>23092.202075412199</v>
      </c>
      <c r="I211">
        <v>14730.994531300001</v>
      </c>
      <c r="J211">
        <v>1179.3069034513401</v>
      </c>
      <c r="K211">
        <v>1127.5986959362899</v>
      </c>
      <c r="L211">
        <v>619.50798398609902</v>
      </c>
      <c r="M211">
        <v>9586.5850941964509</v>
      </c>
      <c r="N211">
        <v>2436.2051910823002</v>
      </c>
      <c r="O211">
        <v>550.78655919860398</v>
      </c>
      <c r="P211">
        <v>1288.8228317834401</v>
      </c>
      <c r="Q211">
        <v>7738.8605010031197</v>
      </c>
      <c r="R211">
        <v>641.66158330157498</v>
      </c>
      <c r="S211">
        <v>377.57029294647299</v>
      </c>
      <c r="T211">
        <v>277.08252697185497</v>
      </c>
      <c r="U211">
        <v>247.94539313269601</v>
      </c>
      <c r="V211">
        <v>265.400616876539</v>
      </c>
      <c r="W211">
        <v>171.77566354314101</v>
      </c>
      <c r="X211">
        <v>194.24978796561999</v>
      </c>
      <c r="Y211">
        <v>899.16220305359695</v>
      </c>
      <c r="Z211">
        <v>208.732579144803</v>
      </c>
      <c r="AA211">
        <v>709.12619085011499</v>
      </c>
      <c r="AB211">
        <v>896.53227590025199</v>
      </c>
      <c r="AC211">
        <v>890.23342287773301</v>
      </c>
      <c r="AD211">
        <v>552.24875844565599</v>
      </c>
      <c r="AE211">
        <v>944.93821619721405</v>
      </c>
      <c r="AF211">
        <v>839.18031481492699</v>
      </c>
      <c r="AG211">
        <v>771.07883463290102</v>
      </c>
    </row>
    <row r="212" spans="1:33" x14ac:dyDescent="0.25">
      <c r="A212" s="1">
        <v>44263</v>
      </c>
      <c r="B212">
        <v>7415.5661512911602</v>
      </c>
      <c r="C212">
        <v>7659.8805821460201</v>
      </c>
      <c r="D212">
        <v>7572.9259219675396</v>
      </c>
      <c r="E212">
        <v>8158.5250726409904</v>
      </c>
      <c r="F212">
        <v>12156.762391278</v>
      </c>
      <c r="G212">
        <v>10996.883845320501</v>
      </c>
      <c r="H212">
        <v>23288.6021423321</v>
      </c>
      <c r="I212">
        <v>14818.702710907401</v>
      </c>
      <c r="J212">
        <v>1177.1086302107401</v>
      </c>
      <c r="K212">
        <v>1136.12352716287</v>
      </c>
      <c r="L212">
        <v>611.05267399099705</v>
      </c>
      <c r="M212">
        <v>9924.5411170992302</v>
      </c>
      <c r="N212">
        <v>2699.8778287238401</v>
      </c>
      <c r="O212">
        <v>560.04781022526697</v>
      </c>
      <c r="P212">
        <v>1327.70121078944</v>
      </c>
      <c r="Q212">
        <v>7927.5794059209802</v>
      </c>
      <c r="R212">
        <v>647.93274595969797</v>
      </c>
      <c r="S212">
        <v>363.46106751491902</v>
      </c>
      <c r="T212">
        <v>290.592885408705</v>
      </c>
      <c r="U212">
        <v>242.25567671136801</v>
      </c>
      <c r="V212">
        <v>280.52241826883602</v>
      </c>
      <c r="W212">
        <v>176.37058773371001</v>
      </c>
      <c r="X212">
        <v>189.34300542416901</v>
      </c>
      <c r="Y212">
        <v>897.53481504491594</v>
      </c>
      <c r="Z212">
        <v>210.788039743165</v>
      </c>
      <c r="AA212">
        <v>709.37330931069903</v>
      </c>
      <c r="AB212">
        <v>895.90939014717299</v>
      </c>
      <c r="AC212">
        <v>886.99507717023698</v>
      </c>
      <c r="AD212">
        <v>549.48777058432495</v>
      </c>
      <c r="AE212">
        <v>962.13547177454802</v>
      </c>
      <c r="AF212">
        <v>839.09802609094697</v>
      </c>
      <c r="AG212">
        <v>774.61976999741705</v>
      </c>
    </row>
    <row r="213" spans="1:33" x14ac:dyDescent="0.25">
      <c r="A213" s="1">
        <v>44264</v>
      </c>
      <c r="B213">
        <v>7552.7689981015001</v>
      </c>
      <c r="C213">
        <v>7465.1766688362104</v>
      </c>
      <c r="D213">
        <v>7699.1581852709996</v>
      </c>
      <c r="E213">
        <v>8409.2871641968304</v>
      </c>
      <c r="F213">
        <v>11923.0858642686</v>
      </c>
      <c r="G213">
        <v>11024.5361174546</v>
      </c>
      <c r="H213">
        <v>22721.139471532999</v>
      </c>
      <c r="I213">
        <v>14840.9679676289</v>
      </c>
      <c r="J213">
        <v>1166.79588551999</v>
      </c>
      <c r="K213">
        <v>1127.00155740793</v>
      </c>
      <c r="L213">
        <v>605.07150762572496</v>
      </c>
      <c r="M213">
        <v>9676.3947242913891</v>
      </c>
      <c r="N213">
        <v>2564.3515341361799</v>
      </c>
      <c r="O213">
        <v>553.59752666678105</v>
      </c>
      <c r="P213">
        <v>1296.9488815838699</v>
      </c>
      <c r="Q213">
        <v>7866.1110568536396</v>
      </c>
      <c r="R213">
        <v>635.32866105052801</v>
      </c>
      <c r="S213">
        <v>356.23294284889897</v>
      </c>
      <c r="T213">
        <v>282.86717042010599</v>
      </c>
      <c r="U213">
        <v>240.285429737328</v>
      </c>
      <c r="V213">
        <v>280.510479297475</v>
      </c>
      <c r="W213">
        <v>176.03419807889799</v>
      </c>
      <c r="X213">
        <v>194.70337948199699</v>
      </c>
      <c r="Y213">
        <v>895.47557966368095</v>
      </c>
      <c r="Z213">
        <v>211.15050033409301</v>
      </c>
      <c r="AA213">
        <v>707.89792584488998</v>
      </c>
      <c r="AB213">
        <v>892.844649909385</v>
      </c>
      <c r="AC213">
        <v>884.05843422468001</v>
      </c>
      <c r="AD213">
        <v>547.64841398298597</v>
      </c>
      <c r="AE213">
        <v>885.97868050879094</v>
      </c>
      <c r="AF213">
        <v>842.22434665712296</v>
      </c>
      <c r="AG213">
        <v>775.19456849567098</v>
      </c>
    </row>
    <row r="214" spans="1:33" x14ac:dyDescent="0.25">
      <c r="A214" s="1">
        <v>44265</v>
      </c>
      <c r="B214">
        <v>7719.0936752224097</v>
      </c>
      <c r="C214">
        <v>7350.2661040126404</v>
      </c>
      <c r="D214">
        <v>7702.3995373932503</v>
      </c>
      <c r="E214">
        <v>8712.2590517723693</v>
      </c>
      <c r="F214">
        <v>12277.476590521301</v>
      </c>
      <c r="G214">
        <v>11483.6112730124</v>
      </c>
      <c r="H214">
        <v>22782.221705919899</v>
      </c>
      <c r="I214">
        <v>14840.864766973</v>
      </c>
      <c r="J214">
        <v>1162.2943070850399</v>
      </c>
      <c r="K214">
        <v>1150.38995944162</v>
      </c>
      <c r="L214">
        <v>607.41467174136199</v>
      </c>
      <c r="M214">
        <v>10003.921812844501</v>
      </c>
      <c r="N214">
        <v>2762.6238898409201</v>
      </c>
      <c r="O214">
        <v>561.03066342221996</v>
      </c>
      <c r="P214">
        <v>1350.8033033013</v>
      </c>
      <c r="Q214">
        <v>8195.5158034042597</v>
      </c>
      <c r="R214">
        <v>639.89138772528702</v>
      </c>
      <c r="S214">
        <v>343.45762765913298</v>
      </c>
      <c r="T214">
        <v>296.74877837943802</v>
      </c>
      <c r="U214">
        <v>242.71095067402899</v>
      </c>
      <c r="V214">
        <v>300.48058044519797</v>
      </c>
      <c r="W214">
        <v>172.10271375024101</v>
      </c>
      <c r="X214">
        <v>205.41440008367999</v>
      </c>
      <c r="Y214">
        <v>897.05234366108402</v>
      </c>
      <c r="Z214">
        <v>211.577239682834</v>
      </c>
      <c r="AA214">
        <v>705.02939115300899</v>
      </c>
      <c r="AB214">
        <v>892.99777955137904</v>
      </c>
      <c r="AC214">
        <v>895.60541839996199</v>
      </c>
      <c r="AD214">
        <v>550.133041953369</v>
      </c>
      <c r="AE214">
        <v>828.36864737793996</v>
      </c>
      <c r="AF214">
        <v>846.46269609810304</v>
      </c>
      <c r="AG214">
        <v>776.440118424312</v>
      </c>
    </row>
    <row r="215" spans="1:33" x14ac:dyDescent="0.25">
      <c r="A215" s="1">
        <v>44266</v>
      </c>
      <c r="B215">
        <v>7916.6448017775301</v>
      </c>
      <c r="C215">
        <v>7362.7400115173104</v>
      </c>
      <c r="D215">
        <v>7584.1176917584298</v>
      </c>
      <c r="E215">
        <v>8657.1485124184292</v>
      </c>
      <c r="F215">
        <v>12169.5611729623</v>
      </c>
      <c r="G215">
        <v>10992.903802278001</v>
      </c>
      <c r="H215">
        <v>21975.52269623</v>
      </c>
      <c r="I215">
        <v>14877.0603616436</v>
      </c>
      <c r="J215">
        <v>1156.84038902054</v>
      </c>
      <c r="K215">
        <v>1113.44778933264</v>
      </c>
      <c r="L215">
        <v>605.62245568007404</v>
      </c>
      <c r="M215">
        <v>9412.2142640878992</v>
      </c>
      <c r="N215">
        <v>2325.2036702313198</v>
      </c>
      <c r="O215">
        <v>544.35151428471897</v>
      </c>
      <c r="P215">
        <v>1282.5635086996699</v>
      </c>
      <c r="Q215">
        <v>7644.4437420412696</v>
      </c>
      <c r="R215">
        <v>621.525453232563</v>
      </c>
      <c r="S215">
        <v>358.07749423072698</v>
      </c>
      <c r="T215">
        <v>269.09472523055001</v>
      </c>
      <c r="U215">
        <v>242.53864147095899</v>
      </c>
      <c r="V215">
        <v>253.51649337258399</v>
      </c>
      <c r="W215">
        <v>168.14612171627101</v>
      </c>
      <c r="X215">
        <v>187.207449091439</v>
      </c>
      <c r="Y215">
        <v>898.46199380030998</v>
      </c>
      <c r="Z215">
        <v>210.499321576206</v>
      </c>
      <c r="AA215">
        <v>704.12343942987798</v>
      </c>
      <c r="AB215">
        <v>895.575030332555</v>
      </c>
      <c r="AC215">
        <v>894.27215205400603</v>
      </c>
      <c r="AD215">
        <v>543.998827422452</v>
      </c>
      <c r="AE215">
        <v>849.89748812907305</v>
      </c>
      <c r="AF215">
        <v>852.22983180398205</v>
      </c>
      <c r="AG215">
        <v>781.86119325659297</v>
      </c>
    </row>
    <row r="216" spans="1:33" x14ac:dyDescent="0.25">
      <c r="A216" s="1">
        <v>44267</v>
      </c>
      <c r="B216">
        <v>8089.7854559799298</v>
      </c>
      <c r="C216">
        <v>6943.9573490088596</v>
      </c>
      <c r="D216">
        <v>7484.4261355095896</v>
      </c>
      <c r="E216">
        <v>8649.0301420707292</v>
      </c>
      <c r="F216">
        <v>11757.881987173199</v>
      </c>
      <c r="G216">
        <v>10457.5708412936</v>
      </c>
      <c r="H216">
        <v>21786.603573516</v>
      </c>
      <c r="I216">
        <v>14838.727132853601</v>
      </c>
      <c r="J216">
        <v>1154.8237327929201</v>
      </c>
      <c r="K216">
        <v>1074.14202606033</v>
      </c>
      <c r="L216">
        <v>599.330428917738</v>
      </c>
      <c r="M216">
        <v>8925.5325637704591</v>
      </c>
      <c r="N216">
        <v>1959.1255648067299</v>
      </c>
      <c r="O216">
        <v>536.39945815200304</v>
      </c>
      <c r="P216">
        <v>1219.1537825524399</v>
      </c>
      <c r="Q216">
        <v>7128.6744179772104</v>
      </c>
      <c r="R216">
        <v>607.74867965257397</v>
      </c>
      <c r="S216">
        <v>371.32831739311302</v>
      </c>
      <c r="T216">
        <v>248.29797580451299</v>
      </c>
      <c r="U216">
        <v>242.83920288589701</v>
      </c>
      <c r="V216">
        <v>212.829925213389</v>
      </c>
      <c r="W216">
        <v>177.05467829477101</v>
      </c>
      <c r="X216">
        <v>175.095051314627</v>
      </c>
      <c r="Y216">
        <v>903.94885352876702</v>
      </c>
      <c r="Z216">
        <v>210.19202135972299</v>
      </c>
      <c r="AA216">
        <v>706.26099125465601</v>
      </c>
      <c r="AB216">
        <v>898.06158487128698</v>
      </c>
      <c r="AC216">
        <v>863.31078064018197</v>
      </c>
      <c r="AD216">
        <v>538.04734033174395</v>
      </c>
      <c r="AE216">
        <v>864.88865207908998</v>
      </c>
      <c r="AF216">
        <v>857.40847216710495</v>
      </c>
      <c r="AG216">
        <v>786.69764023597804</v>
      </c>
    </row>
    <row r="217" spans="1:33" x14ac:dyDescent="0.25">
      <c r="A217" s="1">
        <v>44268</v>
      </c>
      <c r="B217">
        <v>8177.02978214225</v>
      </c>
      <c r="C217">
        <v>6778.7300126999198</v>
      </c>
      <c r="D217">
        <v>7419.6711731579999</v>
      </c>
      <c r="E217">
        <v>8714.6776459144803</v>
      </c>
      <c r="F217">
        <v>11304.529598504299</v>
      </c>
      <c r="G217">
        <v>10313.537455838499</v>
      </c>
      <c r="H217">
        <v>22547.766809112101</v>
      </c>
      <c r="I217">
        <v>14647.978098130299</v>
      </c>
      <c r="J217">
        <v>1152.732682391</v>
      </c>
      <c r="K217">
        <v>1047.7126799484899</v>
      </c>
      <c r="L217">
        <v>593.03988657874595</v>
      </c>
      <c r="M217">
        <v>8881.0114207288807</v>
      </c>
      <c r="N217">
        <v>1892.6995443554199</v>
      </c>
      <c r="O217">
        <v>538.28299605090695</v>
      </c>
      <c r="P217">
        <v>1163.1994768746199</v>
      </c>
      <c r="Q217">
        <v>7041.06880863487</v>
      </c>
      <c r="R217">
        <v>605.14818768446105</v>
      </c>
      <c r="S217">
        <v>365.09174671646798</v>
      </c>
      <c r="T217">
        <v>243.41314440591501</v>
      </c>
      <c r="U217">
        <v>241.42460256080199</v>
      </c>
      <c r="V217">
        <v>210.329406298365</v>
      </c>
      <c r="W217">
        <v>168.20720790541299</v>
      </c>
      <c r="X217">
        <v>171.30664129444</v>
      </c>
      <c r="Y217">
        <v>909.94054370689798</v>
      </c>
      <c r="Z217">
        <v>210.49368256547999</v>
      </c>
      <c r="AA217">
        <v>709.91802941778701</v>
      </c>
      <c r="AB217">
        <v>904.22022033164501</v>
      </c>
      <c r="AC217">
        <v>841.20312912094596</v>
      </c>
      <c r="AD217">
        <v>533.76168172395001</v>
      </c>
      <c r="AE217">
        <v>886.49163035011895</v>
      </c>
      <c r="AF217">
        <v>861.43741556569296</v>
      </c>
      <c r="AG217">
        <v>793.27292083791099</v>
      </c>
    </row>
    <row r="218" spans="1:33" x14ac:dyDescent="0.25">
      <c r="A218" s="1">
        <v>44269</v>
      </c>
      <c r="B218">
        <v>8288.3420611633101</v>
      </c>
      <c r="C218">
        <v>6676.4349169348197</v>
      </c>
      <c r="D218">
        <v>7285.5554875836897</v>
      </c>
      <c r="E218">
        <v>8757.6760735096796</v>
      </c>
      <c r="F218">
        <v>10940.057345257301</v>
      </c>
      <c r="G218">
        <v>9745.5782253595007</v>
      </c>
      <c r="H218">
        <v>21964.327998918099</v>
      </c>
      <c r="I218">
        <v>14555.891013840999</v>
      </c>
      <c r="J218">
        <v>1145.1263138684999</v>
      </c>
      <c r="K218">
        <v>1004.33282542732</v>
      </c>
      <c r="L218">
        <v>602.87218247413705</v>
      </c>
      <c r="M218">
        <v>8497.4805621737505</v>
      </c>
      <c r="N218">
        <v>1698.8432518428001</v>
      </c>
      <c r="O218">
        <v>516.57145327985495</v>
      </c>
      <c r="P218">
        <v>1111.7832776497</v>
      </c>
      <c r="Q218">
        <v>6592.1111835228903</v>
      </c>
      <c r="R218">
        <v>583.71261438442502</v>
      </c>
      <c r="S218">
        <v>349.72622556673798</v>
      </c>
      <c r="T218">
        <v>230.064449859593</v>
      </c>
      <c r="U218">
        <v>243.019287327538</v>
      </c>
      <c r="V218">
        <v>200.024172303233</v>
      </c>
      <c r="W218">
        <v>164.763639746835</v>
      </c>
      <c r="X218">
        <v>177.68521036878499</v>
      </c>
      <c r="Y218">
        <v>906.89428592774595</v>
      </c>
      <c r="Z218">
        <v>207.63700224249101</v>
      </c>
      <c r="AA218">
        <v>711.98608608812106</v>
      </c>
      <c r="AB218">
        <v>907.15104269830397</v>
      </c>
      <c r="AC218">
        <v>850.76545926039296</v>
      </c>
      <c r="AD218">
        <v>534.55358807286495</v>
      </c>
      <c r="AE218">
        <v>910.66576303819602</v>
      </c>
      <c r="AF218">
        <v>865.27571033363097</v>
      </c>
      <c r="AG218">
        <v>801.778844250004</v>
      </c>
    </row>
    <row r="219" spans="1:33" x14ac:dyDescent="0.25">
      <c r="A219" s="1">
        <v>44270</v>
      </c>
      <c r="B219">
        <v>8385.1533592315009</v>
      </c>
      <c r="C219">
        <v>6102.0854408166697</v>
      </c>
      <c r="D219">
        <v>7065.9574597744904</v>
      </c>
      <c r="E219">
        <v>8741.8906417495691</v>
      </c>
      <c r="F219">
        <v>10747.8960761208</v>
      </c>
      <c r="G219">
        <v>9380.5147034743204</v>
      </c>
      <c r="H219">
        <v>21396.1298500456</v>
      </c>
      <c r="I219">
        <v>14444.003544634401</v>
      </c>
      <c r="J219">
        <v>1142.49276689372</v>
      </c>
      <c r="K219">
        <v>974.24352633027604</v>
      </c>
      <c r="L219">
        <v>600.19859614859195</v>
      </c>
      <c r="M219">
        <v>7861.2913367315196</v>
      </c>
      <c r="N219">
        <v>1361.83126076551</v>
      </c>
      <c r="O219">
        <v>518.61238048578798</v>
      </c>
      <c r="P219">
        <v>1056.5437581931501</v>
      </c>
      <c r="Q219">
        <v>6039.5501747040698</v>
      </c>
      <c r="R219">
        <v>567.40036814918994</v>
      </c>
      <c r="S219">
        <v>340.27210318427899</v>
      </c>
      <c r="T219">
        <v>219.72553216471999</v>
      </c>
      <c r="U219">
        <v>243.36921404307901</v>
      </c>
      <c r="V219">
        <v>185.59134115317801</v>
      </c>
      <c r="W219">
        <v>144.841870430868</v>
      </c>
      <c r="X219">
        <v>168.81844564463699</v>
      </c>
      <c r="Y219">
        <v>892.116491291903</v>
      </c>
      <c r="Z219">
        <v>203.40080798583099</v>
      </c>
      <c r="AA219">
        <v>714.44044485820098</v>
      </c>
      <c r="AB219">
        <v>900.81741171899296</v>
      </c>
      <c r="AC219">
        <v>858.24807196323195</v>
      </c>
      <c r="AD219">
        <v>531.43970363503399</v>
      </c>
      <c r="AE219">
        <v>901.78065015140203</v>
      </c>
      <c r="AF219">
        <v>868.90896577701096</v>
      </c>
      <c r="AG219">
        <v>802.13050991066802</v>
      </c>
    </row>
    <row r="220" spans="1:33" x14ac:dyDescent="0.25">
      <c r="A220" s="1">
        <v>44271</v>
      </c>
      <c r="B220">
        <v>8492.9276908683605</v>
      </c>
      <c r="C220">
        <v>5970.3161670265999</v>
      </c>
      <c r="D220">
        <v>6914.3861648836</v>
      </c>
      <c r="E220">
        <v>8617.8188383320503</v>
      </c>
      <c r="F220">
        <v>9897.2429156881408</v>
      </c>
      <c r="G220">
        <v>8675.6104087416406</v>
      </c>
      <c r="H220">
        <v>20472.607042711101</v>
      </c>
      <c r="I220">
        <v>14195.157120366701</v>
      </c>
      <c r="J220">
        <v>1133.5347441778899</v>
      </c>
      <c r="K220">
        <v>915.12453637697195</v>
      </c>
      <c r="L220">
        <v>579.73977136240796</v>
      </c>
      <c r="M220">
        <v>7346.6031582054702</v>
      </c>
      <c r="N220">
        <v>1163.3116875370599</v>
      </c>
      <c r="O220">
        <v>485.51896139152302</v>
      </c>
      <c r="P220">
        <v>989.59548591376802</v>
      </c>
      <c r="Q220">
        <v>5504.95794449401</v>
      </c>
      <c r="R220">
        <v>549.22101471286203</v>
      </c>
      <c r="S220">
        <v>365.536785868876</v>
      </c>
      <c r="T220">
        <v>208.051870794595</v>
      </c>
      <c r="U220">
        <v>243.59080645308799</v>
      </c>
      <c r="V220">
        <v>182.345356350712</v>
      </c>
      <c r="W220">
        <v>141.880810732481</v>
      </c>
      <c r="X220">
        <v>163.39595753350801</v>
      </c>
      <c r="Y220">
        <v>879.08376527046596</v>
      </c>
      <c r="Z220">
        <v>201.03179318252401</v>
      </c>
      <c r="AA220">
        <v>714.55333505933504</v>
      </c>
      <c r="AB220">
        <v>886.68871928662202</v>
      </c>
      <c r="AC220">
        <v>873.52861937600403</v>
      </c>
      <c r="AD220">
        <v>522.564177090415</v>
      </c>
      <c r="AE220">
        <v>889.54368947833495</v>
      </c>
      <c r="AF220">
        <v>872.49879729480404</v>
      </c>
      <c r="AG220">
        <v>797.55046776843994</v>
      </c>
    </row>
    <row r="221" spans="1:33" x14ac:dyDescent="0.25">
      <c r="A221" s="1">
        <v>44272</v>
      </c>
      <c r="B221">
        <v>8513.9357581484292</v>
      </c>
      <c r="C221">
        <v>5538.3586634700296</v>
      </c>
      <c r="D221">
        <v>6752.1166185869297</v>
      </c>
      <c r="E221">
        <v>8609.2809051806198</v>
      </c>
      <c r="F221">
        <v>9965.8099983623506</v>
      </c>
      <c r="G221">
        <v>8884.15462833128</v>
      </c>
      <c r="H221">
        <v>20965.865497741499</v>
      </c>
      <c r="I221">
        <v>13856.754001457201</v>
      </c>
      <c r="J221">
        <v>1124.66178025316</v>
      </c>
      <c r="K221">
        <v>910.42593804307</v>
      </c>
      <c r="L221">
        <v>556.43700658960995</v>
      </c>
      <c r="M221">
        <v>7619.9147802760399</v>
      </c>
      <c r="N221">
        <v>1233.88632625132</v>
      </c>
      <c r="O221">
        <v>493.31242627632503</v>
      </c>
      <c r="P221">
        <v>994.66368806008404</v>
      </c>
      <c r="Q221">
        <v>5707.65975323973</v>
      </c>
      <c r="R221">
        <v>559.31157009942797</v>
      </c>
      <c r="S221">
        <v>353.35597362713298</v>
      </c>
      <c r="T221">
        <v>200.82516524522501</v>
      </c>
      <c r="U221">
        <v>243.88575303517499</v>
      </c>
      <c r="V221">
        <v>168.02616370108501</v>
      </c>
      <c r="W221">
        <v>142.43755527247299</v>
      </c>
      <c r="X221">
        <v>146.09196029973501</v>
      </c>
      <c r="Y221">
        <v>881.71836069520896</v>
      </c>
      <c r="Z221">
        <v>201.75802340660701</v>
      </c>
      <c r="AA221">
        <v>710.49034562032205</v>
      </c>
      <c r="AB221">
        <v>888.87171385142301</v>
      </c>
      <c r="AC221">
        <v>880.44379447522897</v>
      </c>
      <c r="AD221">
        <v>509.80350796021702</v>
      </c>
      <c r="AE221">
        <v>901.09252263034296</v>
      </c>
      <c r="AF221">
        <v>872.57146793724201</v>
      </c>
      <c r="AG221">
        <v>779.76200112968002</v>
      </c>
    </row>
    <row r="222" spans="1:33" x14ac:dyDescent="0.25">
      <c r="A222" s="1">
        <v>44273</v>
      </c>
      <c r="B222">
        <v>8441.4821235785894</v>
      </c>
      <c r="C222">
        <v>5646.6070971094696</v>
      </c>
      <c r="D222">
        <v>6531.72495273187</v>
      </c>
      <c r="E222">
        <v>8547.0826200693391</v>
      </c>
      <c r="F222">
        <v>10236.0625183435</v>
      </c>
      <c r="G222">
        <v>9223.3350874023599</v>
      </c>
      <c r="H222">
        <v>21663.1520802757</v>
      </c>
      <c r="I222">
        <v>13544.569923868299</v>
      </c>
      <c r="J222">
        <v>1110.8417361377799</v>
      </c>
      <c r="K222">
        <v>917.88435676283905</v>
      </c>
      <c r="L222">
        <v>545.90682185998298</v>
      </c>
      <c r="M222">
        <v>7988.5225050089302</v>
      </c>
      <c r="N222">
        <v>1313.7000957524999</v>
      </c>
      <c r="O222">
        <v>486.987377413986</v>
      </c>
      <c r="P222">
        <v>1014.44554779615</v>
      </c>
      <c r="Q222">
        <v>5977.8524201466998</v>
      </c>
      <c r="R222">
        <v>564.49569979184298</v>
      </c>
      <c r="S222">
        <v>349.44819374580499</v>
      </c>
      <c r="T222">
        <v>192.93840848337001</v>
      </c>
      <c r="U222">
        <v>244.75294012849699</v>
      </c>
      <c r="V222">
        <v>159.088436219519</v>
      </c>
      <c r="W222">
        <v>145.77205616878399</v>
      </c>
      <c r="X222">
        <v>143.520026895558</v>
      </c>
      <c r="Y222">
        <v>876.92404303470505</v>
      </c>
      <c r="Z222">
        <v>204.108307083905</v>
      </c>
      <c r="AA222">
        <v>711.32102788750399</v>
      </c>
      <c r="AB222">
        <v>876.97157802111701</v>
      </c>
      <c r="AC222">
        <v>875.73972680708403</v>
      </c>
      <c r="AD222">
        <v>501.27743136592102</v>
      </c>
      <c r="AE222">
        <v>934.90207741132895</v>
      </c>
      <c r="AF222">
        <v>870.53068568065203</v>
      </c>
      <c r="AG222">
        <v>767.26022373966305</v>
      </c>
    </row>
    <row r="223" spans="1:33" x14ac:dyDescent="0.25">
      <c r="A223" s="1">
        <v>44274</v>
      </c>
      <c r="B223">
        <v>8376.1348659529704</v>
      </c>
      <c r="C223">
        <v>5723.5969891620698</v>
      </c>
      <c r="D223">
        <v>6189.8728947564596</v>
      </c>
      <c r="E223">
        <v>8472.2428443569297</v>
      </c>
      <c r="F223">
        <v>10283.5285663504</v>
      </c>
      <c r="G223">
        <v>9287.3871688870204</v>
      </c>
      <c r="H223">
        <v>22000.715818938999</v>
      </c>
      <c r="I223">
        <v>13421.5499893994</v>
      </c>
      <c r="J223">
        <v>1093.7835542258099</v>
      </c>
      <c r="K223">
        <v>920.71999154871298</v>
      </c>
      <c r="L223">
        <v>551.79213494763496</v>
      </c>
      <c r="M223">
        <v>7874.2683936303802</v>
      </c>
      <c r="N223">
        <v>1259.71167724362</v>
      </c>
      <c r="O223">
        <v>469.38810845526501</v>
      </c>
      <c r="P223">
        <v>1015.49557286523</v>
      </c>
      <c r="Q223">
        <v>5847.2197107104303</v>
      </c>
      <c r="R223">
        <v>563.50159237866899</v>
      </c>
      <c r="S223">
        <v>354.25027782956403</v>
      </c>
      <c r="T223">
        <v>186.017319522782</v>
      </c>
      <c r="U223">
        <v>243.822980313632</v>
      </c>
      <c r="V223">
        <v>153.37491783472601</v>
      </c>
      <c r="W223">
        <v>143.27842122096399</v>
      </c>
      <c r="X223">
        <v>144.29591141732001</v>
      </c>
      <c r="Y223">
        <v>868.82474763273001</v>
      </c>
      <c r="Z223">
        <v>204.79934152467101</v>
      </c>
      <c r="AA223">
        <v>711.875763489007</v>
      </c>
      <c r="AB223">
        <v>863.39501221540604</v>
      </c>
      <c r="AC223">
        <v>869.09010557357897</v>
      </c>
      <c r="AD223">
        <v>501.15673103471801</v>
      </c>
      <c r="AE223">
        <v>955.86600822963101</v>
      </c>
      <c r="AF223">
        <v>866.74666887983005</v>
      </c>
      <c r="AG223">
        <v>752.98995893416202</v>
      </c>
    </row>
    <row r="224" spans="1:33" x14ac:dyDescent="0.25">
      <c r="A224" s="1">
        <v>44275</v>
      </c>
      <c r="B224">
        <v>8346.1215353387997</v>
      </c>
      <c r="C224">
        <v>5800.4181260033602</v>
      </c>
      <c r="D224">
        <v>5908.3858000334503</v>
      </c>
      <c r="E224">
        <v>8322.5887080498396</v>
      </c>
      <c r="F224">
        <v>9907.9823207669906</v>
      </c>
      <c r="G224">
        <v>8546.8733510006605</v>
      </c>
      <c r="H224">
        <v>21848.7074956324</v>
      </c>
      <c r="I224">
        <v>13433.6929343833</v>
      </c>
      <c r="J224">
        <v>1087.74763515677</v>
      </c>
      <c r="K224">
        <v>889.91152284750797</v>
      </c>
      <c r="L224">
        <v>554.07542446939794</v>
      </c>
      <c r="M224">
        <v>7304.8279479367502</v>
      </c>
      <c r="N224">
        <v>1017.51021618328</v>
      </c>
      <c r="O224">
        <v>438.03305837418799</v>
      </c>
      <c r="P224">
        <v>959.91013601945997</v>
      </c>
      <c r="Q224">
        <v>5208.8686005724303</v>
      </c>
      <c r="R224">
        <v>546.72207961677998</v>
      </c>
      <c r="S224">
        <v>369.35920746828998</v>
      </c>
      <c r="T224">
        <v>180.57209775902399</v>
      </c>
      <c r="U224">
        <v>243.57881833196001</v>
      </c>
      <c r="V224">
        <v>150.14186904920899</v>
      </c>
      <c r="W224">
        <v>147.064520810266</v>
      </c>
      <c r="X224">
        <v>144.603919131429</v>
      </c>
      <c r="Y224">
        <v>867.36135982144697</v>
      </c>
      <c r="Z224">
        <v>202.89979979751601</v>
      </c>
      <c r="AA224">
        <v>710.21535468427601</v>
      </c>
      <c r="AB224">
        <v>859.34950270285697</v>
      </c>
      <c r="AC224">
        <v>871.927562319392</v>
      </c>
      <c r="AD224">
        <v>494.11285474916002</v>
      </c>
      <c r="AE224">
        <v>991.35065512999097</v>
      </c>
      <c r="AF224">
        <v>864.01092848687495</v>
      </c>
      <c r="AG224">
        <v>749.64916728210096</v>
      </c>
    </row>
    <row r="225" spans="1:33" x14ac:dyDescent="0.25">
      <c r="A225" s="1">
        <v>44276</v>
      </c>
      <c r="B225">
        <v>8275.0527393316297</v>
      </c>
      <c r="C225">
        <v>5421.4441645172201</v>
      </c>
      <c r="D225">
        <v>5791.7767934477897</v>
      </c>
      <c r="E225">
        <v>8095.84484551879</v>
      </c>
      <c r="F225">
        <v>9213.0730813541304</v>
      </c>
      <c r="G225">
        <v>7483.93330286533</v>
      </c>
      <c r="H225">
        <v>21023.312911140802</v>
      </c>
      <c r="I225">
        <v>13376.206646479401</v>
      </c>
      <c r="J225">
        <v>1076.1094289366799</v>
      </c>
      <c r="K225">
        <v>840.53564645459699</v>
      </c>
      <c r="L225">
        <v>537.55687036992697</v>
      </c>
      <c r="M225">
        <v>6470.0482589898502</v>
      </c>
      <c r="N225">
        <v>727.95657991512701</v>
      </c>
      <c r="O225">
        <v>398.71660459534002</v>
      </c>
      <c r="P225">
        <v>894.64758709276498</v>
      </c>
      <c r="Q225">
        <v>4567.3225144363296</v>
      </c>
      <c r="R225">
        <v>507.43035547176697</v>
      </c>
      <c r="S225">
        <v>385.76477430832801</v>
      </c>
      <c r="T225">
        <v>176.15073510878</v>
      </c>
      <c r="U225">
        <v>243.69304735095901</v>
      </c>
      <c r="V225">
        <v>143.655270330441</v>
      </c>
      <c r="W225">
        <v>160.536717997891</v>
      </c>
      <c r="X225">
        <v>143.442618648197</v>
      </c>
      <c r="Y225">
        <v>869.66334015678206</v>
      </c>
      <c r="Z225">
        <v>200.23697812158099</v>
      </c>
      <c r="AA225">
        <v>713.07174088781699</v>
      </c>
      <c r="AB225">
        <v>859.77683479558505</v>
      </c>
      <c r="AC225">
        <v>878.16198248252397</v>
      </c>
      <c r="AD225">
        <v>485.07403429310602</v>
      </c>
      <c r="AE225">
        <v>1055.42019149522</v>
      </c>
      <c r="AF225">
        <v>861.49774634487198</v>
      </c>
      <c r="AG225">
        <v>754.56756481564196</v>
      </c>
    </row>
    <row r="226" spans="1:33" x14ac:dyDescent="0.25">
      <c r="A226" s="1">
        <v>44277</v>
      </c>
      <c r="B226">
        <v>8132.3719878973197</v>
      </c>
      <c r="C226">
        <v>4665.8529746403601</v>
      </c>
      <c r="D226">
        <v>5745.5696261866597</v>
      </c>
      <c r="E226">
        <v>7844.7019846376297</v>
      </c>
      <c r="F226">
        <v>8565.0409483825606</v>
      </c>
      <c r="G226">
        <v>7004.4079202585799</v>
      </c>
      <c r="H226">
        <v>21465.338537742198</v>
      </c>
      <c r="I226">
        <v>13201.348469328999</v>
      </c>
      <c r="J226">
        <v>1063.8094403622799</v>
      </c>
      <c r="K226">
        <v>807.50630677477102</v>
      </c>
      <c r="L226">
        <v>527.48573476596505</v>
      </c>
      <c r="M226">
        <v>6141.5554042847398</v>
      </c>
      <c r="N226">
        <v>707.99882360976801</v>
      </c>
      <c r="O226">
        <v>394.252054226192</v>
      </c>
      <c r="P226">
        <v>863.17871081566398</v>
      </c>
      <c r="Q226">
        <v>4399.67611542758</v>
      </c>
      <c r="R226">
        <v>500.89409041567598</v>
      </c>
      <c r="S226">
        <v>416.57680030429202</v>
      </c>
      <c r="T226">
        <v>176.97558012457401</v>
      </c>
      <c r="U226">
        <v>244.28437214704999</v>
      </c>
      <c r="V226">
        <v>151.02449751281199</v>
      </c>
      <c r="W226">
        <v>159.09669284554599</v>
      </c>
      <c r="X226">
        <v>151.77036197142499</v>
      </c>
      <c r="Y226">
        <v>870.91162564166302</v>
      </c>
      <c r="Z226">
        <v>197.98581358881901</v>
      </c>
      <c r="AA226">
        <v>716.751789767839</v>
      </c>
      <c r="AB226">
        <v>860.82357560462594</v>
      </c>
      <c r="AC226">
        <v>895.36784004035303</v>
      </c>
      <c r="AD226">
        <v>474.91575109131901</v>
      </c>
      <c r="AE226">
        <v>1143.64935718028</v>
      </c>
      <c r="AF226">
        <v>859.69400679646105</v>
      </c>
      <c r="AG226">
        <v>756.66408595604003</v>
      </c>
    </row>
    <row r="227" spans="1:33" x14ac:dyDescent="0.25">
      <c r="A227" s="1">
        <v>44278</v>
      </c>
      <c r="B227">
        <v>7924.3301768259598</v>
      </c>
      <c r="C227">
        <v>4465.5661998672904</v>
      </c>
      <c r="D227">
        <v>5648.1743352906396</v>
      </c>
      <c r="E227">
        <v>7648.4784350276695</v>
      </c>
      <c r="F227">
        <v>7849.9099666130196</v>
      </c>
      <c r="G227">
        <v>6532.3283877254498</v>
      </c>
      <c r="H227">
        <v>20421.292988449899</v>
      </c>
      <c r="I227">
        <v>12585.9255637962</v>
      </c>
      <c r="J227">
        <v>1031.64387543867</v>
      </c>
      <c r="K227">
        <v>749.59087856470398</v>
      </c>
      <c r="L227">
        <v>510.23715018602201</v>
      </c>
      <c r="M227">
        <v>5167.3326725129</v>
      </c>
      <c r="N227">
        <v>490.72260361312601</v>
      </c>
      <c r="O227">
        <v>404.61295707973397</v>
      </c>
      <c r="P227">
        <v>798.56430369498901</v>
      </c>
      <c r="Q227">
        <v>3795.4732840740699</v>
      </c>
      <c r="R227">
        <v>482.39542473402599</v>
      </c>
      <c r="S227">
        <v>376.03223294487998</v>
      </c>
      <c r="T227">
        <v>176.02783620724301</v>
      </c>
      <c r="U227">
        <v>244.14732437057901</v>
      </c>
      <c r="V227">
        <v>161.45591713210899</v>
      </c>
      <c r="W227">
        <v>159.56635278373</v>
      </c>
      <c r="X227">
        <v>160.59838775858299</v>
      </c>
      <c r="Y227">
        <v>871.85859784316995</v>
      </c>
      <c r="Z227">
        <v>189.736530951943</v>
      </c>
      <c r="AA227">
        <v>719.26398014831602</v>
      </c>
      <c r="AB227">
        <v>859.63121387205695</v>
      </c>
      <c r="AC227">
        <v>914.21899162961597</v>
      </c>
      <c r="AD227">
        <v>468.54402889238202</v>
      </c>
      <c r="AE227">
        <v>1181.1081790314399</v>
      </c>
      <c r="AF227">
        <v>860.38974948123098</v>
      </c>
      <c r="AG227">
        <v>752.27445845718398</v>
      </c>
    </row>
    <row r="228" spans="1:33" x14ac:dyDescent="0.25">
      <c r="A228" s="1">
        <v>44279</v>
      </c>
      <c r="B228">
        <v>7639.2825715567496</v>
      </c>
      <c r="C228">
        <v>3718.7646714321199</v>
      </c>
      <c r="D228">
        <v>5581.4327447356</v>
      </c>
      <c r="E228">
        <v>7469.3401104857903</v>
      </c>
      <c r="F228">
        <v>7598.2623285530399</v>
      </c>
      <c r="G228">
        <v>7028.1171432277997</v>
      </c>
      <c r="H228">
        <v>21193.023404651201</v>
      </c>
      <c r="I228">
        <v>11113.220726963</v>
      </c>
      <c r="J228">
        <v>998.01427088346702</v>
      </c>
      <c r="K228">
        <v>733.995784202045</v>
      </c>
      <c r="L228">
        <v>488.59618405628999</v>
      </c>
      <c r="M228">
        <v>5638.8430551233996</v>
      </c>
      <c r="N228">
        <v>608.80009761407496</v>
      </c>
      <c r="O228">
        <v>411.25802729287</v>
      </c>
      <c r="P228">
        <v>796.27313481245005</v>
      </c>
      <c r="Q228">
        <v>3978.2010266381899</v>
      </c>
      <c r="R228">
        <v>464.326819073271</v>
      </c>
      <c r="S228">
        <v>375.78905090158599</v>
      </c>
      <c r="T228">
        <v>181.017273504272</v>
      </c>
      <c r="U228">
        <v>244.494025538301</v>
      </c>
      <c r="V228">
        <v>170.62182212293001</v>
      </c>
      <c r="W228">
        <v>146.81627536490601</v>
      </c>
      <c r="X228">
        <v>161.21094935228001</v>
      </c>
      <c r="Y228">
        <v>878.24727683750405</v>
      </c>
      <c r="Z228">
        <v>187.96797180853201</v>
      </c>
      <c r="AA228">
        <v>718.79981187460601</v>
      </c>
      <c r="AB228">
        <v>865.62483927892504</v>
      </c>
      <c r="AC228">
        <v>945.83131901473905</v>
      </c>
      <c r="AD228">
        <v>460.596641631274</v>
      </c>
      <c r="AE228">
        <v>1096.82679056236</v>
      </c>
      <c r="AF228">
        <v>861.18514895805902</v>
      </c>
      <c r="AG228">
        <v>753.45051152093004</v>
      </c>
    </row>
    <row r="229" spans="1:33" x14ac:dyDescent="0.25">
      <c r="A229" s="1">
        <v>44280</v>
      </c>
      <c r="B229">
        <v>7389.2746317177398</v>
      </c>
      <c r="C229">
        <v>3889.79643204591</v>
      </c>
      <c r="D229">
        <v>5339.07889040583</v>
      </c>
      <c r="E229">
        <v>7494.0394746822103</v>
      </c>
      <c r="F229">
        <v>8485.0689154362408</v>
      </c>
      <c r="G229">
        <v>8324.0719254515407</v>
      </c>
      <c r="H229">
        <v>23824.695772876501</v>
      </c>
      <c r="I229">
        <v>11368.9333334685</v>
      </c>
      <c r="J229">
        <v>953.76074990770996</v>
      </c>
      <c r="K229">
        <v>731.05079904755496</v>
      </c>
      <c r="L229">
        <v>483.14817785280798</v>
      </c>
      <c r="M229">
        <v>6927.5949005682996</v>
      </c>
      <c r="N229">
        <v>929.42807035017904</v>
      </c>
      <c r="O229">
        <v>438.03980610307201</v>
      </c>
      <c r="P229">
        <v>813.818418155411</v>
      </c>
      <c r="Q229">
        <v>5090.1090390913496</v>
      </c>
      <c r="R229">
        <v>493.07543010445897</v>
      </c>
      <c r="S229">
        <v>357.80392429728198</v>
      </c>
      <c r="T229">
        <v>186.06635405992401</v>
      </c>
      <c r="U229">
        <v>244.88782289072401</v>
      </c>
      <c r="V229">
        <v>178.89900105910399</v>
      </c>
      <c r="W229">
        <v>156.625671898755</v>
      </c>
      <c r="X229">
        <v>160.287800442974</v>
      </c>
      <c r="Y229">
        <v>874.19690482786996</v>
      </c>
      <c r="Z229">
        <v>185.845742572224</v>
      </c>
      <c r="AA229">
        <v>718.92465502947903</v>
      </c>
      <c r="AB229">
        <v>865.45593407314595</v>
      </c>
      <c r="AC229">
        <v>965.39526987254999</v>
      </c>
      <c r="AD229">
        <v>453.38142419354</v>
      </c>
      <c r="AE229">
        <v>1132.10916109506</v>
      </c>
      <c r="AF229">
        <v>862.42818712324197</v>
      </c>
      <c r="AG229">
        <v>751.68375265117299</v>
      </c>
    </row>
    <row r="230" spans="1:33" x14ac:dyDescent="0.25">
      <c r="A230" s="1">
        <v>44281</v>
      </c>
      <c r="B230">
        <v>7333.3426790978601</v>
      </c>
      <c r="C230">
        <v>5010.1080515317499</v>
      </c>
      <c r="D230">
        <v>4945.7769132692401</v>
      </c>
      <c r="E230">
        <v>7355.9556103857703</v>
      </c>
      <c r="F230">
        <v>9122.8766711069802</v>
      </c>
      <c r="G230">
        <v>8096.7203556267596</v>
      </c>
      <c r="H230">
        <v>21348.530263288802</v>
      </c>
      <c r="I230">
        <v>11496.0562308302</v>
      </c>
      <c r="J230">
        <v>941.95612527728997</v>
      </c>
      <c r="K230">
        <v>698.198142932564</v>
      </c>
      <c r="L230">
        <v>491.61872678824301</v>
      </c>
      <c r="M230">
        <v>6295.1180792739196</v>
      </c>
      <c r="N230">
        <v>775.12766964694595</v>
      </c>
      <c r="O230">
        <v>427.97808648194098</v>
      </c>
      <c r="P230">
        <v>756.97278954406295</v>
      </c>
      <c r="Q230">
        <v>4727.1404787178599</v>
      </c>
      <c r="R230">
        <v>475.71608065159802</v>
      </c>
      <c r="S230">
        <v>340.738155179508</v>
      </c>
      <c r="T230">
        <v>181.031715010705</v>
      </c>
      <c r="U230">
        <v>244.51131397299099</v>
      </c>
      <c r="V230">
        <v>163.43845496876301</v>
      </c>
      <c r="W230">
        <v>159.75038481220599</v>
      </c>
      <c r="X230">
        <v>149.66813037112499</v>
      </c>
      <c r="Y230">
        <v>889.20056464383299</v>
      </c>
      <c r="Z230">
        <v>181.53016288551501</v>
      </c>
      <c r="AA230">
        <v>714.52213000957602</v>
      </c>
      <c r="AB230">
        <v>870.41668265119904</v>
      </c>
      <c r="AC230">
        <v>1011.96318819801</v>
      </c>
      <c r="AD230">
        <v>456.24284861109601</v>
      </c>
      <c r="AE230">
        <v>1066.44711833318</v>
      </c>
      <c r="AF230">
        <v>864.33877045180498</v>
      </c>
      <c r="AG230">
        <v>754.08910838643897</v>
      </c>
    </row>
    <row r="231" spans="1:33" x14ac:dyDescent="0.25">
      <c r="A231" s="1">
        <v>44282</v>
      </c>
      <c r="B231">
        <v>7212.3159158532699</v>
      </c>
      <c r="C231">
        <v>4704.1053358413001</v>
      </c>
      <c r="D231">
        <v>4737.7996060372498</v>
      </c>
      <c r="E231">
        <v>7193.6006500333197</v>
      </c>
      <c r="F231">
        <v>8982.1274043985704</v>
      </c>
      <c r="G231">
        <v>8127.5938139988102</v>
      </c>
      <c r="H231">
        <v>20921.0530516459</v>
      </c>
      <c r="I231">
        <v>11617.783913105101</v>
      </c>
      <c r="J231">
        <v>924.63413589755498</v>
      </c>
      <c r="K231">
        <v>681.98888057493298</v>
      </c>
      <c r="L231">
        <v>493.48386714797499</v>
      </c>
      <c r="M231">
        <v>6625.3892067921497</v>
      </c>
      <c r="N231">
        <v>957.127341427994</v>
      </c>
      <c r="O231">
        <v>420.71184840930198</v>
      </c>
      <c r="P231">
        <v>738.70294594142604</v>
      </c>
      <c r="Q231">
        <v>4812.46744649844</v>
      </c>
      <c r="R231">
        <v>467.68191925174301</v>
      </c>
      <c r="S231">
        <v>341.91506610328702</v>
      </c>
      <c r="T231">
        <v>181.06854613231101</v>
      </c>
      <c r="U231">
        <v>243.465372494093</v>
      </c>
      <c r="V231">
        <v>175.254029209001</v>
      </c>
      <c r="W231">
        <v>154.09717426942001</v>
      </c>
      <c r="X231">
        <v>159.09868352218999</v>
      </c>
      <c r="Y231">
        <v>902.85263163950299</v>
      </c>
      <c r="Z231">
        <v>181.322717327052</v>
      </c>
      <c r="AA231">
        <v>716.16945867694903</v>
      </c>
      <c r="AB231">
        <v>876.302354320414</v>
      </c>
      <c r="AC231">
        <v>1046.8547862859</v>
      </c>
      <c r="AD231">
        <v>456.50023492163399</v>
      </c>
      <c r="AE231">
        <v>1010.79974059953</v>
      </c>
      <c r="AF231">
        <v>866.681613845882</v>
      </c>
      <c r="AG231">
        <v>756.37668955605602</v>
      </c>
    </row>
    <row r="232" spans="1:33" x14ac:dyDescent="0.25">
      <c r="A232" s="1">
        <v>44283</v>
      </c>
      <c r="B232">
        <v>7004.0358607104799</v>
      </c>
      <c r="C232">
        <v>4370.6638322976896</v>
      </c>
      <c r="D232">
        <v>4710.7117595773198</v>
      </c>
      <c r="E232">
        <v>7006.1248868415196</v>
      </c>
      <c r="F232">
        <v>9224.1897875168997</v>
      </c>
      <c r="G232">
        <v>8522.8419585356096</v>
      </c>
      <c r="H232">
        <v>21050.900249611401</v>
      </c>
      <c r="I232">
        <v>11718.8330974769</v>
      </c>
      <c r="J232">
        <v>904.57588248162597</v>
      </c>
      <c r="K232">
        <v>675.93866460584297</v>
      </c>
      <c r="L232">
        <v>493.59036129085001</v>
      </c>
      <c r="M232">
        <v>6957.3539245207603</v>
      </c>
      <c r="N232">
        <v>1079.44110868037</v>
      </c>
      <c r="O232">
        <v>421.80297020621902</v>
      </c>
      <c r="P232">
        <v>734.17870594389797</v>
      </c>
      <c r="Q232">
        <v>5086.3084181615704</v>
      </c>
      <c r="R232">
        <v>463.81163189635402</v>
      </c>
      <c r="S232">
        <v>336.64295754852299</v>
      </c>
      <c r="T232">
        <v>183.96643270378601</v>
      </c>
      <c r="U232">
        <v>243.19871810935001</v>
      </c>
      <c r="V232">
        <v>183.44870748701399</v>
      </c>
      <c r="W232">
        <v>148.77793273208499</v>
      </c>
      <c r="X232">
        <v>164.13626346403601</v>
      </c>
      <c r="Y232">
        <v>918.75609427707002</v>
      </c>
      <c r="Z232">
        <v>182.22459033358101</v>
      </c>
      <c r="AA232">
        <v>716.25803693012801</v>
      </c>
      <c r="AB232">
        <v>879.44644510806597</v>
      </c>
      <c r="AC232">
        <v>1043.9194084032699</v>
      </c>
      <c r="AD232">
        <v>453.86188521697801</v>
      </c>
      <c r="AE232">
        <v>1011.27758486603</v>
      </c>
      <c r="AF232">
        <v>868.86431958954802</v>
      </c>
      <c r="AG232">
        <v>756.73100701699605</v>
      </c>
    </row>
    <row r="233" spans="1:33" x14ac:dyDescent="0.25">
      <c r="A233" s="1">
        <v>44284</v>
      </c>
      <c r="B233">
        <v>6794.9955043508598</v>
      </c>
      <c r="C233">
        <v>4781.7338493684301</v>
      </c>
      <c r="D233">
        <v>4735.0344539404005</v>
      </c>
      <c r="E233">
        <v>6876.8357601389698</v>
      </c>
      <c r="F233">
        <v>9718.7066673748195</v>
      </c>
      <c r="G233">
        <v>8849.5382237556605</v>
      </c>
      <c r="H233">
        <v>21039.583824483401</v>
      </c>
      <c r="I233">
        <v>11952.6836129165</v>
      </c>
      <c r="J233">
        <v>885.99058151948395</v>
      </c>
      <c r="K233">
        <v>679.94163541306102</v>
      </c>
      <c r="L233">
        <v>490.11774500807797</v>
      </c>
      <c r="M233">
        <v>7276.1743667104101</v>
      </c>
      <c r="N233">
        <v>1173.3507561425499</v>
      </c>
      <c r="O233">
        <v>431.11371518183</v>
      </c>
      <c r="P233">
        <v>737.53178232194603</v>
      </c>
      <c r="Q233">
        <v>5491.6539695413503</v>
      </c>
      <c r="R233">
        <v>465.43952050365402</v>
      </c>
      <c r="S233">
        <v>330.92736666276602</v>
      </c>
      <c r="T233">
        <v>188.23797056864601</v>
      </c>
      <c r="U233">
        <v>242.66201254095299</v>
      </c>
      <c r="V233">
        <v>185.681395622384</v>
      </c>
      <c r="W233">
        <v>153.02954022103199</v>
      </c>
      <c r="X233">
        <v>161.40231233357599</v>
      </c>
      <c r="Y233">
        <v>936.737173684151</v>
      </c>
      <c r="Z233">
        <v>183.05279478677701</v>
      </c>
      <c r="AA233">
        <v>716.92056745945297</v>
      </c>
      <c r="AB233">
        <v>886.085617200917</v>
      </c>
      <c r="AC233">
        <v>1038.6589804323901</v>
      </c>
      <c r="AD233">
        <v>449.13211412772102</v>
      </c>
      <c r="AE233">
        <v>982.850890001268</v>
      </c>
      <c r="AF233">
        <v>871.31881152900098</v>
      </c>
      <c r="AG233">
        <v>756.04370257430401</v>
      </c>
    </row>
    <row r="234" spans="1:33" x14ac:dyDescent="0.25">
      <c r="A234" s="1">
        <v>44285</v>
      </c>
      <c r="B234">
        <v>6658.3093768333501</v>
      </c>
      <c r="C234">
        <v>5269.69010975328</v>
      </c>
      <c r="D234">
        <v>4800.7486933730297</v>
      </c>
      <c r="E234">
        <v>6874.7326817736503</v>
      </c>
      <c r="F234">
        <v>9974.7882157121003</v>
      </c>
      <c r="G234">
        <v>9062.2797618239001</v>
      </c>
      <c r="H234">
        <v>20741.689969251001</v>
      </c>
      <c r="I234">
        <v>12285.4900677681</v>
      </c>
      <c r="J234">
        <v>869.59574452275103</v>
      </c>
      <c r="K234">
        <v>683.15366295646902</v>
      </c>
      <c r="L234">
        <v>484.26768336328502</v>
      </c>
      <c r="M234">
        <v>7414.5386416135398</v>
      </c>
      <c r="N234">
        <v>1198.6265648753099</v>
      </c>
      <c r="O234">
        <v>435.22527700043099</v>
      </c>
      <c r="P234">
        <v>747.78235360162398</v>
      </c>
      <c r="Q234">
        <v>5641.7225174183905</v>
      </c>
      <c r="R234">
        <v>463.18124263780601</v>
      </c>
      <c r="S234">
        <v>326.877493670722</v>
      </c>
      <c r="T234">
        <v>188.71474372627</v>
      </c>
      <c r="U234">
        <v>240.476849848304</v>
      </c>
      <c r="V234">
        <v>177.285477229348</v>
      </c>
      <c r="W234">
        <v>155.45128763516001</v>
      </c>
      <c r="X234">
        <v>156.126536139097</v>
      </c>
      <c r="Y234">
        <v>954.32377182109894</v>
      </c>
      <c r="Z234">
        <v>182.50843162303201</v>
      </c>
      <c r="AA234">
        <v>719.70586968002499</v>
      </c>
      <c r="AB234">
        <v>898.93837562577301</v>
      </c>
      <c r="AC234">
        <v>1006.96165042423</v>
      </c>
      <c r="AD234">
        <v>445.96965966296199</v>
      </c>
      <c r="AE234">
        <v>974.41466391546305</v>
      </c>
      <c r="AF234">
        <v>876.43260693148397</v>
      </c>
      <c r="AG234">
        <v>755.84888179851498</v>
      </c>
    </row>
    <row r="235" spans="1:33" x14ac:dyDescent="0.25">
      <c r="A235" s="1">
        <v>44286</v>
      </c>
      <c r="B235">
        <v>6663.8610790967396</v>
      </c>
      <c r="C235">
        <v>5354.8953693507601</v>
      </c>
      <c r="D235">
        <v>4964.9382999734198</v>
      </c>
      <c r="E235">
        <v>7017.9754563578099</v>
      </c>
      <c r="F235">
        <v>10250.719204925301</v>
      </c>
      <c r="G235">
        <v>9574.3215601555403</v>
      </c>
      <c r="H235">
        <v>21475.4675613662</v>
      </c>
      <c r="I235">
        <v>12577.8231211278</v>
      </c>
      <c r="J235">
        <v>855.34289073752598</v>
      </c>
      <c r="K235">
        <v>699.653890635984</v>
      </c>
      <c r="L235">
        <v>489.64211108115802</v>
      </c>
      <c r="M235">
        <v>8116.3110161535096</v>
      </c>
      <c r="N235">
        <v>1642.6750167689299</v>
      </c>
      <c r="O235">
        <v>430.00640534330603</v>
      </c>
      <c r="P235">
        <v>786.68270350040405</v>
      </c>
      <c r="Q235">
        <v>6182.9698393142899</v>
      </c>
      <c r="R235">
        <v>466.24125620963099</v>
      </c>
      <c r="S235">
        <v>326.90804123365501</v>
      </c>
      <c r="T235">
        <v>200.65677017928201</v>
      </c>
      <c r="U235">
        <v>237.885982773416</v>
      </c>
      <c r="V235">
        <v>203.82884689924299</v>
      </c>
      <c r="W235">
        <v>157.63905266582501</v>
      </c>
      <c r="X235">
        <v>165.22934310493099</v>
      </c>
      <c r="Y235">
        <v>962.09475320890101</v>
      </c>
      <c r="Z235">
        <v>182.627169634956</v>
      </c>
      <c r="AA235">
        <v>721.62685189568401</v>
      </c>
      <c r="AB235">
        <v>909.81354480572804</v>
      </c>
      <c r="AC235">
        <v>983.84796574320103</v>
      </c>
      <c r="AD235">
        <v>448.75521565154202</v>
      </c>
      <c r="AE235">
        <v>903.00633895067404</v>
      </c>
      <c r="AF235">
        <v>881.580056160975</v>
      </c>
      <c r="AG235">
        <v>755.83270332665199</v>
      </c>
    </row>
    <row r="236" spans="1:33" x14ac:dyDescent="0.25">
      <c r="A236" s="1">
        <v>44287</v>
      </c>
      <c r="B236">
        <v>6721.8862173367197</v>
      </c>
      <c r="C236">
        <v>5705.8174459961801</v>
      </c>
      <c r="D236">
        <v>5131.0339311063599</v>
      </c>
      <c r="E236">
        <v>7206.7087877619097</v>
      </c>
      <c r="F236">
        <v>11049.616398972599</v>
      </c>
      <c r="G236">
        <v>10647.368467811801</v>
      </c>
      <c r="H236">
        <v>22955.703769314699</v>
      </c>
      <c r="I236">
        <v>12885.0418597061</v>
      </c>
      <c r="J236">
        <v>842.643952677524</v>
      </c>
      <c r="K236">
        <v>754.46057084008601</v>
      </c>
      <c r="L236">
        <v>486.968486931467</v>
      </c>
      <c r="M236">
        <v>9050.8707404472898</v>
      </c>
      <c r="N236">
        <v>2092.8366833844502</v>
      </c>
      <c r="O236">
        <v>437.47322184482101</v>
      </c>
      <c r="P236">
        <v>882.20273507224204</v>
      </c>
      <c r="Q236">
        <v>7174.7282197288496</v>
      </c>
      <c r="R236">
        <v>476.81236486996499</v>
      </c>
      <c r="S236">
        <v>319.60073313243601</v>
      </c>
      <c r="T236">
        <v>224.08103414300999</v>
      </c>
      <c r="U236">
        <v>237.12865042006001</v>
      </c>
      <c r="V236">
        <v>238.30240266192999</v>
      </c>
      <c r="W236">
        <v>159.68000224626701</v>
      </c>
      <c r="X236">
        <v>175.56257087729799</v>
      </c>
      <c r="Y236">
        <v>949.90323256765805</v>
      </c>
      <c r="Z236">
        <v>182.650261682946</v>
      </c>
      <c r="AA236">
        <v>720.29611528138298</v>
      </c>
      <c r="AB236">
        <v>904.37820492084597</v>
      </c>
      <c r="AC236">
        <v>968.58894879401498</v>
      </c>
      <c r="AD236">
        <v>449.03243766163598</v>
      </c>
      <c r="AE236">
        <v>837.59851032645599</v>
      </c>
      <c r="AF236">
        <v>884.89481738652501</v>
      </c>
      <c r="AG236">
        <v>753.75404688796903</v>
      </c>
    </row>
    <row r="237" spans="1:33" x14ac:dyDescent="0.25">
      <c r="A237" s="1">
        <v>44288</v>
      </c>
      <c r="B237">
        <v>6814.5649448191798</v>
      </c>
      <c r="C237">
        <v>6833.4185162286303</v>
      </c>
      <c r="D237">
        <v>5261.4116026751099</v>
      </c>
      <c r="E237">
        <v>7454.5378601116699</v>
      </c>
      <c r="F237">
        <v>11885.405102237401</v>
      </c>
      <c r="G237">
        <v>11431.227678924501</v>
      </c>
      <c r="H237">
        <v>24178.810111263301</v>
      </c>
      <c r="I237">
        <v>13220.9655629022</v>
      </c>
      <c r="J237">
        <v>841.54338685479695</v>
      </c>
      <c r="K237">
        <v>835.43826952648396</v>
      </c>
      <c r="L237">
        <v>489.59061867968001</v>
      </c>
      <c r="M237">
        <v>9676.9422746864202</v>
      </c>
      <c r="N237">
        <v>2492.30953384347</v>
      </c>
      <c r="O237">
        <v>447.99090724532499</v>
      </c>
      <c r="P237">
        <v>998.21789610126905</v>
      </c>
      <c r="Q237">
        <v>7990.1161954290501</v>
      </c>
      <c r="R237">
        <v>492.87918550094599</v>
      </c>
      <c r="S237">
        <v>311.03183705739002</v>
      </c>
      <c r="T237">
        <v>263.54076595378098</v>
      </c>
      <c r="U237">
        <v>235.097494982027</v>
      </c>
      <c r="V237">
        <v>270.14267703617702</v>
      </c>
      <c r="W237">
        <v>157.53008355240601</v>
      </c>
      <c r="X237">
        <v>186.59889340398701</v>
      </c>
      <c r="Y237">
        <v>936.90873682665904</v>
      </c>
      <c r="Z237">
        <v>182.06311492056</v>
      </c>
      <c r="AA237">
        <v>717.56479369676094</v>
      </c>
      <c r="AB237">
        <v>898.21281466562698</v>
      </c>
      <c r="AC237">
        <v>955.14897809623005</v>
      </c>
      <c r="AD237">
        <v>453.71702581697298</v>
      </c>
      <c r="AE237">
        <v>819.84984510749302</v>
      </c>
      <c r="AF237">
        <v>888.03775476608996</v>
      </c>
      <c r="AG237">
        <v>753.01501364706905</v>
      </c>
    </row>
    <row r="238" spans="1:33" x14ac:dyDescent="0.25">
      <c r="A238" s="1">
        <v>44289</v>
      </c>
      <c r="B238">
        <v>6919.5545799987003</v>
      </c>
      <c r="C238">
        <v>7917.8961049704703</v>
      </c>
      <c r="D238">
        <v>5376.5388166440598</v>
      </c>
      <c r="E238">
        <v>7487.85798929871</v>
      </c>
      <c r="F238">
        <v>12225.6336057348</v>
      </c>
      <c r="G238">
        <v>11092.469051002199</v>
      </c>
      <c r="H238">
        <v>24128.0878400287</v>
      </c>
      <c r="I238">
        <v>13335.496618257701</v>
      </c>
      <c r="J238">
        <v>848.55486158341705</v>
      </c>
      <c r="K238">
        <v>861.43215382506401</v>
      </c>
      <c r="L238">
        <v>501.317254737018</v>
      </c>
      <c r="M238">
        <v>9665.6216152660309</v>
      </c>
      <c r="N238">
        <v>2561.3463586981802</v>
      </c>
      <c r="O238">
        <v>452.032485804327</v>
      </c>
      <c r="P238">
        <v>999.98098831211598</v>
      </c>
      <c r="Q238">
        <v>7875.9324857641104</v>
      </c>
      <c r="R238">
        <v>501.78269546760401</v>
      </c>
      <c r="S238">
        <v>306.92887623222299</v>
      </c>
      <c r="T238">
        <v>271.21862568678102</v>
      </c>
      <c r="U238">
        <v>228.35335929824001</v>
      </c>
      <c r="V238">
        <v>259.16743640938199</v>
      </c>
      <c r="W238">
        <v>156.05925974317299</v>
      </c>
      <c r="X238">
        <v>178.17582079290599</v>
      </c>
      <c r="Y238">
        <v>934.12952510647199</v>
      </c>
      <c r="Z238">
        <v>179.931629592511</v>
      </c>
      <c r="AA238">
        <v>716.43603075797296</v>
      </c>
      <c r="AB238">
        <v>901.59407458226997</v>
      </c>
      <c r="AC238">
        <v>932.157190005041</v>
      </c>
      <c r="AD238">
        <v>457.54919963919701</v>
      </c>
      <c r="AE238">
        <v>816.14657597855398</v>
      </c>
      <c r="AF238">
        <v>895.70321790568903</v>
      </c>
      <c r="AG238">
        <v>753.62067285016201</v>
      </c>
    </row>
    <row r="239" spans="1:33" x14ac:dyDescent="0.25">
      <c r="A239" s="1">
        <v>44290</v>
      </c>
      <c r="B239">
        <v>6999.2842858458698</v>
      </c>
      <c r="C239">
        <v>8046.5937856839</v>
      </c>
      <c r="D239">
        <v>5702.2520120591998</v>
      </c>
      <c r="E239">
        <v>7469.3013065601199</v>
      </c>
      <c r="F239">
        <v>11762.828227378501</v>
      </c>
      <c r="G239">
        <v>10269.9262290892</v>
      </c>
      <c r="H239">
        <v>23214.120301818599</v>
      </c>
      <c r="I239">
        <v>13602.266897990399</v>
      </c>
      <c r="J239">
        <v>853.53356469462096</v>
      </c>
      <c r="K239">
        <v>839.488832350091</v>
      </c>
      <c r="L239">
        <v>505.58788138516599</v>
      </c>
      <c r="M239">
        <v>9044.1404130873107</v>
      </c>
      <c r="N239">
        <v>2282.1687918838702</v>
      </c>
      <c r="O239">
        <v>428.13732303290197</v>
      </c>
      <c r="P239">
        <v>966.240957573174</v>
      </c>
      <c r="Q239">
        <v>7278.9789773275797</v>
      </c>
      <c r="R239">
        <v>487.11600933421801</v>
      </c>
      <c r="S239">
        <v>303.60678180666298</v>
      </c>
      <c r="T239">
        <v>246.26103283625901</v>
      </c>
      <c r="U239">
        <v>227.74761226344799</v>
      </c>
      <c r="V239">
        <v>218.57203897362999</v>
      </c>
      <c r="W239">
        <v>156.39992785675599</v>
      </c>
      <c r="X239">
        <v>161.04383899124699</v>
      </c>
      <c r="Y239">
        <v>942.78339285938898</v>
      </c>
      <c r="Z239">
        <v>177.361881019397</v>
      </c>
      <c r="AA239">
        <v>716.13648588613296</v>
      </c>
      <c r="AB239">
        <v>915.56653847169002</v>
      </c>
      <c r="AC239">
        <v>899.37983272514703</v>
      </c>
      <c r="AD239">
        <v>461.21751448632602</v>
      </c>
      <c r="AE239">
        <v>829.561824792587</v>
      </c>
      <c r="AF239">
        <v>910.29953902990701</v>
      </c>
      <c r="AG239">
        <v>755.88504801643398</v>
      </c>
    </row>
    <row r="240" spans="1:33" x14ac:dyDescent="0.25">
      <c r="A240" s="1">
        <v>44291</v>
      </c>
      <c r="B240">
        <v>7029.1572561952798</v>
      </c>
      <c r="C240">
        <v>7491.9645212053201</v>
      </c>
      <c r="D240">
        <v>6137.6850281383904</v>
      </c>
      <c r="E240">
        <v>7502.98250416269</v>
      </c>
      <c r="F240">
        <v>11469.813392271</v>
      </c>
      <c r="G240">
        <v>10278.001748524601</v>
      </c>
      <c r="H240">
        <v>23310.320828759199</v>
      </c>
      <c r="I240">
        <v>13826.035114947001</v>
      </c>
      <c r="J240">
        <v>854.57216737716101</v>
      </c>
      <c r="K240">
        <v>846.58551762190496</v>
      </c>
      <c r="L240">
        <v>499.90323248416399</v>
      </c>
      <c r="M240">
        <v>9123.22997786007</v>
      </c>
      <c r="N240">
        <v>2356.7252383395298</v>
      </c>
      <c r="O240">
        <v>432.82128240233499</v>
      </c>
      <c r="P240">
        <v>988.80408409733195</v>
      </c>
      <c r="Q240">
        <v>7258.5859107827</v>
      </c>
      <c r="R240">
        <v>487.48961295954399</v>
      </c>
      <c r="S240">
        <v>286.72029858514702</v>
      </c>
      <c r="T240">
        <v>247.76619195358501</v>
      </c>
      <c r="U240">
        <v>223.881586423431</v>
      </c>
      <c r="V240">
        <v>219.96896681865499</v>
      </c>
      <c r="W240">
        <v>156.22312406677599</v>
      </c>
      <c r="X240">
        <v>159.74548298262999</v>
      </c>
      <c r="Y240">
        <v>936.33970562865795</v>
      </c>
      <c r="Z240">
        <v>176.02054998369701</v>
      </c>
      <c r="AA240">
        <v>717.05654037224394</v>
      </c>
      <c r="AB240">
        <v>917.56518159135896</v>
      </c>
      <c r="AC240">
        <v>876.26303887841004</v>
      </c>
      <c r="AD240">
        <v>457.583260331487</v>
      </c>
      <c r="AE240">
        <v>823.58478050907502</v>
      </c>
      <c r="AF240">
        <v>922.75438135000695</v>
      </c>
      <c r="AG240">
        <v>756.267970855562</v>
      </c>
    </row>
    <row r="241" spans="1:33" x14ac:dyDescent="0.25">
      <c r="A241" s="1">
        <v>44292</v>
      </c>
      <c r="B241">
        <v>7074.3584175855603</v>
      </c>
      <c r="C241">
        <v>7292.9755097058996</v>
      </c>
      <c r="D241">
        <v>6560.5885603788001</v>
      </c>
      <c r="E241">
        <v>7552.2924539668502</v>
      </c>
      <c r="F241">
        <v>11268.890404514499</v>
      </c>
      <c r="G241">
        <v>10030.8891520789</v>
      </c>
      <c r="H241">
        <v>22555.327471962599</v>
      </c>
      <c r="I241">
        <v>13983.1845995397</v>
      </c>
      <c r="J241">
        <v>851.99252552011706</v>
      </c>
      <c r="K241">
        <v>822.57836891714896</v>
      </c>
      <c r="L241">
        <v>489.96268922107402</v>
      </c>
      <c r="M241">
        <v>8742.81634908673</v>
      </c>
      <c r="N241">
        <v>2090.5228582924301</v>
      </c>
      <c r="O241">
        <v>424.37659389222802</v>
      </c>
      <c r="P241">
        <v>957.11795652962599</v>
      </c>
      <c r="Q241">
        <v>6999.6465644979598</v>
      </c>
      <c r="R241">
        <v>474.44147768479303</v>
      </c>
      <c r="S241">
        <v>277.56432812312198</v>
      </c>
      <c r="T241">
        <v>230.80510610457799</v>
      </c>
      <c r="U241">
        <v>224.88468924239899</v>
      </c>
      <c r="V241">
        <v>204.35062788265299</v>
      </c>
      <c r="W241">
        <v>148.794269973273</v>
      </c>
      <c r="X241">
        <v>158.418567438461</v>
      </c>
      <c r="Y241">
        <v>922.94077506870099</v>
      </c>
      <c r="Z241">
        <v>174.199537775511</v>
      </c>
      <c r="AA241">
        <v>715.18181143322602</v>
      </c>
      <c r="AB241">
        <v>906.88747199471402</v>
      </c>
      <c r="AC241">
        <v>874.62247368705403</v>
      </c>
      <c r="AD241">
        <v>456.72098446450201</v>
      </c>
      <c r="AE241">
        <v>801.29609682498597</v>
      </c>
      <c r="AF241">
        <v>937.08735617756804</v>
      </c>
      <c r="AG241">
        <v>756.41331203949903</v>
      </c>
    </row>
    <row r="242" spans="1:33" x14ac:dyDescent="0.25">
      <c r="A242" s="1">
        <v>44293</v>
      </c>
      <c r="B242">
        <v>7160.4421477035003</v>
      </c>
      <c r="C242">
        <v>7083.8465319843299</v>
      </c>
      <c r="D242">
        <v>6860.0084266426902</v>
      </c>
      <c r="E242">
        <v>7643.04900581334</v>
      </c>
      <c r="F242">
        <v>11054.8113161611</v>
      </c>
      <c r="G242">
        <v>9851.1707915002698</v>
      </c>
      <c r="H242">
        <v>22640.3558590541</v>
      </c>
      <c r="I242">
        <v>14045.020614249899</v>
      </c>
      <c r="J242">
        <v>853.22814541433399</v>
      </c>
      <c r="K242">
        <v>817.44932850795601</v>
      </c>
      <c r="L242">
        <v>488.49346348920301</v>
      </c>
      <c r="M242">
        <v>8565.0762459302696</v>
      </c>
      <c r="N242">
        <v>2035.10357044019</v>
      </c>
      <c r="O242">
        <v>433.33708680127597</v>
      </c>
      <c r="P242">
        <v>927.36908187472898</v>
      </c>
      <c r="Q242">
        <v>6860.9420496060502</v>
      </c>
      <c r="R242">
        <v>482.14398174816102</v>
      </c>
      <c r="S242">
        <v>259.94305798005598</v>
      </c>
      <c r="T242">
        <v>226.244234780081</v>
      </c>
      <c r="U242">
        <v>220.86106703864701</v>
      </c>
      <c r="V242">
        <v>205.054253159144</v>
      </c>
      <c r="W242">
        <v>144.118481897001</v>
      </c>
      <c r="X242">
        <v>160.51584119259201</v>
      </c>
      <c r="Y242">
        <v>896.34173111259895</v>
      </c>
      <c r="Z242">
        <v>172.88638480393101</v>
      </c>
      <c r="AA242">
        <v>712.97357439627694</v>
      </c>
      <c r="AB242">
        <v>883.38494959566503</v>
      </c>
      <c r="AC242">
        <v>873.13076582219799</v>
      </c>
      <c r="AD242">
        <v>452.85380355711601</v>
      </c>
      <c r="AE242">
        <v>734.88599589987098</v>
      </c>
      <c r="AF242">
        <v>944.32382229771497</v>
      </c>
      <c r="AG242">
        <v>754.65294924593297</v>
      </c>
    </row>
    <row r="243" spans="1:33" x14ac:dyDescent="0.25">
      <c r="A243" s="1">
        <v>44294</v>
      </c>
      <c r="B243">
        <v>7311.5404215192902</v>
      </c>
      <c r="C243">
        <v>6688.3065984302402</v>
      </c>
      <c r="D243">
        <v>6956.1889779664198</v>
      </c>
      <c r="E243">
        <v>7744.5351511439503</v>
      </c>
      <c r="F243">
        <v>10537.7189456244</v>
      </c>
      <c r="G243">
        <v>8914.1100869174297</v>
      </c>
      <c r="H243">
        <v>21176.125920878501</v>
      </c>
      <c r="I243">
        <v>14063.508380633</v>
      </c>
      <c r="J243">
        <v>850.24380532333396</v>
      </c>
      <c r="K243">
        <v>781.37755177112797</v>
      </c>
      <c r="L243">
        <v>489.68032190079703</v>
      </c>
      <c r="M243">
        <v>7771.3966261844598</v>
      </c>
      <c r="N243">
        <v>1626.9293478073801</v>
      </c>
      <c r="O243">
        <v>417.05298480349597</v>
      </c>
      <c r="P243">
        <v>867.79532008744695</v>
      </c>
      <c r="Q243">
        <v>6044.5363507026796</v>
      </c>
      <c r="R243">
        <v>466.56457554997201</v>
      </c>
      <c r="S243">
        <v>259.31007316842499</v>
      </c>
      <c r="T243">
        <v>209.28346409794401</v>
      </c>
      <c r="U243">
        <v>221.09283267292801</v>
      </c>
      <c r="V243">
        <v>181.02849459874</v>
      </c>
      <c r="W243">
        <v>141.204885816656</v>
      </c>
      <c r="X243">
        <v>152.55971232140499</v>
      </c>
      <c r="Y243">
        <v>880.08649942735894</v>
      </c>
      <c r="Z243">
        <v>171.114715795564</v>
      </c>
      <c r="AA243">
        <v>709.55271794339797</v>
      </c>
      <c r="AB243">
        <v>868.38660402237497</v>
      </c>
      <c r="AC243">
        <v>863.54075689533602</v>
      </c>
      <c r="AD243">
        <v>455.774572449647</v>
      </c>
      <c r="AE243">
        <v>703.37976004198504</v>
      </c>
      <c r="AF243">
        <v>952.34890863309295</v>
      </c>
      <c r="AG243">
        <v>754.50607861157505</v>
      </c>
    </row>
    <row r="244" spans="1:33" x14ac:dyDescent="0.25">
      <c r="A244" s="1">
        <v>44295</v>
      </c>
      <c r="B244">
        <v>7462.8229402523302</v>
      </c>
      <c r="C244">
        <v>6039.44159568133</v>
      </c>
      <c r="D244">
        <v>6974.6889577158499</v>
      </c>
      <c r="E244">
        <v>7881.3278618629602</v>
      </c>
      <c r="F244">
        <v>10022.534234089901</v>
      </c>
      <c r="G244">
        <v>9102.7409717236005</v>
      </c>
      <c r="H244">
        <v>21576.8363907772</v>
      </c>
      <c r="I244">
        <v>13789.6936523646</v>
      </c>
      <c r="J244">
        <v>849.28730251774596</v>
      </c>
      <c r="K244">
        <v>778.35254702285101</v>
      </c>
      <c r="L244">
        <v>477.03468056747101</v>
      </c>
      <c r="M244">
        <v>7813.7499053619804</v>
      </c>
      <c r="N244">
        <v>1571.8349097523001</v>
      </c>
      <c r="O244">
        <v>422.71599048226301</v>
      </c>
      <c r="P244">
        <v>858.42664822184804</v>
      </c>
      <c r="Q244">
        <v>6068.9113230796302</v>
      </c>
      <c r="R244">
        <v>467.70439784931898</v>
      </c>
      <c r="S244">
        <v>269.96120379548199</v>
      </c>
      <c r="T244">
        <v>202.92783098979501</v>
      </c>
      <c r="U244">
        <v>220.00691287808499</v>
      </c>
      <c r="V244">
        <v>183.600307330134</v>
      </c>
      <c r="W244">
        <v>139.67704757520301</v>
      </c>
      <c r="X244">
        <v>149.50403197468199</v>
      </c>
      <c r="Y244">
        <v>861.18753540227999</v>
      </c>
      <c r="Z244">
        <v>170.57721156089599</v>
      </c>
      <c r="AA244">
        <v>708.087222998686</v>
      </c>
      <c r="AB244">
        <v>850.23645712227506</v>
      </c>
      <c r="AC244">
        <v>858.10240781641596</v>
      </c>
      <c r="AD244">
        <v>447.30754590586503</v>
      </c>
      <c r="AE244">
        <v>643.11707449954304</v>
      </c>
      <c r="AF244">
        <v>952.66377723303503</v>
      </c>
      <c r="AG244">
        <v>749.64337283398595</v>
      </c>
    </row>
    <row r="245" spans="1:33" x14ac:dyDescent="0.25">
      <c r="A245" s="1">
        <v>44296</v>
      </c>
      <c r="B245">
        <v>7640.45218241984</v>
      </c>
      <c r="C245">
        <v>5930.0068859369403</v>
      </c>
      <c r="D245">
        <v>6871.8289213513399</v>
      </c>
      <c r="E245">
        <v>8001.2171450697897</v>
      </c>
      <c r="F245">
        <v>10005.6177201839</v>
      </c>
      <c r="G245">
        <v>8906.3868320122201</v>
      </c>
      <c r="H245">
        <v>21042.0752734663</v>
      </c>
      <c r="I245">
        <v>13642.392384201899</v>
      </c>
      <c r="J245">
        <v>844.789765145351</v>
      </c>
      <c r="K245">
        <v>771.48686254484596</v>
      </c>
      <c r="L245">
        <v>479.10255529536101</v>
      </c>
      <c r="M245">
        <v>7600.7886062567804</v>
      </c>
      <c r="N245">
        <v>1505.0491781492899</v>
      </c>
      <c r="O245">
        <v>417.890789920087</v>
      </c>
      <c r="P245">
        <v>853.285994357817</v>
      </c>
      <c r="Q245">
        <v>5803.1532331745402</v>
      </c>
      <c r="R245">
        <v>463.82185413065599</v>
      </c>
      <c r="S245">
        <v>265.51454803320399</v>
      </c>
      <c r="T245">
        <v>195.75784278786699</v>
      </c>
      <c r="U245">
        <v>217.463507213969</v>
      </c>
      <c r="V245">
        <v>173.75891177233001</v>
      </c>
      <c r="W245">
        <v>133.33858762196101</v>
      </c>
      <c r="X245">
        <v>145.85816109273301</v>
      </c>
      <c r="Y245">
        <v>854.03088564730797</v>
      </c>
      <c r="Z245">
        <v>169.99448943907899</v>
      </c>
      <c r="AA245">
        <v>702.848080545107</v>
      </c>
      <c r="AB245">
        <v>839.16612949660396</v>
      </c>
      <c r="AC245">
        <v>849.62088057765004</v>
      </c>
      <c r="AD245">
        <v>443.31634570636299</v>
      </c>
      <c r="AE245">
        <v>643.75118932801195</v>
      </c>
      <c r="AF245">
        <v>951.29758427132106</v>
      </c>
      <c r="AG245">
        <v>745.58826922279104</v>
      </c>
    </row>
    <row r="246" spans="1:33" x14ac:dyDescent="0.25">
      <c r="A246" s="1">
        <v>44297</v>
      </c>
      <c r="B246">
        <v>7823.1290011194496</v>
      </c>
      <c r="C246">
        <v>5789.5698068675101</v>
      </c>
      <c r="D246">
        <v>6713.2552320205896</v>
      </c>
      <c r="E246">
        <v>8162.5372292150496</v>
      </c>
      <c r="F246">
        <v>10104.9282836567</v>
      </c>
      <c r="G246">
        <v>9538.9725812042107</v>
      </c>
      <c r="H246">
        <v>21833.245583320899</v>
      </c>
      <c r="I246">
        <v>13473.2304483237</v>
      </c>
      <c r="J246">
        <v>845.41038531398999</v>
      </c>
      <c r="K246">
        <v>785.407317299125</v>
      </c>
      <c r="L246">
        <v>469.11458188058799</v>
      </c>
      <c r="M246">
        <v>8058.1534786121101</v>
      </c>
      <c r="N246">
        <v>1604.2691383450299</v>
      </c>
      <c r="O246">
        <v>427.02005353882203</v>
      </c>
      <c r="P246">
        <v>877.64441103221998</v>
      </c>
      <c r="Q246">
        <v>6238.83941891616</v>
      </c>
      <c r="R246">
        <v>469.70628020723802</v>
      </c>
      <c r="S246">
        <v>268.79312223013301</v>
      </c>
      <c r="T246">
        <v>193.26229952933099</v>
      </c>
      <c r="U246">
        <v>217.585549043763</v>
      </c>
      <c r="V246">
        <v>179.92114978247301</v>
      </c>
      <c r="W246">
        <v>137.04882306211601</v>
      </c>
      <c r="X246">
        <v>146.54588622663101</v>
      </c>
      <c r="Y246">
        <v>848.24822094093304</v>
      </c>
      <c r="Z246">
        <v>170.08169259144</v>
      </c>
      <c r="AA246">
        <v>699.79679444102101</v>
      </c>
      <c r="AB246">
        <v>833.74755856323998</v>
      </c>
      <c r="AC246">
        <v>836.04392979628699</v>
      </c>
      <c r="AD246">
        <v>435.86807846955099</v>
      </c>
      <c r="AE246">
        <v>676.36775610444602</v>
      </c>
      <c r="AF246">
        <v>947.73254050287096</v>
      </c>
      <c r="AG246">
        <v>741.29521244378805</v>
      </c>
    </row>
    <row r="247" spans="1:33" x14ac:dyDescent="0.25">
      <c r="A247" s="1">
        <v>44298</v>
      </c>
      <c r="B247">
        <v>7985.5088504668001</v>
      </c>
      <c r="C247">
        <v>6162.4220881045403</v>
      </c>
      <c r="D247">
        <v>6550.9543906540002</v>
      </c>
      <c r="E247">
        <v>8339.0177103012702</v>
      </c>
      <c r="F247">
        <v>10798.8606209627</v>
      </c>
      <c r="G247">
        <v>10535.4630919266</v>
      </c>
      <c r="H247">
        <v>23121.568874810098</v>
      </c>
      <c r="I247">
        <v>13479.342972337099</v>
      </c>
      <c r="J247">
        <v>848.59465035336996</v>
      </c>
      <c r="K247">
        <v>827.06326027752402</v>
      </c>
      <c r="L247">
        <v>469.43544638976698</v>
      </c>
      <c r="M247">
        <v>8909.5329272744402</v>
      </c>
      <c r="N247">
        <v>1898.7308411230599</v>
      </c>
      <c r="O247">
        <v>442.62400907982402</v>
      </c>
      <c r="P247">
        <v>935.71662295930503</v>
      </c>
      <c r="Q247">
        <v>7053.3719997097196</v>
      </c>
      <c r="R247">
        <v>484.17746681832</v>
      </c>
      <c r="S247">
        <v>258.45325172941801</v>
      </c>
      <c r="T247">
        <v>200.46083368010201</v>
      </c>
      <c r="U247">
        <v>215.474255980599</v>
      </c>
      <c r="V247">
        <v>186.49837770794099</v>
      </c>
      <c r="W247">
        <v>138.11374973205099</v>
      </c>
      <c r="X247">
        <v>143.88215206637</v>
      </c>
      <c r="Y247">
        <v>837.34357295455902</v>
      </c>
      <c r="Z247">
        <v>169.712479345275</v>
      </c>
      <c r="AA247">
        <v>695.26420395204002</v>
      </c>
      <c r="AB247">
        <v>822.81803864108304</v>
      </c>
      <c r="AC247">
        <v>821.962867647145</v>
      </c>
      <c r="AD247">
        <v>432.67838579597498</v>
      </c>
      <c r="AE247">
        <v>587.10433326660996</v>
      </c>
      <c r="AF247">
        <v>944.05920309156204</v>
      </c>
      <c r="AG247">
        <v>734.59661079231</v>
      </c>
    </row>
    <row r="248" spans="1:33" x14ac:dyDescent="0.25">
      <c r="A248" s="1">
        <v>44299</v>
      </c>
      <c r="B248">
        <v>8100.3583350478802</v>
      </c>
      <c r="C248">
        <v>6907.2545307548298</v>
      </c>
      <c r="D248">
        <v>6359.6309804735001</v>
      </c>
      <c r="E248">
        <v>8427.5771920697098</v>
      </c>
      <c r="F248">
        <v>11418.8432117067</v>
      </c>
      <c r="G248">
        <v>10958.4209059859</v>
      </c>
      <c r="H248">
        <v>23559.196683111299</v>
      </c>
      <c r="I248">
        <v>13692.0587041901</v>
      </c>
      <c r="J248">
        <v>853.88930826655201</v>
      </c>
      <c r="K248">
        <v>859.963031199993</v>
      </c>
      <c r="L248">
        <v>478.33170453795901</v>
      </c>
      <c r="M248">
        <v>9472.4242498465192</v>
      </c>
      <c r="N248">
        <v>2188.7749592892301</v>
      </c>
      <c r="O248">
        <v>447.95096089797499</v>
      </c>
      <c r="P248">
        <v>986.42340644004605</v>
      </c>
      <c r="Q248">
        <v>7579.3836910653799</v>
      </c>
      <c r="R248">
        <v>497.14253948238297</v>
      </c>
      <c r="S248">
        <v>249.87873665344401</v>
      </c>
      <c r="T248">
        <v>212.35215704158</v>
      </c>
      <c r="U248">
        <v>211.98190755188801</v>
      </c>
      <c r="V248">
        <v>196.627852578339</v>
      </c>
      <c r="W248">
        <v>135.88715467755901</v>
      </c>
      <c r="X248">
        <v>146.06119067723</v>
      </c>
      <c r="Y248">
        <v>829.51403628912203</v>
      </c>
      <c r="Z248">
        <v>168.221975393132</v>
      </c>
      <c r="AA248">
        <v>688.75158767548396</v>
      </c>
      <c r="AB248">
        <v>814.26736976247605</v>
      </c>
      <c r="AC248">
        <v>804.40670838325798</v>
      </c>
      <c r="AD248">
        <v>435.31076072115002</v>
      </c>
      <c r="AE248">
        <v>432.58261283532801</v>
      </c>
      <c r="AF248">
        <v>939.70906479599603</v>
      </c>
      <c r="AG248">
        <v>729.19860458790595</v>
      </c>
    </row>
    <row r="249" spans="1:33" x14ac:dyDescent="0.25">
      <c r="A249" s="1">
        <v>44300</v>
      </c>
      <c r="B249">
        <v>8147.7018974235598</v>
      </c>
      <c r="C249">
        <v>7429.0386558176497</v>
      </c>
      <c r="D249">
        <v>6278.7046900509804</v>
      </c>
      <c r="E249">
        <v>8417.629439028</v>
      </c>
      <c r="F249">
        <v>11807.4044030111</v>
      </c>
      <c r="G249">
        <v>10708.6897771323</v>
      </c>
      <c r="H249">
        <v>23057.778982055399</v>
      </c>
      <c r="I249">
        <v>13952.0300225353</v>
      </c>
      <c r="J249">
        <v>859.78427405889795</v>
      </c>
      <c r="K249">
        <v>878.38475818113295</v>
      </c>
      <c r="L249">
        <v>480.94392720551002</v>
      </c>
      <c r="M249">
        <v>9418.1568898763198</v>
      </c>
      <c r="N249">
        <v>2200.8277273295898</v>
      </c>
      <c r="O249">
        <v>432.24481678619702</v>
      </c>
      <c r="P249">
        <v>1013.20220540601</v>
      </c>
      <c r="Q249">
        <v>7476.7962894631701</v>
      </c>
      <c r="R249">
        <v>493.46839794310802</v>
      </c>
      <c r="S249">
        <v>251.353838430639</v>
      </c>
      <c r="T249">
        <v>206.76758859463101</v>
      </c>
      <c r="U249">
        <v>210.34046548948001</v>
      </c>
      <c r="V249">
        <v>191.605095189922</v>
      </c>
      <c r="W249">
        <v>138.50703561445201</v>
      </c>
      <c r="X249">
        <v>145.78045105438801</v>
      </c>
      <c r="Y249">
        <v>818.40087830291895</v>
      </c>
      <c r="Z249">
        <v>166.33928393421201</v>
      </c>
      <c r="AA249">
        <v>682.49691807510101</v>
      </c>
      <c r="AB249">
        <v>805.736814786183</v>
      </c>
      <c r="AC249">
        <v>786.92775771150002</v>
      </c>
      <c r="AD249">
        <v>435.17778901519199</v>
      </c>
      <c r="AE249">
        <v>364.60706639507401</v>
      </c>
      <c r="AF249">
        <v>933.44466748478203</v>
      </c>
      <c r="AG249">
        <v>725.71979086965302</v>
      </c>
    </row>
    <row r="250" spans="1:33" x14ac:dyDescent="0.25">
      <c r="A250" s="1">
        <v>44301</v>
      </c>
      <c r="B250">
        <v>8129.4269641114697</v>
      </c>
      <c r="C250">
        <v>7333.5219225033297</v>
      </c>
      <c r="D250">
        <v>6364.4749725523197</v>
      </c>
      <c r="E250">
        <v>8342.46674757254</v>
      </c>
      <c r="F250">
        <v>11794.2439446148</v>
      </c>
      <c r="G250">
        <v>10823.2053113405</v>
      </c>
      <c r="H250">
        <v>22984.820129823202</v>
      </c>
      <c r="I250">
        <v>14207.5844685023</v>
      </c>
      <c r="J250">
        <v>865.04456182139597</v>
      </c>
      <c r="K250">
        <v>885.68446821407701</v>
      </c>
      <c r="L250">
        <v>481.37537874737802</v>
      </c>
      <c r="M250">
        <v>9410.4059455459992</v>
      </c>
      <c r="N250">
        <v>2172.0138181345801</v>
      </c>
      <c r="O250">
        <v>428.74691631186801</v>
      </c>
      <c r="P250">
        <v>1019.23239636567</v>
      </c>
      <c r="Q250">
        <v>7559.6882897423802</v>
      </c>
      <c r="R250">
        <v>492.46023049737801</v>
      </c>
      <c r="S250">
        <v>251.968403707043</v>
      </c>
      <c r="T250">
        <v>204.146399666024</v>
      </c>
      <c r="U250">
        <v>209.87587855184401</v>
      </c>
      <c r="V250">
        <v>187.899851965751</v>
      </c>
      <c r="W250">
        <v>139.46862099214101</v>
      </c>
      <c r="X250">
        <v>142.67067999363499</v>
      </c>
      <c r="Y250">
        <v>806.52462558109596</v>
      </c>
      <c r="Z250">
        <v>164.752737759491</v>
      </c>
      <c r="AA250">
        <v>678.82362103805303</v>
      </c>
      <c r="AB250">
        <v>798.13345184256298</v>
      </c>
      <c r="AC250">
        <v>735.33909096627804</v>
      </c>
      <c r="AD250">
        <v>434.42173947717799</v>
      </c>
      <c r="AE250">
        <v>280.57856539436398</v>
      </c>
      <c r="AF250">
        <v>926.7963987613</v>
      </c>
      <c r="AG250">
        <v>722.60714885025698</v>
      </c>
    </row>
    <row r="251" spans="1:33" x14ac:dyDescent="0.25">
      <c r="A251" s="1">
        <v>44302</v>
      </c>
      <c r="B251">
        <v>8079.8838709506999</v>
      </c>
      <c r="C251">
        <v>7446.7461293330598</v>
      </c>
      <c r="D251">
        <v>6564.6167379355102</v>
      </c>
      <c r="E251">
        <v>8314.3791782410208</v>
      </c>
      <c r="F251">
        <v>11831.4412216496</v>
      </c>
      <c r="G251">
        <v>10880.985434882899</v>
      </c>
      <c r="H251">
        <v>23490.509355739901</v>
      </c>
      <c r="I251">
        <v>14190.324961144201</v>
      </c>
      <c r="J251">
        <v>875.40329817144402</v>
      </c>
      <c r="K251">
        <v>902.75723158569394</v>
      </c>
      <c r="L251">
        <v>484.13416687164403</v>
      </c>
      <c r="M251">
        <v>9495.3670076629605</v>
      </c>
      <c r="N251">
        <v>2230.6034438288898</v>
      </c>
      <c r="O251">
        <v>441.12547536596099</v>
      </c>
      <c r="P251">
        <v>1028.7258530444301</v>
      </c>
      <c r="Q251">
        <v>7745.8204042265497</v>
      </c>
      <c r="R251">
        <v>511.34717972317202</v>
      </c>
      <c r="S251">
        <v>250.22835418853001</v>
      </c>
      <c r="T251">
        <v>210.16477621405801</v>
      </c>
      <c r="U251">
        <v>207.619002542766</v>
      </c>
      <c r="V251">
        <v>193.99444814472699</v>
      </c>
      <c r="W251">
        <v>133.20126467752499</v>
      </c>
      <c r="X251">
        <v>143.323345678431</v>
      </c>
      <c r="Y251">
        <v>797.09961054417101</v>
      </c>
      <c r="Z251">
        <v>163.61587152468101</v>
      </c>
      <c r="AA251">
        <v>677.64602428718797</v>
      </c>
      <c r="AB251">
        <v>790.92989457047702</v>
      </c>
      <c r="AC251">
        <v>706.43710935917295</v>
      </c>
      <c r="AD251">
        <v>437.034419112504</v>
      </c>
      <c r="AE251">
        <v>191.22219311490801</v>
      </c>
      <c r="AF251">
        <v>919.91828907955301</v>
      </c>
      <c r="AG251">
        <v>718.444112800423</v>
      </c>
    </row>
    <row r="252" spans="1:33" x14ac:dyDescent="0.25">
      <c r="A252" s="1">
        <v>44303</v>
      </c>
      <c r="B252">
        <v>8029.6759022532196</v>
      </c>
      <c r="C252">
        <v>7867.3640533673097</v>
      </c>
      <c r="D252">
        <v>6758.3342098452504</v>
      </c>
      <c r="E252">
        <v>8341.0766103459591</v>
      </c>
      <c r="F252">
        <v>11753.5128235231</v>
      </c>
      <c r="G252">
        <v>10353.810201042599</v>
      </c>
      <c r="H252">
        <v>22706.466499511698</v>
      </c>
      <c r="I252">
        <v>14320.751136257501</v>
      </c>
      <c r="J252">
        <v>873.61709389502005</v>
      </c>
      <c r="K252">
        <v>893.39884331106805</v>
      </c>
      <c r="L252">
        <v>485.089611213463</v>
      </c>
      <c r="M252">
        <v>9161.5658995488102</v>
      </c>
      <c r="N252">
        <v>2294.6061846991101</v>
      </c>
      <c r="O252">
        <v>425.63483225226702</v>
      </c>
      <c r="P252">
        <v>1035.2864357165699</v>
      </c>
      <c r="Q252">
        <v>7346.1795104083803</v>
      </c>
      <c r="R252">
        <v>499.538054797413</v>
      </c>
      <c r="S252">
        <v>251.49916174844299</v>
      </c>
      <c r="T252">
        <v>210.51102687407601</v>
      </c>
      <c r="U252">
        <v>206.00632875218199</v>
      </c>
      <c r="V252">
        <v>186.85975851688701</v>
      </c>
      <c r="W252">
        <v>127.40724794123101</v>
      </c>
      <c r="X252">
        <v>141.02224716366001</v>
      </c>
      <c r="Y252">
        <v>773.93399657058796</v>
      </c>
      <c r="Z252">
        <v>162.11717980943999</v>
      </c>
      <c r="AA252">
        <v>676.78980126530405</v>
      </c>
      <c r="AB252">
        <v>778.56341170098199</v>
      </c>
      <c r="AC252">
        <v>692.14122320088995</v>
      </c>
      <c r="AD252">
        <v>437.17892982625301</v>
      </c>
      <c r="AE252">
        <v>108.968111490225</v>
      </c>
      <c r="AF252">
        <v>905.47513594657698</v>
      </c>
      <c r="AG252">
        <v>716.53855856974701</v>
      </c>
    </row>
    <row r="253" spans="1:33" x14ac:dyDescent="0.25">
      <c r="A253" s="1">
        <v>44304</v>
      </c>
      <c r="B253">
        <v>7998.4415557719904</v>
      </c>
      <c r="C253">
        <v>7458.9892762139298</v>
      </c>
      <c r="D253">
        <v>6935.6288128102597</v>
      </c>
      <c r="E253">
        <v>8127.9374427625198</v>
      </c>
      <c r="F253">
        <v>11091.443997769</v>
      </c>
      <c r="G253">
        <v>9484.0114242241107</v>
      </c>
      <c r="H253">
        <v>21850.169276570199</v>
      </c>
      <c r="I253">
        <v>14448.454604058899</v>
      </c>
      <c r="J253">
        <v>866.83151345448402</v>
      </c>
      <c r="K253">
        <v>841.79418828278904</v>
      </c>
      <c r="L253">
        <v>478.73040952489401</v>
      </c>
      <c r="M253">
        <v>8313.9186912459299</v>
      </c>
      <c r="N253">
        <v>1795.1912513510799</v>
      </c>
      <c r="O253">
        <v>395.91329298483998</v>
      </c>
      <c r="P253">
        <v>945.19142284337897</v>
      </c>
      <c r="Q253">
        <v>6484.1411908264199</v>
      </c>
      <c r="R253">
        <v>474.87317259566498</v>
      </c>
      <c r="S253">
        <v>265.602415054792</v>
      </c>
      <c r="T253">
        <v>187.41181506308601</v>
      </c>
      <c r="U253">
        <v>205.994150132909</v>
      </c>
      <c r="V253">
        <v>157.24142764515</v>
      </c>
      <c r="W253">
        <v>126.960623869681</v>
      </c>
      <c r="X253">
        <v>136.72350361394399</v>
      </c>
      <c r="Y253">
        <v>746.52406533350802</v>
      </c>
      <c r="Z253">
        <v>161.333239299529</v>
      </c>
      <c r="AA253">
        <v>674.32909870917695</v>
      </c>
      <c r="AB253">
        <v>760.64893844359301</v>
      </c>
      <c r="AC253">
        <v>688.47934656991504</v>
      </c>
      <c r="AD253">
        <v>432.73645509708803</v>
      </c>
      <c r="AE253">
        <v>252.78704155481401</v>
      </c>
      <c r="AF253">
        <v>875.46133017925297</v>
      </c>
      <c r="AG253">
        <v>718.032981803128</v>
      </c>
    </row>
    <row r="254" spans="1:33" x14ac:dyDescent="0.25">
      <c r="A254" s="1">
        <v>44305</v>
      </c>
      <c r="B254">
        <v>7948.1749790221902</v>
      </c>
      <c r="C254">
        <v>6462.0782533464399</v>
      </c>
      <c r="D254">
        <v>7082.08234410158</v>
      </c>
      <c r="E254">
        <v>8168.3299598107396</v>
      </c>
      <c r="F254">
        <v>10760.4707307645</v>
      </c>
      <c r="G254">
        <v>9966.2487647799808</v>
      </c>
      <c r="H254">
        <v>22852.4615215493</v>
      </c>
      <c r="I254">
        <v>14365.990379024901</v>
      </c>
      <c r="J254">
        <v>863.07943961868602</v>
      </c>
      <c r="K254">
        <v>854.55347294453202</v>
      </c>
      <c r="L254">
        <v>468.91429530885301</v>
      </c>
      <c r="M254">
        <v>8746.5294686118905</v>
      </c>
      <c r="N254">
        <v>2054.83507571789</v>
      </c>
      <c r="O254">
        <v>409.40062107620702</v>
      </c>
      <c r="P254">
        <v>967.71714042618396</v>
      </c>
      <c r="Q254">
        <v>6856.7631829912498</v>
      </c>
      <c r="R254">
        <v>484.81957991622301</v>
      </c>
      <c r="S254">
        <v>270.1098893825</v>
      </c>
      <c r="T254">
        <v>200.115831872298</v>
      </c>
      <c r="U254">
        <v>203.46382873995</v>
      </c>
      <c r="V254">
        <v>183.07397280118599</v>
      </c>
      <c r="W254">
        <v>127.155374391191</v>
      </c>
      <c r="X254">
        <v>138.35671038669</v>
      </c>
      <c r="Y254">
        <v>735.61767556284997</v>
      </c>
      <c r="Z254">
        <v>162.42348090425099</v>
      </c>
      <c r="AA254">
        <v>676.22671922930499</v>
      </c>
      <c r="AB254">
        <v>748.30758979768996</v>
      </c>
      <c r="AC254">
        <v>684.52598671927797</v>
      </c>
      <c r="AD254">
        <v>430.466026884082</v>
      </c>
      <c r="AE254">
        <v>256.42871403740997</v>
      </c>
      <c r="AF254">
        <v>848.82437848186805</v>
      </c>
      <c r="AG254">
        <v>714.27984888754895</v>
      </c>
    </row>
    <row r="255" spans="1:33" x14ac:dyDescent="0.25">
      <c r="A255" s="1">
        <v>44306</v>
      </c>
      <c r="B255">
        <v>7944.9446899262603</v>
      </c>
      <c r="C255">
        <v>6866.2078206796396</v>
      </c>
      <c r="D255">
        <v>7149.9509397682596</v>
      </c>
      <c r="E255">
        <v>8248.8663020792901</v>
      </c>
      <c r="F255">
        <v>10612.3715196618</v>
      </c>
      <c r="G255">
        <v>9905.5964199979608</v>
      </c>
      <c r="H255">
        <v>23545.412606478501</v>
      </c>
      <c r="I255">
        <v>14342.203075097499</v>
      </c>
      <c r="J255">
        <v>857.41154256885602</v>
      </c>
      <c r="K255">
        <v>835.17812702122296</v>
      </c>
      <c r="L255">
        <v>468.15524342900699</v>
      </c>
      <c r="M255">
        <v>8931.8037370146194</v>
      </c>
      <c r="N255">
        <v>2222.6370553124202</v>
      </c>
      <c r="O255">
        <v>416.47346619864101</v>
      </c>
      <c r="P255">
        <v>948.36495888071795</v>
      </c>
      <c r="Q255">
        <v>7011.2897193482504</v>
      </c>
      <c r="R255">
        <v>492.03794719807098</v>
      </c>
      <c r="S255">
        <v>249.02237763730099</v>
      </c>
      <c r="T255">
        <v>205.241465899909</v>
      </c>
      <c r="U255">
        <v>202.025859765668</v>
      </c>
      <c r="V255">
        <v>189.072193623987</v>
      </c>
      <c r="W255">
        <v>126.31643404526601</v>
      </c>
      <c r="X255">
        <v>140.08707211532001</v>
      </c>
      <c r="Y255">
        <v>728.56411850148504</v>
      </c>
      <c r="Z255">
        <v>162.48094402896501</v>
      </c>
      <c r="AA255">
        <v>672.81982833631002</v>
      </c>
      <c r="AB255">
        <v>743.57891855619096</v>
      </c>
      <c r="AC255">
        <v>693.37350054083799</v>
      </c>
      <c r="AD255">
        <v>427.97550661160199</v>
      </c>
      <c r="AE255">
        <v>183.086097299318</v>
      </c>
      <c r="AF255">
        <v>810.80884174047401</v>
      </c>
      <c r="AG255">
        <v>712.60186220094704</v>
      </c>
    </row>
    <row r="256" spans="1:33" x14ac:dyDescent="0.25">
      <c r="A256" s="1">
        <v>44307</v>
      </c>
      <c r="B256">
        <v>8005.7684150233899</v>
      </c>
      <c r="C256">
        <v>7101.6071315314803</v>
      </c>
      <c r="D256">
        <v>7127.9434798807497</v>
      </c>
      <c r="E256">
        <v>8401.1924722824497</v>
      </c>
      <c r="F256">
        <v>10557.421917416499</v>
      </c>
      <c r="G256">
        <v>10254.6234171576</v>
      </c>
      <c r="H256">
        <v>23660.483852437701</v>
      </c>
      <c r="I256">
        <v>14268.711994572001</v>
      </c>
      <c r="J256">
        <v>853.56499443459199</v>
      </c>
      <c r="K256">
        <v>836.41771935589099</v>
      </c>
      <c r="L256">
        <v>462.18127883255198</v>
      </c>
      <c r="M256">
        <v>9112.4023733500107</v>
      </c>
      <c r="N256">
        <v>2186.2799072317198</v>
      </c>
      <c r="O256">
        <v>419.83686493433203</v>
      </c>
      <c r="P256">
        <v>965.11521481700299</v>
      </c>
      <c r="Q256">
        <v>7138.3278003236601</v>
      </c>
      <c r="R256">
        <v>475.25035526264003</v>
      </c>
      <c r="S256">
        <v>237.115686245642</v>
      </c>
      <c r="T256">
        <v>203.31855241862101</v>
      </c>
      <c r="U256">
        <v>201.01720511737599</v>
      </c>
      <c r="V256">
        <v>183.18589644535601</v>
      </c>
      <c r="W256">
        <v>133.16218206788699</v>
      </c>
      <c r="X256">
        <v>135.189165063183</v>
      </c>
      <c r="Y256">
        <v>726.78564576782003</v>
      </c>
      <c r="Z256">
        <v>162.13478832825999</v>
      </c>
      <c r="AA256">
        <v>669.05911670210901</v>
      </c>
      <c r="AB256">
        <v>741.80628993849302</v>
      </c>
      <c r="AC256">
        <v>684.82422739784602</v>
      </c>
      <c r="AD256">
        <v>426.19495193556997</v>
      </c>
      <c r="AE256">
        <v>84.269021079238001</v>
      </c>
      <c r="AF256">
        <v>773.77335505831195</v>
      </c>
      <c r="AG256">
        <v>712.22151350810395</v>
      </c>
    </row>
    <row r="257" spans="1:33" x14ac:dyDescent="0.25">
      <c r="A257" s="1">
        <v>44308</v>
      </c>
      <c r="B257">
        <v>8104.09039352738</v>
      </c>
      <c r="C257">
        <v>7090.7199497964903</v>
      </c>
      <c r="D257">
        <v>7090.9794339356304</v>
      </c>
      <c r="E257">
        <v>8556.0093016139399</v>
      </c>
      <c r="F257">
        <v>11138.9579403851</v>
      </c>
      <c r="G257">
        <v>10932.7777854631</v>
      </c>
      <c r="H257">
        <v>24393.749325674598</v>
      </c>
      <c r="I257">
        <v>14185.8580606166</v>
      </c>
      <c r="J257">
        <v>849.80262058105995</v>
      </c>
      <c r="K257">
        <v>845.73225820513801</v>
      </c>
      <c r="L257">
        <v>462.17641836562598</v>
      </c>
      <c r="M257">
        <v>9354.2323583438101</v>
      </c>
      <c r="N257">
        <v>2279.1865412555098</v>
      </c>
      <c r="O257">
        <v>437.53852843411403</v>
      </c>
      <c r="P257">
        <v>968.50050658989596</v>
      </c>
      <c r="Q257">
        <v>7572.2892846690602</v>
      </c>
      <c r="R257">
        <v>482.94271781586002</v>
      </c>
      <c r="S257">
        <v>219.38917779876601</v>
      </c>
      <c r="T257">
        <v>211.57649134157299</v>
      </c>
      <c r="U257">
        <v>199.70348247090101</v>
      </c>
      <c r="V257">
        <v>202.01582951359299</v>
      </c>
      <c r="W257">
        <v>132.515233260146</v>
      </c>
      <c r="X257">
        <v>137.18014056724201</v>
      </c>
      <c r="Y257">
        <v>728.86237478641306</v>
      </c>
      <c r="Z257">
        <v>161.74075867567899</v>
      </c>
      <c r="AA257">
        <v>662.70838061363804</v>
      </c>
      <c r="AB257">
        <v>742.90279462307399</v>
      </c>
      <c r="AC257">
        <v>667.53851980481102</v>
      </c>
      <c r="AD257">
        <v>428.38080451636301</v>
      </c>
      <c r="AE257">
        <v>119.74836265524399</v>
      </c>
      <c r="AF257">
        <v>745.88852215633904</v>
      </c>
      <c r="AG257">
        <v>710.11699242844497</v>
      </c>
    </row>
    <row r="258" spans="1:33" x14ac:dyDescent="0.25">
      <c r="A258" s="1">
        <v>44309</v>
      </c>
      <c r="B258">
        <v>8228.1168732726601</v>
      </c>
      <c r="C258">
        <v>7520.3442186339098</v>
      </c>
      <c r="D258">
        <v>7047.5132211951604</v>
      </c>
      <c r="E258">
        <v>8617.3984893736506</v>
      </c>
      <c r="F258">
        <v>11287.0143888968</v>
      </c>
      <c r="G258">
        <v>10476.5215789629</v>
      </c>
      <c r="H258">
        <v>23231.084339805901</v>
      </c>
      <c r="I258">
        <v>14228.7073191452</v>
      </c>
      <c r="J258">
        <v>846.83070990093802</v>
      </c>
      <c r="K258">
        <v>832.722406969237</v>
      </c>
      <c r="L258">
        <v>467.06467820960398</v>
      </c>
      <c r="M258">
        <v>9177.1652457262608</v>
      </c>
      <c r="N258">
        <v>2210.8079163781899</v>
      </c>
      <c r="O258">
        <v>435.103175833156</v>
      </c>
      <c r="P258">
        <v>941.06107125443498</v>
      </c>
      <c r="Q258">
        <v>7340.79343758911</v>
      </c>
      <c r="R258">
        <v>482.18565076283897</v>
      </c>
      <c r="S258">
        <v>211.02068511114501</v>
      </c>
      <c r="T258">
        <v>205.81039747560899</v>
      </c>
      <c r="U258">
        <v>197.533631744719</v>
      </c>
      <c r="V258">
        <v>191.30079086306901</v>
      </c>
      <c r="W258">
        <v>128.938418707203</v>
      </c>
      <c r="X258">
        <v>134.83969228697799</v>
      </c>
      <c r="Y258">
        <v>732.13842700325904</v>
      </c>
      <c r="Z258">
        <v>159.72191936280501</v>
      </c>
      <c r="AA258">
        <v>657.32434634913704</v>
      </c>
      <c r="AB258">
        <v>744.902475471451</v>
      </c>
      <c r="AC258">
        <v>660.08757448342305</v>
      </c>
      <c r="AD258">
        <v>432.63831778821401</v>
      </c>
      <c r="AE258">
        <v>130.71227542411401</v>
      </c>
      <c r="AF258">
        <v>730.78514419657597</v>
      </c>
      <c r="AG258">
        <v>709.67065048178199</v>
      </c>
    </row>
    <row r="259" spans="1:33" x14ac:dyDescent="0.25">
      <c r="A259" s="1">
        <v>44310</v>
      </c>
      <c r="B259">
        <v>8320.6073707825999</v>
      </c>
      <c r="C259">
        <v>7149.9983700583898</v>
      </c>
      <c r="D259">
        <v>7111.1405550404397</v>
      </c>
      <c r="E259">
        <v>8723.2390981010194</v>
      </c>
      <c r="F259">
        <v>11362.3814723293</v>
      </c>
      <c r="G259">
        <v>10842.940959285201</v>
      </c>
      <c r="H259">
        <v>23944.028532079301</v>
      </c>
      <c r="I259">
        <v>14351.2567530003</v>
      </c>
      <c r="J259">
        <v>854.63882650149299</v>
      </c>
      <c r="K259">
        <v>857.16163477654402</v>
      </c>
      <c r="L259">
        <v>474.96644540022299</v>
      </c>
      <c r="M259">
        <v>9484.1297464746403</v>
      </c>
      <c r="N259">
        <v>2403.56175888397</v>
      </c>
      <c r="O259">
        <v>451.34267767988399</v>
      </c>
      <c r="P259">
        <v>967.23375917753197</v>
      </c>
      <c r="Q259">
        <v>7617.4787580851798</v>
      </c>
      <c r="R259">
        <v>493.03635299366601</v>
      </c>
      <c r="S259">
        <v>206.42400086890601</v>
      </c>
      <c r="T259">
        <v>221.40363859418301</v>
      </c>
      <c r="U259">
        <v>195.92071863308701</v>
      </c>
      <c r="V259">
        <v>227.753080785165</v>
      </c>
      <c r="W259">
        <v>128.32869748526701</v>
      </c>
      <c r="X259">
        <v>150.97754815985101</v>
      </c>
      <c r="Y259">
        <v>731.49427511131898</v>
      </c>
      <c r="Z259">
        <v>157.66274463750199</v>
      </c>
      <c r="AA259">
        <v>656.06086753490695</v>
      </c>
      <c r="AB259">
        <v>746.02396968368203</v>
      </c>
      <c r="AC259">
        <v>636.52897186924201</v>
      </c>
      <c r="AD259">
        <v>434.94695672846598</v>
      </c>
      <c r="AE259">
        <v>153.303951909234</v>
      </c>
      <c r="AF259">
        <v>725.67170491907802</v>
      </c>
      <c r="AG259">
        <v>705.991594289673</v>
      </c>
    </row>
    <row r="260" spans="1:33" x14ac:dyDescent="0.25">
      <c r="A260" s="1">
        <v>44311</v>
      </c>
      <c r="B260">
        <v>8417.7189986375906</v>
      </c>
      <c r="C260">
        <v>7251.93469035213</v>
      </c>
      <c r="D260">
        <v>7214.9997969824599</v>
      </c>
      <c r="E260">
        <v>8842.9233417169107</v>
      </c>
      <c r="F260">
        <v>11796.0998098399</v>
      </c>
      <c r="G260">
        <v>11076.519075958</v>
      </c>
      <c r="H260">
        <v>23210.489621755602</v>
      </c>
      <c r="I260">
        <v>14578.566736766699</v>
      </c>
      <c r="J260">
        <v>865.88134323362203</v>
      </c>
      <c r="K260">
        <v>883.65416550946895</v>
      </c>
      <c r="L260">
        <v>488.099903990462</v>
      </c>
      <c r="M260">
        <v>9651.1001502812196</v>
      </c>
      <c r="N260">
        <v>2657.2787653404398</v>
      </c>
      <c r="O260">
        <v>445.779462299182</v>
      </c>
      <c r="P260">
        <v>1018.1391355327301</v>
      </c>
      <c r="Q260">
        <v>7756.3723314737099</v>
      </c>
      <c r="R260">
        <v>490.51343675854599</v>
      </c>
      <c r="S260">
        <v>207.60962359753401</v>
      </c>
      <c r="T260">
        <v>237.8952297928</v>
      </c>
      <c r="U260">
        <v>194.42483219379801</v>
      </c>
      <c r="V260">
        <v>260.10686310878299</v>
      </c>
      <c r="W260">
        <v>127.465834605154</v>
      </c>
      <c r="X260">
        <v>161.76259498304799</v>
      </c>
      <c r="Y260">
        <v>721.963041162021</v>
      </c>
      <c r="Z260">
        <v>155.57775098731599</v>
      </c>
      <c r="AA260">
        <v>654.155344536916</v>
      </c>
      <c r="AB260">
        <v>740.40855291855701</v>
      </c>
      <c r="AC260">
        <v>560.29391609634501</v>
      </c>
      <c r="AD260">
        <v>442.63099250154698</v>
      </c>
      <c r="AE260">
        <v>218.59396825344999</v>
      </c>
      <c r="AF260">
        <v>722.21264448485397</v>
      </c>
      <c r="AG260">
        <v>703.70925897365703</v>
      </c>
    </row>
    <row r="261" spans="1:33" x14ac:dyDescent="0.25">
      <c r="A261" s="1">
        <v>44312</v>
      </c>
      <c r="B261">
        <v>8456.3819335595708</v>
      </c>
      <c r="C261">
        <v>7233.0796107063697</v>
      </c>
      <c r="D261">
        <v>7277.7873625116599</v>
      </c>
      <c r="E261">
        <v>8837.53396446841</v>
      </c>
      <c r="F261">
        <v>12036.941162643299</v>
      </c>
      <c r="G261">
        <v>11527.465061205699</v>
      </c>
      <c r="H261">
        <v>23303.599491978999</v>
      </c>
      <c r="I261">
        <v>14703.069221654199</v>
      </c>
      <c r="J261">
        <v>883.97213446266505</v>
      </c>
      <c r="K261">
        <v>923.02590827136305</v>
      </c>
      <c r="L261">
        <v>497.35531254581599</v>
      </c>
      <c r="M261">
        <v>9882.0749311263498</v>
      </c>
      <c r="N261">
        <v>2775.0787036188899</v>
      </c>
      <c r="O261">
        <v>456.82798153970998</v>
      </c>
      <c r="P261">
        <v>1064.1892440147501</v>
      </c>
      <c r="Q261">
        <v>8101.9982317144304</v>
      </c>
      <c r="R261">
        <v>499.66326586576002</v>
      </c>
      <c r="S261">
        <v>211.63274417559401</v>
      </c>
      <c r="T261">
        <v>267.30468722476297</v>
      </c>
      <c r="U261">
        <v>193.202517067359</v>
      </c>
      <c r="V261">
        <v>296.56904920543298</v>
      </c>
      <c r="W261">
        <v>122.438101770144</v>
      </c>
      <c r="X261">
        <v>177.45714808333901</v>
      </c>
      <c r="Y261">
        <v>697.99128533659302</v>
      </c>
      <c r="Z261">
        <v>154.60301102967301</v>
      </c>
      <c r="AA261">
        <v>652.64632736352598</v>
      </c>
      <c r="AB261">
        <v>729.20595391580196</v>
      </c>
      <c r="AC261">
        <v>613.11110742763594</v>
      </c>
      <c r="AD261">
        <v>447.62882961323999</v>
      </c>
      <c r="AE261">
        <v>286.69167365158398</v>
      </c>
      <c r="AF261">
        <v>719.28679983446796</v>
      </c>
      <c r="AG261">
        <v>699.11212580639904</v>
      </c>
    </row>
    <row r="262" spans="1:33" x14ac:dyDescent="0.25">
      <c r="A262" s="1">
        <v>44313</v>
      </c>
      <c r="B262">
        <v>8478.4057034127709</v>
      </c>
      <c r="C262">
        <v>7498.3039418675298</v>
      </c>
      <c r="D262">
        <v>7348.7540662952797</v>
      </c>
      <c r="E262">
        <v>8816.0806430986504</v>
      </c>
      <c r="F262">
        <v>12218.331292405999</v>
      </c>
      <c r="G262">
        <v>11270.398656969601</v>
      </c>
      <c r="H262">
        <v>22679.428892732201</v>
      </c>
      <c r="I262">
        <v>14817.32304628</v>
      </c>
      <c r="J262">
        <v>901.44367691972604</v>
      </c>
      <c r="K262">
        <v>940.82360653004298</v>
      </c>
      <c r="L262">
        <v>501.07823404929297</v>
      </c>
      <c r="M262">
        <v>9732.1106650605507</v>
      </c>
      <c r="N262">
        <v>2740.4721383968999</v>
      </c>
      <c r="O262">
        <v>461.00504453248902</v>
      </c>
      <c r="P262">
        <v>1087.8648580408999</v>
      </c>
      <c r="Q262">
        <v>8017.7807647541704</v>
      </c>
      <c r="R262">
        <v>502.76501110036202</v>
      </c>
      <c r="S262">
        <v>219.74188810126299</v>
      </c>
      <c r="T262">
        <v>284.75830542872598</v>
      </c>
      <c r="U262">
        <v>192.90173701798699</v>
      </c>
      <c r="V262">
        <v>299.00194088638102</v>
      </c>
      <c r="W262">
        <v>123.685087653236</v>
      </c>
      <c r="X262">
        <v>178.70406609851801</v>
      </c>
      <c r="Y262">
        <v>658.27481799213103</v>
      </c>
      <c r="Z262">
        <v>153.79121298011901</v>
      </c>
      <c r="AA262">
        <v>651.94783932250698</v>
      </c>
      <c r="AB262">
        <v>706.83288501534901</v>
      </c>
      <c r="AC262">
        <v>668.33615267205903</v>
      </c>
      <c r="AD262">
        <v>451.929287358088</v>
      </c>
      <c r="AE262">
        <v>311.67269305332798</v>
      </c>
      <c r="AF262">
        <v>714.51942730776102</v>
      </c>
      <c r="AG262">
        <v>696.17230573767301</v>
      </c>
    </row>
    <row r="263" spans="1:33" x14ac:dyDescent="0.25">
      <c r="A263" s="1">
        <v>44314</v>
      </c>
      <c r="B263">
        <v>8506.0812009410893</v>
      </c>
      <c r="C263">
        <v>7424.4000140269</v>
      </c>
      <c r="D263">
        <v>7478.1450126078198</v>
      </c>
      <c r="E263">
        <v>8951.8333334076706</v>
      </c>
      <c r="F263">
        <v>12101.6016934892</v>
      </c>
      <c r="G263">
        <v>11332.115355165701</v>
      </c>
      <c r="H263">
        <v>22762.837000754502</v>
      </c>
      <c r="I263">
        <v>14896.0048216338</v>
      </c>
      <c r="J263">
        <v>910.69851893290399</v>
      </c>
      <c r="K263">
        <v>963.81721515612696</v>
      </c>
      <c r="L263">
        <v>502.67339009638101</v>
      </c>
      <c r="M263">
        <v>9802.8500205796099</v>
      </c>
      <c r="N263">
        <v>2875.6825189725</v>
      </c>
      <c r="O263">
        <v>458.37107619138499</v>
      </c>
      <c r="P263">
        <v>1138.72121319608</v>
      </c>
      <c r="Q263">
        <v>8093.4732307019804</v>
      </c>
      <c r="R263">
        <v>507.73155700725198</v>
      </c>
      <c r="S263">
        <v>223.68240422721701</v>
      </c>
      <c r="T263">
        <v>308.46006028181</v>
      </c>
      <c r="U263">
        <v>191.52011598945799</v>
      </c>
      <c r="V263">
        <v>325.024215128712</v>
      </c>
      <c r="W263">
        <v>125.868663806602</v>
      </c>
      <c r="X263">
        <v>190.64185443082499</v>
      </c>
      <c r="Y263">
        <v>635.34042496277198</v>
      </c>
      <c r="Z263">
        <v>154.412293983111</v>
      </c>
      <c r="AA263">
        <v>651.74311128677402</v>
      </c>
      <c r="AB263">
        <v>681.95393484143005</v>
      </c>
      <c r="AC263">
        <v>683.08021196713298</v>
      </c>
      <c r="AD263">
        <v>456.45602720009202</v>
      </c>
      <c r="AE263">
        <v>255.33404868407601</v>
      </c>
      <c r="AF263">
        <v>708.28867093929898</v>
      </c>
      <c r="AG263">
        <v>693.82113586577304</v>
      </c>
    </row>
    <row r="264" spans="1:33" x14ac:dyDescent="0.25">
      <c r="A264" s="1">
        <v>44315</v>
      </c>
      <c r="B264">
        <v>8583.3813171270194</v>
      </c>
      <c r="C264">
        <v>7444.6643020606598</v>
      </c>
      <c r="D264">
        <v>7650.5155212086102</v>
      </c>
      <c r="E264">
        <v>9210.4552301652893</v>
      </c>
      <c r="F264">
        <v>12347.9294369128</v>
      </c>
      <c r="G264">
        <v>11840.9558720246</v>
      </c>
      <c r="H264">
        <v>23520.4312410848</v>
      </c>
      <c r="I264">
        <v>14971.4660843529</v>
      </c>
      <c r="J264">
        <v>921.96844924456104</v>
      </c>
      <c r="K264">
        <v>1036.8360875339999</v>
      </c>
      <c r="L264">
        <v>506.87544350832798</v>
      </c>
      <c r="M264">
        <v>10305.323549450701</v>
      </c>
      <c r="N264">
        <v>3200.82821176997</v>
      </c>
      <c r="O264">
        <v>476.451897267101</v>
      </c>
      <c r="P264">
        <v>1255.66786923726</v>
      </c>
      <c r="Q264">
        <v>8593.9950987931297</v>
      </c>
      <c r="R264">
        <v>531.32211227489199</v>
      </c>
      <c r="S264">
        <v>222.69144611382899</v>
      </c>
      <c r="T264">
        <v>361.78994588483198</v>
      </c>
      <c r="U264">
        <v>190.49029124626099</v>
      </c>
      <c r="V264">
        <v>386.94877721285798</v>
      </c>
      <c r="W264">
        <v>124.487011178492</v>
      </c>
      <c r="X264">
        <v>221.24228305767599</v>
      </c>
      <c r="Y264">
        <v>665.70323206334206</v>
      </c>
      <c r="Z264">
        <v>155.674345235093</v>
      </c>
      <c r="AA264">
        <v>653.42092135959899</v>
      </c>
      <c r="AB264">
        <v>692.32066584670804</v>
      </c>
      <c r="AC264">
        <v>695.12505448157594</v>
      </c>
      <c r="AD264">
        <v>461.99544356492203</v>
      </c>
      <c r="AE264">
        <v>267.23443410271301</v>
      </c>
      <c r="AF264">
        <v>702.419969978023</v>
      </c>
      <c r="AG264">
        <v>687.39211045416801</v>
      </c>
    </row>
    <row r="265" spans="1:33" x14ac:dyDescent="0.25">
      <c r="A265" s="1">
        <v>44316</v>
      </c>
      <c r="B265">
        <v>8720.2182776503905</v>
      </c>
      <c r="C265">
        <v>8106.5970569921301</v>
      </c>
      <c r="D265">
        <v>7687.0182696687498</v>
      </c>
      <c r="E265">
        <v>9421.6248085740208</v>
      </c>
      <c r="F265">
        <v>12799.286476852099</v>
      </c>
      <c r="G265">
        <v>12192.8998936853</v>
      </c>
      <c r="H265">
        <v>24014.255776603</v>
      </c>
      <c r="I265">
        <v>15109.1085781895</v>
      </c>
      <c r="J265">
        <v>939.08957540207496</v>
      </c>
      <c r="K265">
        <v>1124.2671151573099</v>
      </c>
      <c r="L265">
        <v>517.52293197487404</v>
      </c>
      <c r="M265">
        <v>10693.8688929444</v>
      </c>
      <c r="N265">
        <v>3531.3258011797702</v>
      </c>
      <c r="O265">
        <v>494.82716968436802</v>
      </c>
      <c r="P265">
        <v>1375.41305434213</v>
      </c>
      <c r="Q265">
        <v>8990.7779406949903</v>
      </c>
      <c r="R265">
        <v>562.71112376611495</v>
      </c>
      <c r="S265">
        <v>221.440529668317</v>
      </c>
      <c r="T265">
        <v>416.44667854595298</v>
      </c>
      <c r="U265">
        <v>189.434371213296</v>
      </c>
      <c r="V265">
        <v>448.553578180969</v>
      </c>
      <c r="W265">
        <v>126.499118721344</v>
      </c>
      <c r="X265">
        <v>253.85414369326</v>
      </c>
      <c r="Y265">
        <v>687.01235409915296</v>
      </c>
      <c r="Z265">
        <v>156.522370790552</v>
      </c>
      <c r="AA265">
        <v>655.65613931534699</v>
      </c>
      <c r="AB265">
        <v>708.65343988788402</v>
      </c>
      <c r="AC265">
        <v>693.80380189051004</v>
      </c>
      <c r="AD265">
        <v>470.18262454427202</v>
      </c>
      <c r="AE265">
        <v>323.75173748896901</v>
      </c>
      <c r="AF265">
        <v>697.647417698043</v>
      </c>
      <c r="AG265">
        <v>682.05185902223695</v>
      </c>
    </row>
    <row r="266" spans="1:33" x14ac:dyDescent="0.25">
      <c r="A266" s="1">
        <v>44317</v>
      </c>
      <c r="B266">
        <v>8861.4259900862908</v>
      </c>
      <c r="C266">
        <v>8750.3072620562107</v>
      </c>
      <c r="D266">
        <v>7739.8943282743703</v>
      </c>
      <c r="E266">
        <v>9748.4515280225096</v>
      </c>
      <c r="F266">
        <v>13360.062858065299</v>
      </c>
      <c r="G266">
        <v>12717.260411975099</v>
      </c>
      <c r="H266">
        <v>25019.9420997177</v>
      </c>
      <c r="I266">
        <v>15231.127262474</v>
      </c>
      <c r="J266">
        <v>970.81023136578494</v>
      </c>
      <c r="K266">
        <v>1265.0164130493199</v>
      </c>
      <c r="L266">
        <v>528.85829930899399</v>
      </c>
      <c r="M266">
        <v>11459.758984944099</v>
      </c>
      <c r="N266">
        <v>4062.5942554227099</v>
      </c>
      <c r="O266">
        <v>528.323105952275</v>
      </c>
      <c r="P266">
        <v>1534.8430294316399</v>
      </c>
      <c r="Q266">
        <v>9589.6804072086197</v>
      </c>
      <c r="R266">
        <v>606.99951488880401</v>
      </c>
      <c r="S266">
        <v>217.21767700447799</v>
      </c>
      <c r="T266">
        <v>517.26827257125501</v>
      </c>
      <c r="U266">
        <v>187.46545882594799</v>
      </c>
      <c r="V266">
        <v>551.78181760855205</v>
      </c>
      <c r="W266">
        <v>128.02963761524501</v>
      </c>
      <c r="X266">
        <v>303.06037574771898</v>
      </c>
      <c r="Y266">
        <v>702.01874415030102</v>
      </c>
      <c r="Z266">
        <v>157.44709438284599</v>
      </c>
      <c r="AA266">
        <v>653.834947311311</v>
      </c>
      <c r="AB266">
        <v>718.08499384608695</v>
      </c>
      <c r="AC266">
        <v>688.76660549519102</v>
      </c>
      <c r="AD266">
        <v>481.81673544047698</v>
      </c>
      <c r="AE266">
        <v>343.98692121937398</v>
      </c>
      <c r="AF266">
        <v>693.86276457738597</v>
      </c>
      <c r="AG266">
        <v>676.65625759444902</v>
      </c>
    </row>
    <row r="267" spans="1:33" x14ac:dyDescent="0.25">
      <c r="A267" s="1">
        <v>44318</v>
      </c>
      <c r="B267">
        <v>8998.3807762003507</v>
      </c>
      <c r="C267">
        <v>9373.2399193418805</v>
      </c>
      <c r="D267">
        <v>7762.2260253050099</v>
      </c>
      <c r="E267">
        <v>9627.4766114759805</v>
      </c>
      <c r="F267">
        <v>13340.6779095778</v>
      </c>
      <c r="G267">
        <v>12099.860602315501</v>
      </c>
      <c r="H267">
        <v>24312.431387820299</v>
      </c>
      <c r="I267">
        <v>15446.4493336041</v>
      </c>
      <c r="J267">
        <v>992.02435837747896</v>
      </c>
      <c r="K267">
        <v>1245.03734365687</v>
      </c>
      <c r="L267">
        <v>538.106737775277</v>
      </c>
      <c r="M267">
        <v>10841.037525141401</v>
      </c>
      <c r="N267">
        <v>3750.8452221467801</v>
      </c>
      <c r="O267">
        <v>538.46258854558198</v>
      </c>
      <c r="P267">
        <v>1483.30929252283</v>
      </c>
      <c r="Q267">
        <v>9068.4612772970195</v>
      </c>
      <c r="R267">
        <v>619.92273847289005</v>
      </c>
      <c r="S267">
        <v>222.283564823109</v>
      </c>
      <c r="T267">
        <v>459.31856315464597</v>
      </c>
      <c r="U267">
        <v>187.97475788520401</v>
      </c>
      <c r="V267">
        <v>438.66980230163603</v>
      </c>
      <c r="W267">
        <v>129.068307005083</v>
      </c>
      <c r="X267">
        <v>218.27627423494499</v>
      </c>
      <c r="Y267">
        <v>706.71533931830902</v>
      </c>
      <c r="Z267">
        <v>156.302086483832</v>
      </c>
      <c r="AA267">
        <v>650.00581541311203</v>
      </c>
      <c r="AB267">
        <v>718.28817132197003</v>
      </c>
      <c r="AC267">
        <v>659.308992271948</v>
      </c>
      <c r="AD267">
        <v>484.52725957434501</v>
      </c>
      <c r="AE267">
        <v>306.21859835564402</v>
      </c>
      <c r="AF267">
        <v>691.93801773573603</v>
      </c>
      <c r="AG267">
        <v>673.823126409569</v>
      </c>
    </row>
    <row r="268" spans="1:33" x14ac:dyDescent="0.25">
      <c r="A268" s="1">
        <v>44319</v>
      </c>
      <c r="B268">
        <v>9047.1071938160894</v>
      </c>
      <c r="C268">
        <v>8994.4370787623502</v>
      </c>
      <c r="D268">
        <v>7963.6755770565096</v>
      </c>
      <c r="E268">
        <v>9479.1263250373904</v>
      </c>
      <c r="F268">
        <v>12808.660167706999</v>
      </c>
      <c r="G268">
        <v>11705.1058742649</v>
      </c>
      <c r="H268">
        <v>23305.451290254601</v>
      </c>
      <c r="I268">
        <v>15609.031261854399</v>
      </c>
      <c r="J268">
        <v>1003.0100412647701</v>
      </c>
      <c r="K268">
        <v>1222.4824179842999</v>
      </c>
      <c r="L268">
        <v>530.10907017681802</v>
      </c>
      <c r="M268">
        <v>10297.7265503544</v>
      </c>
      <c r="N268">
        <v>3191.22226021815</v>
      </c>
      <c r="O268">
        <v>532.96694852938799</v>
      </c>
      <c r="P268">
        <v>1437.9685074466099</v>
      </c>
      <c r="Q268">
        <v>8474.1952893091602</v>
      </c>
      <c r="R268">
        <v>598.60747582936199</v>
      </c>
      <c r="S268">
        <v>232.82065777045699</v>
      </c>
      <c r="T268">
        <v>367.90868162006598</v>
      </c>
      <c r="U268">
        <v>185.80910843815099</v>
      </c>
      <c r="V268">
        <v>334.23167479127699</v>
      </c>
      <c r="W268">
        <v>127.25461718026401</v>
      </c>
      <c r="X268">
        <v>173.144360125985</v>
      </c>
      <c r="Y268">
        <v>703.44470757913302</v>
      </c>
      <c r="Z268">
        <v>155.72068011068399</v>
      </c>
      <c r="AA268">
        <v>649.01054195355903</v>
      </c>
      <c r="AB268">
        <v>714.23035995627595</v>
      </c>
      <c r="AC268">
        <v>587.47790951365198</v>
      </c>
      <c r="AD268">
        <v>480.271202076983</v>
      </c>
      <c r="AE268">
        <v>332.17178670577698</v>
      </c>
      <c r="AF268">
        <v>686.76709634086797</v>
      </c>
      <c r="AG268">
        <v>672.64982824428398</v>
      </c>
    </row>
    <row r="269" spans="1:33" x14ac:dyDescent="0.25">
      <c r="A269" s="1">
        <v>44320</v>
      </c>
      <c r="B269">
        <v>9054.8359247258904</v>
      </c>
      <c r="C269">
        <v>8526.2826385467797</v>
      </c>
      <c r="D269">
        <v>8205.0347804579105</v>
      </c>
      <c r="E269">
        <v>9430.2705636533101</v>
      </c>
      <c r="F269">
        <v>12604.076832009599</v>
      </c>
      <c r="G269">
        <v>11881.0386738578</v>
      </c>
      <c r="H269">
        <v>23390.948370839498</v>
      </c>
      <c r="I269">
        <v>15558.1640610142</v>
      </c>
      <c r="J269">
        <v>1008.45582534422</v>
      </c>
      <c r="K269">
        <v>1228.0429000347399</v>
      </c>
      <c r="L269">
        <v>527.47712065169401</v>
      </c>
      <c r="M269">
        <v>10388.4276424083</v>
      </c>
      <c r="N269">
        <v>3249.14634505615</v>
      </c>
      <c r="O269">
        <v>515.75039445114999</v>
      </c>
      <c r="P269">
        <v>1465.03340927402</v>
      </c>
      <c r="Q269">
        <v>8507.2672998123799</v>
      </c>
      <c r="R269">
        <v>582.45306179888598</v>
      </c>
      <c r="S269">
        <v>237.92066541313801</v>
      </c>
      <c r="T269">
        <v>346.85886448150899</v>
      </c>
      <c r="U269">
        <v>182.12476660018001</v>
      </c>
      <c r="V269">
        <v>335.526640992279</v>
      </c>
      <c r="W269">
        <v>133.35605889616801</v>
      </c>
      <c r="X269">
        <v>180.89303449521199</v>
      </c>
      <c r="Y269">
        <v>700.80561487015802</v>
      </c>
      <c r="Z269">
        <v>155.84488734181301</v>
      </c>
      <c r="AA269">
        <v>649.58661376838802</v>
      </c>
      <c r="AB269">
        <v>712.91230050098704</v>
      </c>
      <c r="AC269">
        <v>499.63040776634</v>
      </c>
      <c r="AD269">
        <v>482.78822728812298</v>
      </c>
      <c r="AE269">
        <v>387.40386068712598</v>
      </c>
      <c r="AF269">
        <v>684.24563788091996</v>
      </c>
      <c r="AG269">
        <v>669.77093288598405</v>
      </c>
    </row>
    <row r="270" spans="1:33" x14ac:dyDescent="0.25">
      <c r="A270" s="1">
        <v>44321</v>
      </c>
      <c r="B270">
        <v>9155.7243719021408</v>
      </c>
      <c r="C270">
        <v>8489.5957679612402</v>
      </c>
      <c r="D270">
        <v>8388.5887068199409</v>
      </c>
      <c r="E270">
        <v>9599.7160345605007</v>
      </c>
      <c r="F270">
        <v>13031.593991915501</v>
      </c>
      <c r="G270">
        <v>12890.1686354792</v>
      </c>
      <c r="H270">
        <v>24755.751873669298</v>
      </c>
      <c r="I270">
        <v>15568.089577258401</v>
      </c>
      <c r="J270">
        <v>1033.1255235441899</v>
      </c>
      <c r="K270">
        <v>1317.92172995856</v>
      </c>
      <c r="L270">
        <v>535.445710132145</v>
      </c>
      <c r="M270">
        <v>11237.357269001201</v>
      </c>
      <c r="N270">
        <v>3513.6974663507999</v>
      </c>
      <c r="O270">
        <v>546.87447791850502</v>
      </c>
      <c r="P270">
        <v>1595.70880843803</v>
      </c>
      <c r="Q270">
        <v>9360.7521886546401</v>
      </c>
      <c r="R270">
        <v>610.36382045169898</v>
      </c>
      <c r="S270">
        <v>226.360044278667</v>
      </c>
      <c r="T270">
        <v>372.15950959934401</v>
      </c>
      <c r="U270">
        <v>179.178933337779</v>
      </c>
      <c r="V270">
        <v>387.711170722492</v>
      </c>
      <c r="W270">
        <v>137.12002643539401</v>
      </c>
      <c r="X270">
        <v>210.04010640057299</v>
      </c>
      <c r="Y270">
        <v>701.25422369556304</v>
      </c>
      <c r="Z270">
        <v>156.30493983135</v>
      </c>
      <c r="AA270">
        <v>649.90199620383703</v>
      </c>
      <c r="AB270">
        <v>714.283013512303</v>
      </c>
      <c r="AC270">
        <v>474.27009051551499</v>
      </c>
      <c r="AD270">
        <v>489.09926366384298</v>
      </c>
      <c r="AE270">
        <v>434.09844822759902</v>
      </c>
      <c r="AF270">
        <v>685.81234688835298</v>
      </c>
      <c r="AG270">
        <v>665.77138609197095</v>
      </c>
    </row>
    <row r="271" spans="1:33" x14ac:dyDescent="0.25">
      <c r="A271" s="1">
        <v>44322</v>
      </c>
      <c r="B271">
        <v>9334.7124715688697</v>
      </c>
      <c r="C271">
        <v>9233.5066232494592</v>
      </c>
      <c r="D271">
        <v>8465.6317513457707</v>
      </c>
      <c r="E271">
        <v>9772.4973493739308</v>
      </c>
      <c r="F271">
        <v>13730.895352589299</v>
      </c>
      <c r="G271">
        <v>13357.1501905274</v>
      </c>
      <c r="H271">
        <v>26343.038721499899</v>
      </c>
      <c r="I271">
        <v>15698.321541044101</v>
      </c>
      <c r="J271">
        <v>1075.85616493118</v>
      </c>
      <c r="K271">
        <v>1424.7618548026501</v>
      </c>
      <c r="L271">
        <v>568.71671008815895</v>
      </c>
      <c r="M271">
        <v>11832.5038369542</v>
      </c>
      <c r="N271">
        <v>3965.49527335725</v>
      </c>
      <c r="O271">
        <v>605.60411905189505</v>
      </c>
      <c r="P271">
        <v>1680.42412742743</v>
      </c>
      <c r="Q271">
        <v>10056.483415663</v>
      </c>
      <c r="R271">
        <v>669.60218342775204</v>
      </c>
      <c r="S271">
        <v>219.40912373477599</v>
      </c>
      <c r="T271">
        <v>436.00367862705599</v>
      </c>
      <c r="U271">
        <v>169.67939110927099</v>
      </c>
      <c r="V271">
        <v>441.04144470932499</v>
      </c>
      <c r="W271">
        <v>136.958552753503</v>
      </c>
      <c r="X271">
        <v>234.82622737754801</v>
      </c>
      <c r="Y271">
        <v>702.66859594641505</v>
      </c>
      <c r="Z271">
        <v>155.30202595118899</v>
      </c>
      <c r="AA271">
        <v>648.19817789250101</v>
      </c>
      <c r="AB271">
        <v>714.43348604433299</v>
      </c>
      <c r="AC271">
        <v>462.88796687916602</v>
      </c>
      <c r="AD271">
        <v>502.82333704537899</v>
      </c>
      <c r="AE271">
        <v>503.45529793556898</v>
      </c>
      <c r="AF271">
        <v>688.32822776742</v>
      </c>
      <c r="AG271">
        <v>661.91035511995005</v>
      </c>
    </row>
    <row r="272" spans="1:33" x14ac:dyDescent="0.25">
      <c r="A272" s="1">
        <v>44323</v>
      </c>
      <c r="B272">
        <v>9531.8454673728902</v>
      </c>
      <c r="C272">
        <v>9984.5271329601801</v>
      </c>
      <c r="D272">
        <v>8448.6020199394497</v>
      </c>
      <c r="E272">
        <v>9784.3814851193601</v>
      </c>
      <c r="F272">
        <v>13762.923133800199</v>
      </c>
      <c r="G272">
        <v>12719.919262174501</v>
      </c>
      <c r="H272">
        <v>24598.274203956102</v>
      </c>
      <c r="I272">
        <v>15863.969380811001</v>
      </c>
      <c r="J272">
        <v>1105.6906574375901</v>
      </c>
      <c r="K272">
        <v>1388.2558013416101</v>
      </c>
      <c r="L272">
        <v>590.67989274935496</v>
      </c>
      <c r="M272">
        <v>11255.852712141001</v>
      </c>
      <c r="N272">
        <v>3619.3013322536799</v>
      </c>
      <c r="O272">
        <v>592.80650135347605</v>
      </c>
      <c r="P272">
        <v>1613.83213988389</v>
      </c>
      <c r="Q272">
        <v>9347.9341626820606</v>
      </c>
      <c r="R272">
        <v>655.29578375944402</v>
      </c>
      <c r="S272">
        <v>218.542248741908</v>
      </c>
      <c r="T272">
        <v>401.3458078397</v>
      </c>
      <c r="U272">
        <v>170.24501750285</v>
      </c>
      <c r="V272">
        <v>350.90503742532502</v>
      </c>
      <c r="W272">
        <v>136.00706483593399</v>
      </c>
      <c r="X272">
        <v>195.46487038364401</v>
      </c>
      <c r="Y272">
        <v>682.90967845964803</v>
      </c>
      <c r="Z272">
        <v>152.419942053037</v>
      </c>
      <c r="AA272">
        <v>643.98977993598999</v>
      </c>
      <c r="AB272">
        <v>705.987490088703</v>
      </c>
      <c r="AC272">
        <v>444.90245916026203</v>
      </c>
      <c r="AD272">
        <v>509.33956554218298</v>
      </c>
      <c r="AE272">
        <v>498.69059138591501</v>
      </c>
      <c r="AF272">
        <v>689.75176176739899</v>
      </c>
      <c r="AG272">
        <v>660.87839559928398</v>
      </c>
    </row>
    <row r="273" spans="1:33" x14ac:dyDescent="0.25">
      <c r="A273" s="1">
        <v>44324</v>
      </c>
      <c r="B273">
        <v>9649.42273659903</v>
      </c>
      <c r="C273">
        <v>9500.1624930449307</v>
      </c>
      <c r="D273">
        <v>8570.7546772378591</v>
      </c>
      <c r="E273">
        <v>9790.4145884775608</v>
      </c>
      <c r="F273">
        <v>13401.7093525003</v>
      </c>
      <c r="G273">
        <v>12448.5230459247</v>
      </c>
      <c r="H273">
        <v>23874.560180394899</v>
      </c>
      <c r="I273">
        <v>16102.923727257899</v>
      </c>
      <c r="J273">
        <v>1118.06849180279</v>
      </c>
      <c r="K273">
        <v>1349.2061390557201</v>
      </c>
      <c r="L273">
        <v>566.55004431263296</v>
      </c>
      <c r="M273">
        <v>10777.715456522399</v>
      </c>
      <c r="N273">
        <v>3038.78015497358</v>
      </c>
      <c r="O273">
        <v>595.62800285331105</v>
      </c>
      <c r="P273">
        <v>1551.96694695622</v>
      </c>
      <c r="Q273">
        <v>8940.3203418561097</v>
      </c>
      <c r="R273">
        <v>648.13425509783599</v>
      </c>
      <c r="S273">
        <v>219.75069371564601</v>
      </c>
      <c r="T273">
        <v>329.95210340545202</v>
      </c>
      <c r="U273">
        <v>170.264553482308</v>
      </c>
      <c r="V273">
        <v>299.46174381768702</v>
      </c>
      <c r="W273">
        <v>131.64575373262099</v>
      </c>
      <c r="X273">
        <v>176.53912210921399</v>
      </c>
      <c r="Y273">
        <v>665.21634602226402</v>
      </c>
      <c r="Z273">
        <v>151.32010699566101</v>
      </c>
      <c r="AA273">
        <v>645.37936534765697</v>
      </c>
      <c r="AB273">
        <v>697.38102956505702</v>
      </c>
      <c r="AC273">
        <v>449.52007429128599</v>
      </c>
      <c r="AD273">
        <v>505.27847191974797</v>
      </c>
      <c r="AE273">
        <v>402.25272589553202</v>
      </c>
      <c r="AF273">
        <v>691.93232991850198</v>
      </c>
      <c r="AG273">
        <v>658.49992170495204</v>
      </c>
    </row>
    <row r="274" spans="1:33" x14ac:dyDescent="0.25">
      <c r="A274" s="1">
        <v>44325</v>
      </c>
      <c r="B274">
        <v>9739.9813087023103</v>
      </c>
      <c r="C274">
        <v>9005.1686305870498</v>
      </c>
      <c r="D274">
        <v>8839.2547940336299</v>
      </c>
      <c r="E274">
        <v>10017.8082207017</v>
      </c>
      <c r="F274">
        <v>13655.168350329201</v>
      </c>
      <c r="G274">
        <v>13306.5370770594</v>
      </c>
      <c r="H274">
        <v>25491.484100021</v>
      </c>
      <c r="I274">
        <v>16249.233338498399</v>
      </c>
      <c r="J274">
        <v>1158.31985541276</v>
      </c>
      <c r="K274">
        <v>1424.6715306650999</v>
      </c>
      <c r="L274">
        <v>564.167707627607</v>
      </c>
      <c r="M274">
        <v>11684.0656295464</v>
      </c>
      <c r="N274">
        <v>3659.7100153892502</v>
      </c>
      <c r="O274">
        <v>615.96389412392602</v>
      </c>
      <c r="P274">
        <v>1668.0034196575</v>
      </c>
      <c r="Q274">
        <v>9858.0025861198192</v>
      </c>
      <c r="R274">
        <v>677.32865406172698</v>
      </c>
      <c r="S274">
        <v>220.51716564723901</v>
      </c>
      <c r="T274">
        <v>362.88781015468902</v>
      </c>
      <c r="U274">
        <v>169.86515746334399</v>
      </c>
      <c r="V274">
        <v>362.77384539202501</v>
      </c>
      <c r="W274">
        <v>134.93327992297401</v>
      </c>
      <c r="X274">
        <v>202.76682214474599</v>
      </c>
      <c r="Y274">
        <v>657.38032958679401</v>
      </c>
      <c r="Z274">
        <v>152.94807154723</v>
      </c>
      <c r="AA274">
        <v>650.44896976294797</v>
      </c>
      <c r="AB274">
        <v>693.52294345698795</v>
      </c>
      <c r="AC274">
        <v>461.46575955373902</v>
      </c>
      <c r="AD274">
        <v>513.36519979158095</v>
      </c>
      <c r="AE274">
        <v>380.36486714256102</v>
      </c>
      <c r="AF274">
        <v>693.88989374472999</v>
      </c>
      <c r="AG274">
        <v>655.36431178234602</v>
      </c>
    </row>
    <row r="275" spans="1:33" x14ac:dyDescent="0.25">
      <c r="A275" s="1">
        <v>44326</v>
      </c>
      <c r="B275">
        <v>9917.6642425392602</v>
      </c>
      <c r="C275">
        <v>9584.0317431939493</v>
      </c>
      <c r="D275">
        <v>9073.3438101620104</v>
      </c>
      <c r="E275">
        <v>10288.0312371449</v>
      </c>
      <c r="F275">
        <v>14517.592056223501</v>
      </c>
      <c r="G275">
        <v>13985.3520486741</v>
      </c>
      <c r="H275">
        <v>25899.443579626299</v>
      </c>
      <c r="I275">
        <v>16461.106009180599</v>
      </c>
      <c r="J275">
        <v>1199.15963748019</v>
      </c>
      <c r="K275">
        <v>1532.5157946277</v>
      </c>
      <c r="L275">
        <v>599.13484229281801</v>
      </c>
      <c r="M275">
        <v>12318.536229344099</v>
      </c>
      <c r="N275">
        <v>4103.6453369397605</v>
      </c>
      <c r="O275">
        <v>660.43480456876796</v>
      </c>
      <c r="P275">
        <v>1832.5656536507199</v>
      </c>
      <c r="Q275">
        <v>10506.0469857361</v>
      </c>
      <c r="R275">
        <v>732.38871568956802</v>
      </c>
      <c r="S275">
        <v>220.91918200284599</v>
      </c>
      <c r="T275">
        <v>424.95098138569301</v>
      </c>
      <c r="U275">
        <v>169.53160728269</v>
      </c>
      <c r="V275">
        <v>405.49190462300697</v>
      </c>
      <c r="W275">
        <v>136.81092688823301</v>
      </c>
      <c r="X275">
        <v>211.31310920500499</v>
      </c>
      <c r="Y275">
        <v>650.83173233459399</v>
      </c>
      <c r="Z275">
        <v>154.16059234722201</v>
      </c>
      <c r="AA275">
        <v>650.18560420937399</v>
      </c>
      <c r="AB275">
        <v>690.66455447930105</v>
      </c>
      <c r="AC275">
        <v>473.42080896243198</v>
      </c>
      <c r="AD275">
        <v>529.359397669857</v>
      </c>
      <c r="AE275">
        <v>349.62480269614701</v>
      </c>
      <c r="AF275">
        <v>695.48490156624803</v>
      </c>
      <c r="AG275">
        <v>653.19248866313796</v>
      </c>
    </row>
    <row r="276" spans="1:33" x14ac:dyDescent="0.25">
      <c r="A276" s="1">
        <v>44327</v>
      </c>
      <c r="B276">
        <v>10095.367209788899</v>
      </c>
      <c r="C276">
        <v>10219.786676411301</v>
      </c>
      <c r="D276">
        <v>9197.92085995665</v>
      </c>
      <c r="E276">
        <v>10599.156834969201</v>
      </c>
      <c r="F276">
        <v>15251.2818545766</v>
      </c>
      <c r="G276">
        <v>14944.7185553536</v>
      </c>
      <c r="H276">
        <v>26889.161553576199</v>
      </c>
      <c r="I276">
        <v>16869.8711756015</v>
      </c>
      <c r="J276">
        <v>1243.42621354618</v>
      </c>
      <c r="K276">
        <v>1696.3224159464801</v>
      </c>
      <c r="L276">
        <v>636.17524992895801</v>
      </c>
      <c r="M276">
        <v>13208.548500446301</v>
      </c>
      <c r="N276">
        <v>4763.9399602057401</v>
      </c>
      <c r="O276">
        <v>688.04542622499196</v>
      </c>
      <c r="P276">
        <v>2052.0642925259799</v>
      </c>
      <c r="Q276">
        <v>11396.7483254943</v>
      </c>
      <c r="R276">
        <v>779.99148957742796</v>
      </c>
      <c r="S276">
        <v>221.760986502398</v>
      </c>
      <c r="T276">
        <v>491.05263725433298</v>
      </c>
      <c r="U276">
        <v>168.508482325014</v>
      </c>
      <c r="V276">
        <v>471.00192408261103</v>
      </c>
      <c r="W276">
        <v>138.364450461579</v>
      </c>
      <c r="X276">
        <v>223.12506477903301</v>
      </c>
      <c r="Y276">
        <v>647.752792357153</v>
      </c>
      <c r="Z276">
        <v>155.279640235024</v>
      </c>
      <c r="AA276">
        <v>647.29747909916398</v>
      </c>
      <c r="AB276">
        <v>687.31548640909102</v>
      </c>
      <c r="AC276">
        <v>483.31614580119702</v>
      </c>
      <c r="AD276">
        <v>552.31071661029398</v>
      </c>
      <c r="AE276">
        <v>350.13525302215999</v>
      </c>
      <c r="AF276">
        <v>696.15890521522999</v>
      </c>
      <c r="AG276">
        <v>652.81592489155298</v>
      </c>
    </row>
    <row r="277" spans="1:33" x14ac:dyDescent="0.25">
      <c r="A277" s="1">
        <v>44328</v>
      </c>
      <c r="B277">
        <v>10260.6509970555</v>
      </c>
      <c r="C277">
        <v>11137.489842090599</v>
      </c>
      <c r="D277">
        <v>9331.9208481281694</v>
      </c>
      <c r="E277">
        <v>10932.5313714925</v>
      </c>
      <c r="F277">
        <v>16029.431392758899</v>
      </c>
      <c r="G277">
        <v>15667.8791818435</v>
      </c>
      <c r="H277">
        <v>27917.492110732099</v>
      </c>
      <c r="I277">
        <v>17140.7592980261</v>
      </c>
      <c r="J277">
        <v>1311.49563175702</v>
      </c>
      <c r="K277">
        <v>1890.50914317447</v>
      </c>
      <c r="L277">
        <v>682.67503830720705</v>
      </c>
      <c r="M277">
        <v>13930.911333988101</v>
      </c>
      <c r="N277">
        <v>5277.4263235854196</v>
      </c>
      <c r="O277">
        <v>736.48835055438997</v>
      </c>
      <c r="P277">
        <v>2289.3112960318499</v>
      </c>
      <c r="Q277">
        <v>12230.7214707206</v>
      </c>
      <c r="R277">
        <v>856.58823357997505</v>
      </c>
      <c r="S277">
        <v>222.87706570696099</v>
      </c>
      <c r="T277">
        <v>577.32932424388196</v>
      </c>
      <c r="U277">
        <v>168.16788116486899</v>
      </c>
      <c r="V277">
        <v>524.01790360515497</v>
      </c>
      <c r="W277">
        <v>137.98429387605199</v>
      </c>
      <c r="X277">
        <v>242.82317149911799</v>
      </c>
      <c r="Y277">
        <v>648.12969942705297</v>
      </c>
      <c r="Z277">
        <v>155.67210540046301</v>
      </c>
      <c r="AA277">
        <v>646.95302908696794</v>
      </c>
      <c r="AB277">
        <v>683.64129989629896</v>
      </c>
      <c r="AC277">
        <v>487.45030656584498</v>
      </c>
      <c r="AD277">
        <v>585.51532934520299</v>
      </c>
      <c r="AE277">
        <v>256.57405944374199</v>
      </c>
      <c r="AF277">
        <v>696.42390658932595</v>
      </c>
      <c r="AG277">
        <v>652.09633810667106</v>
      </c>
    </row>
    <row r="278" spans="1:33" x14ac:dyDescent="0.25">
      <c r="A278" s="1">
        <v>44329</v>
      </c>
      <c r="B278">
        <v>10403.3822858238</v>
      </c>
      <c r="C278">
        <v>12045.2898638959</v>
      </c>
      <c r="D278">
        <v>9526.1560088701099</v>
      </c>
      <c r="E278">
        <v>11192.999374860399</v>
      </c>
      <c r="F278">
        <v>16508.188524765501</v>
      </c>
      <c r="G278">
        <v>15654.4447599784</v>
      </c>
      <c r="H278">
        <v>28135.473174047602</v>
      </c>
      <c r="I278">
        <v>17403.5986568144</v>
      </c>
      <c r="J278">
        <v>1373.14484919489</v>
      </c>
      <c r="K278">
        <v>1974.74171268858</v>
      </c>
      <c r="L278">
        <v>712.15745532237099</v>
      </c>
      <c r="M278">
        <v>14083.8725822541</v>
      </c>
      <c r="N278">
        <v>5547.2995415341202</v>
      </c>
      <c r="O278">
        <v>767.57399158972805</v>
      </c>
      <c r="P278">
        <v>2386.5997020311902</v>
      </c>
      <c r="Q278">
        <v>12439.099022175</v>
      </c>
      <c r="R278">
        <v>911.39145235127603</v>
      </c>
      <c r="S278">
        <v>224.84665950198701</v>
      </c>
      <c r="T278">
        <v>612.30211386297503</v>
      </c>
      <c r="U278">
        <v>167.38902295697599</v>
      </c>
      <c r="V278">
        <v>509.357667612912</v>
      </c>
      <c r="W278">
        <v>137.34247254234299</v>
      </c>
      <c r="X278">
        <v>229.488346461557</v>
      </c>
      <c r="Y278">
        <v>635.53717573808103</v>
      </c>
      <c r="Z278">
        <v>155.575734428055</v>
      </c>
      <c r="AA278">
        <v>644.369487350584</v>
      </c>
      <c r="AB278">
        <v>671.84277031552404</v>
      </c>
      <c r="AC278">
        <v>486.78019476732197</v>
      </c>
      <c r="AD278">
        <v>605.12463056921604</v>
      </c>
      <c r="AE278">
        <v>173.03737848443399</v>
      </c>
      <c r="AF278">
        <v>694.76805226759802</v>
      </c>
      <c r="AG278">
        <v>651.95905743378501</v>
      </c>
    </row>
    <row r="279" spans="1:33" x14ac:dyDescent="0.25">
      <c r="A279" s="1">
        <v>44330</v>
      </c>
      <c r="B279">
        <v>10583.135009182401</v>
      </c>
      <c r="C279">
        <v>12517.8635913297</v>
      </c>
      <c r="D279">
        <v>9884.0414948007092</v>
      </c>
      <c r="E279">
        <v>11637.185028386</v>
      </c>
      <c r="F279">
        <v>16642.899000442401</v>
      </c>
      <c r="G279">
        <v>15596.2134103386</v>
      </c>
      <c r="H279">
        <v>28110.666888846899</v>
      </c>
      <c r="I279">
        <v>17845.932018835199</v>
      </c>
      <c r="J279">
        <v>1417.7645498480399</v>
      </c>
      <c r="K279">
        <v>2061.5884261024598</v>
      </c>
      <c r="L279">
        <v>737.14357572119002</v>
      </c>
      <c r="M279">
        <v>14313.167167579701</v>
      </c>
      <c r="N279">
        <v>5922.6394280491704</v>
      </c>
      <c r="O279">
        <v>771.64545744438396</v>
      </c>
      <c r="P279">
        <v>2522.1100262755399</v>
      </c>
      <c r="Q279">
        <v>12530.332943846701</v>
      </c>
      <c r="R279">
        <v>938.15391332028901</v>
      </c>
      <c r="S279">
        <v>228.54188224979299</v>
      </c>
      <c r="T279">
        <v>669.24283030593995</v>
      </c>
      <c r="U279">
        <v>166.61601282367101</v>
      </c>
      <c r="V279">
        <v>560.89042276290695</v>
      </c>
      <c r="W279">
        <v>129.44923069103299</v>
      </c>
      <c r="X279">
        <v>252.723972143244</v>
      </c>
      <c r="Y279">
        <v>612.45515392182801</v>
      </c>
      <c r="Z279">
        <v>155.79163537532401</v>
      </c>
      <c r="AA279">
        <v>644.66305554957705</v>
      </c>
      <c r="AB279">
        <v>648.91800889509204</v>
      </c>
      <c r="AC279">
        <v>476.09851557822702</v>
      </c>
      <c r="AD279">
        <v>622.46923383280603</v>
      </c>
      <c r="AE279">
        <v>167.49502365216199</v>
      </c>
      <c r="AF279">
        <v>689.52082842204197</v>
      </c>
      <c r="AG279">
        <v>652.54573314351603</v>
      </c>
    </row>
    <row r="280" spans="1:33" x14ac:dyDescent="0.25">
      <c r="A280" s="1">
        <v>44331</v>
      </c>
      <c r="B280">
        <v>10762.1392604428</v>
      </c>
      <c r="C280">
        <v>12545.770631859499</v>
      </c>
      <c r="D280">
        <v>10309.3208447543</v>
      </c>
      <c r="E280">
        <v>11791.281083592001</v>
      </c>
      <c r="F280">
        <v>16524.9131513057</v>
      </c>
      <c r="G280">
        <v>15210.043720478099</v>
      </c>
      <c r="H280">
        <v>27536.243721816099</v>
      </c>
      <c r="I280">
        <v>18183.989660253901</v>
      </c>
      <c r="J280">
        <v>1446.3435601840499</v>
      </c>
      <c r="K280">
        <v>2099.5375939114601</v>
      </c>
      <c r="L280">
        <v>755.02763627130696</v>
      </c>
      <c r="M280">
        <v>14063.8871287078</v>
      </c>
      <c r="N280">
        <v>5935.0152345238403</v>
      </c>
      <c r="O280">
        <v>748.05773059093201</v>
      </c>
      <c r="P280">
        <v>2524.3560587522902</v>
      </c>
      <c r="Q280">
        <v>12181.165017490501</v>
      </c>
      <c r="R280">
        <v>930.18755327154702</v>
      </c>
      <c r="S280">
        <v>234.146933802729</v>
      </c>
      <c r="T280">
        <v>672.40052460847505</v>
      </c>
      <c r="U280">
        <v>166.04209350934499</v>
      </c>
      <c r="V280">
        <v>590.99945460106096</v>
      </c>
      <c r="W280">
        <v>125.22132914302399</v>
      </c>
      <c r="X280">
        <v>254.75154277385701</v>
      </c>
      <c r="Y280">
        <v>590.45932116686095</v>
      </c>
      <c r="Z280">
        <v>156.10284332959</v>
      </c>
      <c r="AA280">
        <v>640.00032236386198</v>
      </c>
      <c r="AB280">
        <v>630.56570597385303</v>
      </c>
      <c r="AC280">
        <v>437.04602140897401</v>
      </c>
      <c r="AD280">
        <v>634.15433986330595</v>
      </c>
      <c r="AE280">
        <v>168.24991644956501</v>
      </c>
      <c r="AF280">
        <v>680.09258040593295</v>
      </c>
      <c r="AG280">
        <v>654.48780647233104</v>
      </c>
    </row>
    <row r="281" spans="1:33" x14ac:dyDescent="0.25">
      <c r="A281" s="1">
        <v>44332</v>
      </c>
      <c r="B281">
        <v>10936.4642563574</v>
      </c>
      <c r="C281">
        <v>12047.2062277968</v>
      </c>
      <c r="D281">
        <v>10752.35586851</v>
      </c>
      <c r="E281">
        <v>11920.1721282868</v>
      </c>
      <c r="F281">
        <v>16254.4670045324</v>
      </c>
      <c r="G281">
        <v>15450.5260223597</v>
      </c>
      <c r="H281">
        <v>28046.052385235002</v>
      </c>
      <c r="I281">
        <v>18502.524928227602</v>
      </c>
      <c r="J281">
        <v>1474.35898080374</v>
      </c>
      <c r="K281">
        <v>2110.1705740676498</v>
      </c>
      <c r="L281">
        <v>753.47314989064705</v>
      </c>
      <c r="M281">
        <v>13996.6661067231</v>
      </c>
      <c r="N281">
        <v>5748.13882841131</v>
      </c>
      <c r="O281">
        <v>786.53580564545598</v>
      </c>
      <c r="P281">
        <v>2503.1580401562501</v>
      </c>
      <c r="Q281">
        <v>12139.6629397865</v>
      </c>
      <c r="R281">
        <v>989.10443044883004</v>
      </c>
      <c r="S281">
        <v>238.12772262662699</v>
      </c>
      <c r="T281">
        <v>663.35396109214901</v>
      </c>
      <c r="U281">
        <v>165.30969349271999</v>
      </c>
      <c r="V281">
        <v>542.44454986611402</v>
      </c>
      <c r="W281">
        <v>124.494290789262</v>
      </c>
      <c r="X281">
        <v>235.622150042409</v>
      </c>
      <c r="Y281">
        <v>578.48443312779705</v>
      </c>
      <c r="Z281">
        <v>156.748387703449</v>
      </c>
      <c r="AA281">
        <v>641.39614027765901</v>
      </c>
      <c r="AB281">
        <v>620.46977919217898</v>
      </c>
      <c r="AC281">
        <v>393.59860597949103</v>
      </c>
      <c r="AD281">
        <v>643.38292343680803</v>
      </c>
      <c r="AE281">
        <v>183.24562222035101</v>
      </c>
      <c r="AF281">
        <v>667.42158216191297</v>
      </c>
      <c r="AG281">
        <v>656.40483496086904</v>
      </c>
    </row>
    <row r="282" spans="1:33" x14ac:dyDescent="0.25">
      <c r="A282" s="1">
        <v>44333</v>
      </c>
      <c r="B282">
        <v>11072.0312908178</v>
      </c>
      <c r="C282">
        <v>12115.954048355799</v>
      </c>
      <c r="D282">
        <v>11142.779320302199</v>
      </c>
      <c r="E282">
        <v>11999.6137702697</v>
      </c>
      <c r="F282">
        <v>15959.781874419299</v>
      </c>
      <c r="G282">
        <v>14754.1139008808</v>
      </c>
      <c r="H282">
        <v>27359.222304290801</v>
      </c>
      <c r="I282">
        <v>18667.550509677301</v>
      </c>
      <c r="J282">
        <v>1485.18586523107</v>
      </c>
      <c r="K282">
        <v>2033.2751964326901</v>
      </c>
      <c r="L282">
        <v>753.24575636753605</v>
      </c>
      <c r="M282">
        <v>13450.564752212</v>
      </c>
      <c r="N282">
        <v>5464.2760822555401</v>
      </c>
      <c r="O282">
        <v>796.71443734816296</v>
      </c>
      <c r="P282">
        <v>2364.96474702656</v>
      </c>
      <c r="Q282">
        <v>11634.6378727271</v>
      </c>
      <c r="R282">
        <v>982.724694107917</v>
      </c>
      <c r="S282">
        <v>246.810160935661</v>
      </c>
      <c r="T282">
        <v>598.85189522167104</v>
      </c>
      <c r="U282">
        <v>164.742919664553</v>
      </c>
      <c r="V282">
        <v>450.76190385988502</v>
      </c>
      <c r="W282">
        <v>123.50422759758101</v>
      </c>
      <c r="X282">
        <v>193.179216327706</v>
      </c>
      <c r="Y282">
        <v>563.45407789757701</v>
      </c>
      <c r="Z282">
        <v>156.496993918172</v>
      </c>
      <c r="AA282">
        <v>642.650771200902</v>
      </c>
      <c r="AB282">
        <v>608.67302554981302</v>
      </c>
      <c r="AC282">
        <v>374.16938899559102</v>
      </c>
      <c r="AD282">
        <v>638.67282959368595</v>
      </c>
      <c r="AE282">
        <v>169.75785567891</v>
      </c>
      <c r="AF282">
        <v>647.83509876534094</v>
      </c>
      <c r="AG282">
        <v>658.58826683078996</v>
      </c>
    </row>
    <row r="283" spans="1:33" x14ac:dyDescent="0.25">
      <c r="A283" s="1">
        <v>44334</v>
      </c>
      <c r="B283">
        <v>11227.5179815764</v>
      </c>
      <c r="C283">
        <v>11896.6565578224</v>
      </c>
      <c r="D283">
        <v>11444.8179845582</v>
      </c>
      <c r="E283">
        <v>11861.6260089522</v>
      </c>
      <c r="F283">
        <v>15059.333135627399</v>
      </c>
      <c r="G283">
        <v>13855.584868983</v>
      </c>
      <c r="H283">
        <v>26508.409882942498</v>
      </c>
      <c r="I283">
        <v>18836.742184338302</v>
      </c>
      <c r="J283">
        <v>1494.8197408001699</v>
      </c>
      <c r="K283">
        <v>1930.0309428313101</v>
      </c>
      <c r="L283">
        <v>754.16980599700003</v>
      </c>
      <c r="M283">
        <v>12711.525872116301</v>
      </c>
      <c r="N283">
        <v>4654.9643992275996</v>
      </c>
      <c r="O283">
        <v>727.79694915134405</v>
      </c>
      <c r="P283">
        <v>2193.6531464537702</v>
      </c>
      <c r="Q283">
        <v>10779.3166556335</v>
      </c>
      <c r="R283">
        <v>915.77741950068605</v>
      </c>
      <c r="S283">
        <v>249.04296844357501</v>
      </c>
      <c r="T283">
        <v>462.30472361798599</v>
      </c>
      <c r="U283">
        <v>164.794922912939</v>
      </c>
      <c r="V283">
        <v>297.91308898242698</v>
      </c>
      <c r="W283">
        <v>121.256073289349</v>
      </c>
      <c r="X283">
        <v>145.98285214097299</v>
      </c>
      <c r="Y283">
        <v>559.211999312844</v>
      </c>
      <c r="Z283">
        <v>156.45123220418</v>
      </c>
      <c r="AA283">
        <v>641.59514261602999</v>
      </c>
      <c r="AB283">
        <v>607.49697378128803</v>
      </c>
      <c r="AC283">
        <v>366.17594116136399</v>
      </c>
      <c r="AD283">
        <v>629.87068304510296</v>
      </c>
      <c r="AE283">
        <v>197.161573894708</v>
      </c>
      <c r="AF283">
        <v>622.47607653799196</v>
      </c>
      <c r="AG283">
        <v>661.91419398717403</v>
      </c>
    </row>
    <row r="284" spans="1:33" x14ac:dyDescent="0.25">
      <c r="A284" s="1">
        <v>44335</v>
      </c>
      <c r="B284">
        <v>11356.5076480185</v>
      </c>
      <c r="C284">
        <v>11091.2482244973</v>
      </c>
      <c r="D284">
        <v>11652.9485222083</v>
      </c>
      <c r="E284">
        <v>11954.548056159199</v>
      </c>
      <c r="F284">
        <v>14484.6787535041</v>
      </c>
      <c r="G284">
        <v>13560.072995746999</v>
      </c>
      <c r="H284">
        <v>26794.526110626099</v>
      </c>
      <c r="I284">
        <v>18888.953366048299</v>
      </c>
      <c r="J284">
        <v>1590.1351637425901</v>
      </c>
      <c r="K284">
        <v>1875.4650057464301</v>
      </c>
      <c r="L284">
        <v>779.34883672768899</v>
      </c>
      <c r="M284">
        <v>12441.140925370501</v>
      </c>
      <c r="N284">
        <v>4395.4636000827904</v>
      </c>
      <c r="O284">
        <v>737.48071134914096</v>
      </c>
      <c r="P284">
        <v>2134.5099221683099</v>
      </c>
      <c r="Q284">
        <v>10516.1191663311</v>
      </c>
      <c r="R284">
        <v>892.27020458114202</v>
      </c>
      <c r="S284">
        <v>260.56605937219899</v>
      </c>
      <c r="T284">
        <v>418.83777697189601</v>
      </c>
      <c r="U284">
        <v>164.50228814162901</v>
      </c>
      <c r="V284">
        <v>295.09618566696901</v>
      </c>
      <c r="W284">
        <v>120.23108335033101</v>
      </c>
      <c r="X284">
        <v>159.75933701025099</v>
      </c>
      <c r="Y284">
        <v>555.43035654733399</v>
      </c>
      <c r="Z284">
        <v>156.901342551086</v>
      </c>
      <c r="AA284">
        <v>641.28211215190299</v>
      </c>
      <c r="AB284">
        <v>614.025735618824</v>
      </c>
      <c r="AC284">
        <v>364.41802600845102</v>
      </c>
      <c r="AD284">
        <v>634.75355647189804</v>
      </c>
      <c r="AE284">
        <v>179.86664330205201</v>
      </c>
      <c r="AF284">
        <v>598.01952458982203</v>
      </c>
      <c r="AG284">
        <v>666.12941641276404</v>
      </c>
    </row>
    <row r="285" spans="1:33" x14ac:dyDescent="0.25">
      <c r="A285" s="1">
        <v>44336</v>
      </c>
      <c r="B285">
        <v>11486.6907426821</v>
      </c>
      <c r="C285">
        <v>10667.030547831801</v>
      </c>
      <c r="D285">
        <v>11745.333834929999</v>
      </c>
      <c r="E285">
        <v>11822.179880809799</v>
      </c>
      <c r="F285">
        <v>13817.921429252099</v>
      </c>
      <c r="G285">
        <v>12375.2757122861</v>
      </c>
      <c r="H285">
        <v>25112.386362375299</v>
      </c>
      <c r="I285">
        <v>18610.263689632498</v>
      </c>
      <c r="J285">
        <v>1628.7452128104601</v>
      </c>
      <c r="K285">
        <v>1650.15924989779</v>
      </c>
      <c r="L285">
        <v>823.01623853727199</v>
      </c>
      <c r="M285">
        <v>10954.7625247533</v>
      </c>
      <c r="N285">
        <v>3014.7063531455701</v>
      </c>
      <c r="O285">
        <v>692.31736598568102</v>
      </c>
      <c r="P285">
        <v>1833.96265033861</v>
      </c>
      <c r="Q285">
        <v>9146.6763594458807</v>
      </c>
      <c r="R285">
        <v>786.72240688205602</v>
      </c>
      <c r="S285">
        <v>261.11675607847798</v>
      </c>
      <c r="T285">
        <v>321.34499094814402</v>
      </c>
      <c r="U285">
        <v>164.48672330232401</v>
      </c>
      <c r="V285">
        <v>201.76225977406901</v>
      </c>
      <c r="W285">
        <v>118.415553102091</v>
      </c>
      <c r="X285">
        <v>141.88100097253201</v>
      </c>
      <c r="Y285">
        <v>513.677403536155</v>
      </c>
      <c r="Z285">
        <v>156.33314029200301</v>
      </c>
      <c r="AA285">
        <v>641.01961574565098</v>
      </c>
      <c r="AB285">
        <v>595.60077794869801</v>
      </c>
      <c r="AC285">
        <v>364.88220483389</v>
      </c>
      <c r="AD285">
        <v>623.22216001093295</v>
      </c>
      <c r="AE285">
        <v>183.26432591525599</v>
      </c>
      <c r="AF285">
        <v>573.58136872583896</v>
      </c>
      <c r="AG285">
        <v>670.75341986904698</v>
      </c>
    </row>
    <row r="286" spans="1:33" x14ac:dyDescent="0.25">
      <c r="A286" s="1">
        <v>44337</v>
      </c>
      <c r="B286">
        <v>11695.277874981401</v>
      </c>
      <c r="C286">
        <v>9537.5137484536899</v>
      </c>
      <c r="D286">
        <v>11660.1437434991</v>
      </c>
      <c r="E286">
        <v>12052.2465955608</v>
      </c>
      <c r="F286">
        <v>12913.979174931899</v>
      </c>
      <c r="G286">
        <v>12211.2170134852</v>
      </c>
      <c r="H286">
        <v>24339.156241000201</v>
      </c>
      <c r="I286">
        <v>17741.235663689102</v>
      </c>
      <c r="J286">
        <v>1625.14564411526</v>
      </c>
      <c r="K286">
        <v>1528.0974112476599</v>
      </c>
      <c r="L286">
        <v>731.94833558677703</v>
      </c>
      <c r="M286">
        <v>10550.115996865599</v>
      </c>
      <c r="N286">
        <v>2279.5788969375999</v>
      </c>
      <c r="O286">
        <v>666.39340768849604</v>
      </c>
      <c r="P286">
        <v>1701.9764599612699</v>
      </c>
      <c r="Q286">
        <v>8589.5531015447104</v>
      </c>
      <c r="R286">
        <v>739.442762585477</v>
      </c>
      <c r="S286">
        <v>263.23866828192303</v>
      </c>
      <c r="T286">
        <v>268.42222266098599</v>
      </c>
      <c r="U286">
        <v>164.42689623208199</v>
      </c>
      <c r="V286">
        <v>189.62537120583499</v>
      </c>
      <c r="W286">
        <v>115.082627804781</v>
      </c>
      <c r="X286">
        <v>135.64085637381399</v>
      </c>
      <c r="Y286">
        <v>518.71653259540301</v>
      </c>
      <c r="Z286">
        <v>156.36378190131001</v>
      </c>
      <c r="AA286">
        <v>640.11772268483401</v>
      </c>
      <c r="AB286">
        <v>600.69467100955603</v>
      </c>
      <c r="AC286">
        <v>372.19957567143302</v>
      </c>
      <c r="AD286">
        <v>622.47164463207605</v>
      </c>
      <c r="AE286">
        <v>191.30167379438001</v>
      </c>
      <c r="AF286">
        <v>557.12514711592405</v>
      </c>
      <c r="AG286">
        <v>675.12130105020401</v>
      </c>
    </row>
    <row r="287" spans="1:33" x14ac:dyDescent="0.25">
      <c r="A287" s="1">
        <v>44338</v>
      </c>
      <c r="B287">
        <v>12018.697008875501</v>
      </c>
      <c r="C287">
        <v>8680.8655045408104</v>
      </c>
      <c r="D287">
        <v>11477.300124105899</v>
      </c>
      <c r="E287">
        <v>12416.4950650956</v>
      </c>
      <c r="F287">
        <v>13164.884192111</v>
      </c>
      <c r="G287">
        <v>12800.009556400801</v>
      </c>
      <c r="H287">
        <v>25185.862834240001</v>
      </c>
      <c r="I287">
        <v>17055.336459700698</v>
      </c>
      <c r="J287">
        <v>1604.8876717097501</v>
      </c>
      <c r="K287">
        <v>1537.1557340866</v>
      </c>
      <c r="L287">
        <v>715.50655477895396</v>
      </c>
      <c r="M287">
        <v>11211.185196759499</v>
      </c>
      <c r="N287">
        <v>2815.9679647928301</v>
      </c>
      <c r="O287">
        <v>689.86463171068795</v>
      </c>
      <c r="P287">
        <v>1775.30052086675</v>
      </c>
      <c r="Q287">
        <v>9215.5126304919704</v>
      </c>
      <c r="R287">
        <v>765.15790273576204</v>
      </c>
      <c r="S287">
        <v>266.82633911128499</v>
      </c>
      <c r="T287">
        <v>273.24688291359399</v>
      </c>
      <c r="U287">
        <v>164.17447165476801</v>
      </c>
      <c r="V287">
        <v>236.493562888779</v>
      </c>
      <c r="W287">
        <v>111.672719610898</v>
      </c>
      <c r="X287">
        <v>143.75874680838299</v>
      </c>
      <c r="Y287">
        <v>555.66356727687196</v>
      </c>
      <c r="Z287">
        <v>156.47986674206101</v>
      </c>
      <c r="AA287">
        <v>639.07598384789196</v>
      </c>
      <c r="AB287">
        <v>640.93282872423197</v>
      </c>
      <c r="AC287">
        <v>375.23118324896501</v>
      </c>
      <c r="AD287">
        <v>618.43464284965296</v>
      </c>
      <c r="AE287">
        <v>214.26098465686101</v>
      </c>
      <c r="AF287">
        <v>545.45223562802505</v>
      </c>
      <c r="AG287">
        <v>676.85043573158305</v>
      </c>
    </row>
    <row r="288" spans="1:33" x14ac:dyDescent="0.25">
      <c r="A288" s="1">
        <v>44339</v>
      </c>
      <c r="B288">
        <v>12328.823695552001</v>
      </c>
      <c r="C288">
        <v>8953.7128072133</v>
      </c>
      <c r="D288">
        <v>11150.733560819101</v>
      </c>
      <c r="E288">
        <v>12646.4935673169</v>
      </c>
      <c r="F288">
        <v>13765.552321630899</v>
      </c>
      <c r="G288">
        <v>13489.7315669322</v>
      </c>
      <c r="H288">
        <v>26114.907209233301</v>
      </c>
      <c r="I288">
        <v>16897.115592559701</v>
      </c>
      <c r="J288">
        <v>1584.96636489714</v>
      </c>
      <c r="K288">
        <v>1596.60697211967</v>
      </c>
      <c r="L288">
        <v>746.39483663280203</v>
      </c>
      <c r="M288">
        <v>11881.3657974087</v>
      </c>
      <c r="N288">
        <v>3322.6984753526699</v>
      </c>
      <c r="O288">
        <v>722.58250707861896</v>
      </c>
      <c r="P288">
        <v>1869.1126699978299</v>
      </c>
      <c r="Q288">
        <v>9830.5099170443391</v>
      </c>
      <c r="R288">
        <v>809.97015433757804</v>
      </c>
      <c r="S288">
        <v>269.39200856445001</v>
      </c>
      <c r="T288">
        <v>304.77669443193798</v>
      </c>
      <c r="U288">
        <v>164.05017302688901</v>
      </c>
      <c r="V288">
        <v>274.491828835283</v>
      </c>
      <c r="W288">
        <v>125.69948549854</v>
      </c>
      <c r="X288">
        <v>156.197664640856</v>
      </c>
      <c r="Y288">
        <v>588.36043326137701</v>
      </c>
      <c r="Z288">
        <v>156.03102378720601</v>
      </c>
      <c r="AA288">
        <v>637.51864755987901</v>
      </c>
      <c r="AB288">
        <v>669.71504496355305</v>
      </c>
      <c r="AC288">
        <v>365.49441360384702</v>
      </c>
      <c r="AD288">
        <v>628.42023964944894</v>
      </c>
      <c r="AE288">
        <v>203.37742806304499</v>
      </c>
      <c r="AF288">
        <v>542.64896425867096</v>
      </c>
      <c r="AG288">
        <v>676.20318325359005</v>
      </c>
    </row>
    <row r="289" spans="1:33" x14ac:dyDescent="0.25">
      <c r="A289" s="1">
        <v>44340</v>
      </c>
      <c r="B289">
        <v>12458.815680742</v>
      </c>
      <c r="C289">
        <v>9474.5595389529208</v>
      </c>
      <c r="D289">
        <v>10633.148314165999</v>
      </c>
      <c r="E289">
        <v>12698.800509815501</v>
      </c>
      <c r="F289">
        <v>14202.6339775455</v>
      </c>
      <c r="G289">
        <v>13821.3746748209</v>
      </c>
      <c r="H289">
        <v>26084.002789757698</v>
      </c>
      <c r="I289">
        <v>17021.4657222143</v>
      </c>
      <c r="J289">
        <v>1573.2573325814899</v>
      </c>
      <c r="K289">
        <v>1636.3443479063901</v>
      </c>
      <c r="L289">
        <v>771.00093846136701</v>
      </c>
      <c r="M289">
        <v>12037.5020863476</v>
      </c>
      <c r="N289">
        <v>3532.4203834824498</v>
      </c>
      <c r="O289">
        <v>736.59972444857101</v>
      </c>
      <c r="P289">
        <v>1884.71636279052</v>
      </c>
      <c r="Q289">
        <v>10111.6187456801</v>
      </c>
      <c r="R289">
        <v>830.10222318582498</v>
      </c>
      <c r="S289">
        <v>268.99858429115102</v>
      </c>
      <c r="T289">
        <v>329.39454862165798</v>
      </c>
      <c r="U289">
        <v>164.164255438217</v>
      </c>
      <c r="V289">
        <v>305.232475199232</v>
      </c>
      <c r="W289">
        <v>129.65732430454199</v>
      </c>
      <c r="X289">
        <v>162.79428487842799</v>
      </c>
      <c r="Y289">
        <v>591.78656022357802</v>
      </c>
      <c r="Z289">
        <v>154.53825080695299</v>
      </c>
      <c r="AA289">
        <v>637.24993778663304</v>
      </c>
      <c r="AB289">
        <v>673.27022818922103</v>
      </c>
      <c r="AC289">
        <v>340.18367298860397</v>
      </c>
      <c r="AD289">
        <v>640.41120087757201</v>
      </c>
      <c r="AE289">
        <v>210.336862375615</v>
      </c>
      <c r="AF289">
        <v>539.54602370015596</v>
      </c>
      <c r="AG289">
        <v>673.54034622914503</v>
      </c>
    </row>
    <row r="290" spans="1:33" x14ac:dyDescent="0.25">
      <c r="A290" s="1">
        <v>44341</v>
      </c>
      <c r="B290">
        <v>12496.3032054343</v>
      </c>
      <c r="C290">
        <v>9786.61364546816</v>
      </c>
      <c r="D290">
        <v>10342.1138799705</v>
      </c>
      <c r="E290">
        <v>12753.9829227135</v>
      </c>
      <c r="F290">
        <v>14678.976499627501</v>
      </c>
      <c r="G290">
        <v>14334.615384205001</v>
      </c>
      <c r="H290">
        <v>26623.8516324462</v>
      </c>
      <c r="I290">
        <v>17238.960611166702</v>
      </c>
      <c r="J290">
        <v>1591.1768083552099</v>
      </c>
      <c r="K290">
        <v>1717.0874902442999</v>
      </c>
      <c r="L290">
        <v>802.52025632733501</v>
      </c>
      <c r="M290">
        <v>12744.7496528096</v>
      </c>
      <c r="N290">
        <v>4013.3238899258699</v>
      </c>
      <c r="O290">
        <v>779.27351008155904</v>
      </c>
      <c r="P290">
        <v>1983.0970339155399</v>
      </c>
      <c r="Q290">
        <v>10812.128358960599</v>
      </c>
      <c r="R290">
        <v>875.99032338085397</v>
      </c>
      <c r="S290">
        <v>266.84635217307698</v>
      </c>
      <c r="T290">
        <v>408.999419357254</v>
      </c>
      <c r="U290">
        <v>163.667740809322</v>
      </c>
      <c r="V290">
        <v>381.81095260090501</v>
      </c>
      <c r="W290">
        <v>124.371735236844</v>
      </c>
      <c r="X290">
        <v>202.498390281783</v>
      </c>
      <c r="Y290">
        <v>620.49809181261503</v>
      </c>
      <c r="Z290">
        <v>152.389255627925</v>
      </c>
      <c r="AA290">
        <v>639.42861587474101</v>
      </c>
      <c r="AB290">
        <v>690.73205346124905</v>
      </c>
      <c r="AC290">
        <v>327.89763769434899</v>
      </c>
      <c r="AD290">
        <v>663.64285164656496</v>
      </c>
      <c r="AE290">
        <v>228.979447438275</v>
      </c>
      <c r="AF290">
        <v>538.24716773277805</v>
      </c>
      <c r="AG290">
        <v>669.56878781476405</v>
      </c>
    </row>
    <row r="291" spans="1:33" x14ac:dyDescent="0.25">
      <c r="A291" s="1">
        <v>44342</v>
      </c>
      <c r="B291">
        <v>12467.8065459233</v>
      </c>
      <c r="C291">
        <v>10210.0785633264</v>
      </c>
      <c r="D291">
        <v>10333.612683822699</v>
      </c>
      <c r="E291">
        <v>12803.290014881801</v>
      </c>
      <c r="F291">
        <v>15099.609895097599</v>
      </c>
      <c r="G291">
        <v>14690.7062119497</v>
      </c>
      <c r="H291">
        <v>26549.785750459901</v>
      </c>
      <c r="I291">
        <v>17580.355646070901</v>
      </c>
      <c r="J291">
        <v>1594.2471367051801</v>
      </c>
      <c r="K291">
        <v>1803.33113294292</v>
      </c>
      <c r="L291">
        <v>816.266659995758</v>
      </c>
      <c r="M291">
        <v>12921.724919144999</v>
      </c>
      <c r="N291">
        <v>4479.02709889791</v>
      </c>
      <c r="O291">
        <v>779.97837141498803</v>
      </c>
      <c r="P291">
        <v>2137.8378323298698</v>
      </c>
      <c r="Q291">
        <v>11088.7833959667</v>
      </c>
      <c r="R291">
        <v>892.27118163037903</v>
      </c>
      <c r="S291">
        <v>263.69235218721701</v>
      </c>
      <c r="T291">
        <v>472.96722642810698</v>
      </c>
      <c r="U291">
        <v>163.567400136847</v>
      </c>
      <c r="V291">
        <v>455.477318568599</v>
      </c>
      <c r="W291">
        <v>124.244179121838</v>
      </c>
      <c r="X291">
        <v>239.55084080154001</v>
      </c>
      <c r="Y291">
        <v>628.78511416705101</v>
      </c>
      <c r="Z291">
        <v>150.36611157138501</v>
      </c>
      <c r="AA291">
        <v>642.02174129225398</v>
      </c>
      <c r="AB291">
        <v>700.86528115188298</v>
      </c>
      <c r="AC291">
        <v>320.86995351097403</v>
      </c>
      <c r="AD291">
        <v>680.39488379520003</v>
      </c>
      <c r="AE291">
        <v>229.033727500113</v>
      </c>
      <c r="AF291">
        <v>538.46732788653105</v>
      </c>
      <c r="AG291">
        <v>666.84997285068096</v>
      </c>
    </row>
    <row r="292" spans="1:33" x14ac:dyDescent="0.25">
      <c r="A292" s="1">
        <v>44343</v>
      </c>
      <c r="B292">
        <v>12368.465415725501</v>
      </c>
      <c r="C292">
        <v>10655.052963779701</v>
      </c>
      <c r="D292">
        <v>10420.6142317053</v>
      </c>
      <c r="E292">
        <v>12900.480671168099</v>
      </c>
      <c r="F292">
        <v>15469.9078695032</v>
      </c>
      <c r="G292">
        <v>15370.341050605</v>
      </c>
      <c r="H292">
        <v>27480.315669028001</v>
      </c>
      <c r="I292">
        <v>17847.0735221676</v>
      </c>
      <c r="J292">
        <v>1615.6519898076001</v>
      </c>
      <c r="K292">
        <v>1945.81105692188</v>
      </c>
      <c r="L292">
        <v>839.70651052748497</v>
      </c>
      <c r="M292">
        <v>13649.088361989699</v>
      </c>
      <c r="N292">
        <v>5094.5057488677503</v>
      </c>
      <c r="O292">
        <v>824.78860032164005</v>
      </c>
      <c r="P292">
        <v>2323.6129122930301</v>
      </c>
      <c r="Q292">
        <v>11782.9303800417</v>
      </c>
      <c r="R292">
        <v>953.49111557885703</v>
      </c>
      <c r="S292">
        <v>259.98887804806702</v>
      </c>
      <c r="T292">
        <v>603.20883446435903</v>
      </c>
      <c r="U292">
        <v>163.03575748613201</v>
      </c>
      <c r="V292">
        <v>575.05527884279297</v>
      </c>
      <c r="W292">
        <v>124.277907911748</v>
      </c>
      <c r="X292">
        <v>300.83070293691799</v>
      </c>
      <c r="Y292">
        <v>679.33232967210404</v>
      </c>
      <c r="Z292">
        <v>149.46482870101701</v>
      </c>
      <c r="AA292">
        <v>645.40842646887802</v>
      </c>
      <c r="AB292">
        <v>728.86355544512003</v>
      </c>
      <c r="AC292">
        <v>323.00375858194298</v>
      </c>
      <c r="AD292">
        <v>707.21607877612701</v>
      </c>
      <c r="AE292">
        <v>220.98259425132801</v>
      </c>
      <c r="AF292">
        <v>539.63255107668101</v>
      </c>
      <c r="AG292">
        <v>667.36049425099395</v>
      </c>
    </row>
    <row r="293" spans="1:33" x14ac:dyDescent="0.25">
      <c r="A293" s="1">
        <v>44344</v>
      </c>
      <c r="B293">
        <v>12341.2549205289</v>
      </c>
      <c r="C293">
        <v>11373.243617264199</v>
      </c>
      <c r="D293">
        <v>10553.1101530993</v>
      </c>
      <c r="E293">
        <v>13093.6574139897</v>
      </c>
      <c r="F293">
        <v>16019.233231935599</v>
      </c>
      <c r="G293">
        <v>15987.4689779904</v>
      </c>
      <c r="H293">
        <v>27746.8633321288</v>
      </c>
      <c r="I293">
        <v>18204.712661368099</v>
      </c>
      <c r="J293">
        <v>1654.3546129307499</v>
      </c>
      <c r="K293">
        <v>2106.03285098991</v>
      </c>
      <c r="L293">
        <v>874.95592966438505</v>
      </c>
      <c r="M293">
        <v>14280.3013151631</v>
      </c>
      <c r="N293">
        <v>5628.2283308994602</v>
      </c>
      <c r="O293">
        <v>877.65753010819196</v>
      </c>
      <c r="P293">
        <v>2541.2842803480398</v>
      </c>
      <c r="Q293">
        <v>12326.4564322101</v>
      </c>
      <c r="R293">
        <v>1029.6401425295801</v>
      </c>
      <c r="S293">
        <v>256.52217443534602</v>
      </c>
      <c r="T293">
        <v>746.65482457845098</v>
      </c>
      <c r="U293">
        <v>162.33707771076701</v>
      </c>
      <c r="V293">
        <v>677.70520731409999</v>
      </c>
      <c r="W293">
        <v>123.019882951342</v>
      </c>
      <c r="X293">
        <v>339.80787332039802</v>
      </c>
      <c r="Y293">
        <v>720.26962882537998</v>
      </c>
      <c r="Z293">
        <v>148.656463168691</v>
      </c>
      <c r="AA293">
        <v>649.16827482444398</v>
      </c>
      <c r="AB293">
        <v>753.06184222610898</v>
      </c>
      <c r="AC293">
        <v>320.87046495139401</v>
      </c>
      <c r="AD293">
        <v>735.36186474915303</v>
      </c>
      <c r="AE293">
        <v>227.65908378328601</v>
      </c>
      <c r="AF293">
        <v>537.53146758161802</v>
      </c>
      <c r="AG293">
        <v>671.06946779832799</v>
      </c>
    </row>
    <row r="294" spans="1:33" x14ac:dyDescent="0.25">
      <c r="A294" s="1">
        <v>44345</v>
      </c>
      <c r="B294">
        <v>12375.5920669115</v>
      </c>
      <c r="C294">
        <v>11806.0995885169</v>
      </c>
      <c r="D294">
        <v>10631.2228873392</v>
      </c>
      <c r="E294">
        <v>13154.044187736499</v>
      </c>
      <c r="F294">
        <v>16323.8971162297</v>
      </c>
      <c r="G294">
        <v>16090.6693050636</v>
      </c>
      <c r="H294">
        <v>27965.302938675799</v>
      </c>
      <c r="I294">
        <v>18485.118861247</v>
      </c>
      <c r="J294">
        <v>1689.6310042473699</v>
      </c>
      <c r="K294">
        <v>2214.2655628429102</v>
      </c>
      <c r="L294">
        <v>896.562903725718</v>
      </c>
      <c r="M294">
        <v>14538.14580212</v>
      </c>
      <c r="N294">
        <v>5861.8524588358296</v>
      </c>
      <c r="O294">
        <v>902.807506450696</v>
      </c>
      <c r="P294">
        <v>2681.0376521984499</v>
      </c>
      <c r="Q294">
        <v>12571.3556642616</v>
      </c>
      <c r="R294">
        <v>1065.46968365579</v>
      </c>
      <c r="S294">
        <v>254.21431752161999</v>
      </c>
      <c r="T294">
        <v>786.95997176322601</v>
      </c>
      <c r="U294">
        <v>161.382014204678</v>
      </c>
      <c r="V294">
        <v>728.42517920906698</v>
      </c>
      <c r="W294">
        <v>110.932978791057</v>
      </c>
      <c r="X294">
        <v>369.99006476388701</v>
      </c>
      <c r="Y294">
        <v>728.716435705143</v>
      </c>
      <c r="Z294">
        <v>148.18548324109099</v>
      </c>
      <c r="AA294">
        <v>652.540658069752</v>
      </c>
      <c r="AB294">
        <v>761.85542266647701</v>
      </c>
      <c r="AC294">
        <v>317.73900360121002</v>
      </c>
      <c r="AD294">
        <v>753.69723080537699</v>
      </c>
      <c r="AE294">
        <v>208.24727237729701</v>
      </c>
      <c r="AF294">
        <v>527.61393589387603</v>
      </c>
      <c r="AG294">
        <v>674.64304569218496</v>
      </c>
    </row>
    <row r="295" spans="1:33" x14ac:dyDescent="0.25">
      <c r="A295" s="1">
        <v>44346</v>
      </c>
      <c r="B295">
        <v>12377.418891903</v>
      </c>
      <c r="C295">
        <v>12189.262944988401</v>
      </c>
      <c r="D295">
        <v>10727.171623026001</v>
      </c>
      <c r="E295">
        <v>13043.176904322199</v>
      </c>
      <c r="F295">
        <v>16402.413158232801</v>
      </c>
      <c r="G295">
        <v>15582.962090151899</v>
      </c>
      <c r="H295">
        <v>27322.719189240899</v>
      </c>
      <c r="I295">
        <v>18650.9009264167</v>
      </c>
      <c r="J295">
        <v>1701.8531346132299</v>
      </c>
      <c r="K295">
        <v>2198.11508094599</v>
      </c>
      <c r="L295">
        <v>908.82209172581997</v>
      </c>
      <c r="M295">
        <v>14117.217241632001</v>
      </c>
      <c r="N295">
        <v>5693.9792108300298</v>
      </c>
      <c r="O295">
        <v>893.19239034082204</v>
      </c>
      <c r="P295">
        <v>2638.8791516547999</v>
      </c>
      <c r="Q295">
        <v>12063.5359030446</v>
      </c>
      <c r="R295">
        <v>1062.8004920087101</v>
      </c>
      <c r="S295">
        <v>253.122982159635</v>
      </c>
      <c r="T295">
        <v>704.02481964052004</v>
      </c>
      <c r="U295">
        <v>160.813744325063</v>
      </c>
      <c r="V295">
        <v>640.21213570067403</v>
      </c>
      <c r="W295">
        <v>117.721296896727</v>
      </c>
      <c r="X295">
        <v>298.67954528546301</v>
      </c>
      <c r="Y295">
        <v>726.28793764184297</v>
      </c>
      <c r="Z295">
        <v>148.108897107378</v>
      </c>
      <c r="AA295">
        <v>655.52733258922206</v>
      </c>
      <c r="AB295">
        <v>767.87921935950601</v>
      </c>
      <c r="AC295">
        <v>322.12519061995403</v>
      </c>
      <c r="AD295">
        <v>760.21090255948002</v>
      </c>
      <c r="AE295">
        <v>205.809016217189</v>
      </c>
      <c r="AF295">
        <v>516.01438487599398</v>
      </c>
      <c r="AG295">
        <v>678.20893445897502</v>
      </c>
    </row>
    <row r="296" spans="1:33" x14ac:dyDescent="0.25">
      <c r="A296" s="1">
        <v>44347</v>
      </c>
      <c r="B296">
        <v>12315.255565530601</v>
      </c>
      <c r="C296">
        <v>11742.305959199801</v>
      </c>
      <c r="D296">
        <v>10928.119907939201</v>
      </c>
      <c r="E296">
        <v>12995.092754596901</v>
      </c>
      <c r="F296">
        <v>16257.635660656801</v>
      </c>
      <c r="G296">
        <v>15597.494768176201</v>
      </c>
      <c r="H296">
        <v>27245.2666708951</v>
      </c>
      <c r="I296">
        <v>18778.1847605279</v>
      </c>
      <c r="J296">
        <v>1716.93130449771</v>
      </c>
      <c r="K296">
        <v>2217.8661970642302</v>
      </c>
      <c r="L296">
        <v>909.13165262354596</v>
      </c>
      <c r="M296">
        <v>13992.7010157928</v>
      </c>
      <c r="N296">
        <v>5362.6615676175597</v>
      </c>
      <c r="O296">
        <v>900.57715125131404</v>
      </c>
      <c r="P296">
        <v>2647.0091222942401</v>
      </c>
      <c r="Q296">
        <v>11951.181334736501</v>
      </c>
      <c r="R296">
        <v>1072.23263634051</v>
      </c>
      <c r="S296">
        <v>253.250150410157</v>
      </c>
      <c r="T296">
        <v>651.25007669387605</v>
      </c>
      <c r="U296">
        <v>161.31677958367899</v>
      </c>
      <c r="V296">
        <v>607.12148261579205</v>
      </c>
      <c r="W296">
        <v>131.24434048233101</v>
      </c>
      <c r="X296">
        <v>278.78899429531401</v>
      </c>
      <c r="Y296">
        <v>734.11188594062605</v>
      </c>
      <c r="Z296">
        <v>150.083564841493</v>
      </c>
      <c r="AA296">
        <v>657.93367629215004</v>
      </c>
      <c r="AB296">
        <v>774.61251868630598</v>
      </c>
      <c r="AC296">
        <v>335.08715476018398</v>
      </c>
      <c r="AD296">
        <v>767.121504870526</v>
      </c>
      <c r="AE296">
        <v>203.37736625244301</v>
      </c>
      <c r="AF296">
        <v>505.54218099565901</v>
      </c>
      <c r="AG296">
        <v>682.20251554513504</v>
      </c>
    </row>
    <row r="297" spans="1:33" x14ac:dyDescent="0.25">
      <c r="A297" s="1">
        <v>44348</v>
      </c>
      <c r="B297">
        <v>12328.954808918401</v>
      </c>
      <c r="C297">
        <v>11507.913528806799</v>
      </c>
      <c r="D297">
        <v>11167.051084708301</v>
      </c>
      <c r="E297">
        <v>13137.027259423699</v>
      </c>
      <c r="F297">
        <v>16661.5517170243</v>
      </c>
      <c r="G297">
        <v>16564.983489021699</v>
      </c>
      <c r="H297">
        <v>28860.450742685302</v>
      </c>
      <c r="I297">
        <v>18907.040783532</v>
      </c>
      <c r="J297">
        <v>1760.02716038676</v>
      </c>
      <c r="K297">
        <v>2331.4780495230302</v>
      </c>
      <c r="L297">
        <v>934.39003220372194</v>
      </c>
      <c r="M297">
        <v>14746.794594306</v>
      </c>
      <c r="N297">
        <v>5906.3756830499397</v>
      </c>
      <c r="O297">
        <v>991.421719917357</v>
      </c>
      <c r="P297">
        <v>2775.0397264901299</v>
      </c>
      <c r="Q297">
        <v>12920.371204327401</v>
      </c>
      <c r="R297">
        <v>1158.8777041881499</v>
      </c>
      <c r="S297">
        <v>254.53114963268399</v>
      </c>
      <c r="T297">
        <v>738.06298375901395</v>
      </c>
      <c r="U297">
        <v>160.577704236605</v>
      </c>
      <c r="V297">
        <v>716.24352743236204</v>
      </c>
      <c r="W297">
        <v>130.791932712923</v>
      </c>
      <c r="X297">
        <v>353.00783954090701</v>
      </c>
      <c r="Y297">
        <v>757.14377896600104</v>
      </c>
      <c r="Z297">
        <v>153.04599657945701</v>
      </c>
      <c r="AA297">
        <v>659.34425120886397</v>
      </c>
      <c r="AB297">
        <v>788.53904186176601</v>
      </c>
      <c r="AC297">
        <v>349.76835283622103</v>
      </c>
      <c r="AD297">
        <v>796.03195291526094</v>
      </c>
      <c r="AE297">
        <v>202.34642578342101</v>
      </c>
      <c r="AF297">
        <v>501.68444758087799</v>
      </c>
      <c r="AG297">
        <v>686.86399434283896</v>
      </c>
    </row>
    <row r="298" spans="1:33" x14ac:dyDescent="0.25">
      <c r="A298" s="1">
        <v>44349</v>
      </c>
      <c r="B298">
        <v>12488.800089357301</v>
      </c>
      <c r="C298">
        <v>11029.2924317367</v>
      </c>
      <c r="D298">
        <v>11420.3097065689</v>
      </c>
      <c r="E298">
        <v>13195.086545045</v>
      </c>
      <c r="F298">
        <v>16998.667842411902</v>
      </c>
      <c r="G298">
        <v>16142.3980260349</v>
      </c>
      <c r="H298">
        <v>28342.977643776601</v>
      </c>
      <c r="I298">
        <v>19094.0050542112</v>
      </c>
      <c r="J298">
        <v>1787.2868387124199</v>
      </c>
      <c r="K298">
        <v>2331.0420386721198</v>
      </c>
      <c r="L298">
        <v>954.11133086365498</v>
      </c>
      <c r="M298">
        <v>14404.6948712802</v>
      </c>
      <c r="N298">
        <v>5764.0844818841197</v>
      </c>
      <c r="O298">
        <v>1021.4424144949299</v>
      </c>
      <c r="P298">
        <v>2723.5799442478901</v>
      </c>
      <c r="Q298">
        <v>12755.9149820904</v>
      </c>
      <c r="R298">
        <v>1158.57638153577</v>
      </c>
      <c r="S298">
        <v>258.629272399721</v>
      </c>
      <c r="T298">
        <v>666.58065751729498</v>
      </c>
      <c r="U298">
        <v>159.51024245245699</v>
      </c>
      <c r="V298">
        <v>560.63549339553697</v>
      </c>
      <c r="W298">
        <v>127.055208675072</v>
      </c>
      <c r="X298">
        <v>249.12602762071899</v>
      </c>
      <c r="Y298">
        <v>751.81313476420598</v>
      </c>
      <c r="Z298">
        <v>153.784542834489</v>
      </c>
      <c r="AA298">
        <v>661.48739313155102</v>
      </c>
      <c r="AB298">
        <v>795.65978629581502</v>
      </c>
      <c r="AC298">
        <v>357.55788357116501</v>
      </c>
      <c r="AD298">
        <v>798.77033902774804</v>
      </c>
      <c r="AE298">
        <v>192.84186377548599</v>
      </c>
      <c r="AF298">
        <v>490.51859910826198</v>
      </c>
      <c r="AG298">
        <v>688.80101381564702</v>
      </c>
    </row>
    <row r="299" spans="1:33" x14ac:dyDescent="0.25">
      <c r="A299" s="1">
        <v>44350</v>
      </c>
      <c r="B299">
        <v>12792.781683515601</v>
      </c>
      <c r="C299">
        <v>11314.834473829</v>
      </c>
      <c r="D299">
        <v>11722.116447824499</v>
      </c>
      <c r="E299">
        <v>13454.453475890999</v>
      </c>
      <c r="F299">
        <v>16566.359763585799</v>
      </c>
      <c r="G299">
        <v>15821.1534791261</v>
      </c>
      <c r="H299">
        <v>27550.146220778501</v>
      </c>
      <c r="I299">
        <v>19301.132193706999</v>
      </c>
      <c r="J299">
        <v>1802.3919120319599</v>
      </c>
      <c r="K299">
        <v>2318.0276648425402</v>
      </c>
      <c r="L299">
        <v>956.65787383671795</v>
      </c>
      <c r="M299">
        <v>14180.8725269076</v>
      </c>
      <c r="N299">
        <v>5372.8183808018503</v>
      </c>
      <c r="O299">
        <v>1016.26776355075</v>
      </c>
      <c r="P299">
        <v>2701.8776723989599</v>
      </c>
      <c r="Q299">
        <v>12342.4673788691</v>
      </c>
      <c r="R299">
        <v>1142.64261167367</v>
      </c>
      <c r="S299">
        <v>263.73263207737102</v>
      </c>
      <c r="T299">
        <v>582.37879519894796</v>
      </c>
      <c r="U299">
        <v>159.56259597797501</v>
      </c>
      <c r="V299">
        <v>463.93964076638599</v>
      </c>
      <c r="W299">
        <v>126.570625272228</v>
      </c>
      <c r="X299">
        <v>241.912731909787</v>
      </c>
      <c r="Y299">
        <v>747.18987414396497</v>
      </c>
      <c r="Z299">
        <v>154.85744947730399</v>
      </c>
      <c r="AA299">
        <v>662.63258984143499</v>
      </c>
      <c r="AB299">
        <v>798.61517135049405</v>
      </c>
      <c r="AC299">
        <v>345.54998946894801</v>
      </c>
      <c r="AD299">
        <v>800.06031179535</v>
      </c>
      <c r="AE299">
        <v>176.053876346371</v>
      </c>
      <c r="AF299">
        <v>471.976391507058</v>
      </c>
      <c r="AG299">
        <v>686.60514488199397</v>
      </c>
    </row>
    <row r="300" spans="1:33" x14ac:dyDescent="0.25">
      <c r="A300" s="1">
        <v>44351</v>
      </c>
      <c r="B300">
        <v>13249.742194574999</v>
      </c>
      <c r="C300">
        <v>11505.296559962</v>
      </c>
      <c r="D300">
        <v>12066.5863219977</v>
      </c>
      <c r="E300">
        <v>13823.2685435033</v>
      </c>
      <c r="F300">
        <v>16450.246236904499</v>
      </c>
      <c r="G300">
        <v>16095.529563632799</v>
      </c>
      <c r="H300">
        <v>27847.265632671901</v>
      </c>
      <c r="I300">
        <v>19441.792491221298</v>
      </c>
      <c r="J300">
        <v>1845.80438672782</v>
      </c>
      <c r="K300">
        <v>2358.2774121238099</v>
      </c>
      <c r="L300">
        <v>975.28452737208704</v>
      </c>
      <c r="M300">
        <v>14462.7426544154</v>
      </c>
      <c r="N300">
        <v>5415.3727371039804</v>
      </c>
      <c r="O300">
        <v>1060.7599695663901</v>
      </c>
      <c r="P300">
        <v>2725.8760205077501</v>
      </c>
      <c r="Q300">
        <v>12455.303664741299</v>
      </c>
      <c r="R300">
        <v>1185.07596130561</v>
      </c>
      <c r="S300">
        <v>268.46307917886298</v>
      </c>
      <c r="T300">
        <v>590.99793005089202</v>
      </c>
      <c r="U300">
        <v>142.02547393270001</v>
      </c>
      <c r="V300">
        <v>565.44800029941996</v>
      </c>
      <c r="W300">
        <v>129.30500100993899</v>
      </c>
      <c r="X300">
        <v>285.78345332856202</v>
      </c>
      <c r="Y300">
        <v>760.52551368341801</v>
      </c>
      <c r="Z300">
        <v>156.617653481492</v>
      </c>
      <c r="AA300">
        <v>663.62094483546502</v>
      </c>
      <c r="AB300">
        <v>810.86868705168604</v>
      </c>
      <c r="AC300">
        <v>328.06785358928403</v>
      </c>
      <c r="AD300">
        <v>820.39752240973303</v>
      </c>
      <c r="AE300">
        <v>155.88764556873301</v>
      </c>
      <c r="AF300">
        <v>457.61058299128899</v>
      </c>
      <c r="AG300">
        <v>683.54253076496798</v>
      </c>
    </row>
    <row r="301" spans="1:33" x14ac:dyDescent="0.25">
      <c r="A301" s="1">
        <v>44352</v>
      </c>
      <c r="B301">
        <v>13773.4587440265</v>
      </c>
      <c r="C301">
        <v>11726.025038944799</v>
      </c>
      <c r="D301">
        <v>12404.0530461952</v>
      </c>
      <c r="E301">
        <v>14210.391713214</v>
      </c>
      <c r="F301">
        <v>16616.560066035399</v>
      </c>
      <c r="G301">
        <v>16195.3872842809</v>
      </c>
      <c r="H301">
        <v>27771.496213693899</v>
      </c>
      <c r="I301">
        <v>19560.920085754798</v>
      </c>
      <c r="J301">
        <v>1878.6726904346699</v>
      </c>
      <c r="K301">
        <v>2368.44272391293</v>
      </c>
      <c r="L301">
        <v>988.98627137083497</v>
      </c>
      <c r="M301">
        <v>14415.4383223312</v>
      </c>
      <c r="N301">
        <v>5597.6181476489</v>
      </c>
      <c r="O301">
        <v>1059.1853922513301</v>
      </c>
      <c r="P301">
        <v>2769.8299106559002</v>
      </c>
      <c r="Q301">
        <v>12467.121881294799</v>
      </c>
      <c r="R301">
        <v>1201.8453654709299</v>
      </c>
      <c r="S301">
        <v>273.774887107128</v>
      </c>
      <c r="T301">
        <v>632.96233343177801</v>
      </c>
      <c r="U301">
        <v>129.51091816295201</v>
      </c>
      <c r="V301">
        <v>624.56043217472904</v>
      </c>
      <c r="W301">
        <v>130.586841911856</v>
      </c>
      <c r="X301">
        <v>317.84089799785397</v>
      </c>
      <c r="Y301">
        <v>771.11904557769901</v>
      </c>
      <c r="Z301">
        <v>157.22608862864001</v>
      </c>
      <c r="AA301">
        <v>666.68435226802899</v>
      </c>
      <c r="AB301">
        <v>827.96608940432395</v>
      </c>
      <c r="AC301">
        <v>318.68743177448198</v>
      </c>
      <c r="AD301">
        <v>828.08383648097197</v>
      </c>
      <c r="AE301">
        <v>163.63537721400499</v>
      </c>
      <c r="AF301">
        <v>441.48449183670499</v>
      </c>
      <c r="AG301">
        <v>681.73083546369003</v>
      </c>
    </row>
    <row r="302" spans="1:33" x14ac:dyDescent="0.25">
      <c r="A302" s="1">
        <v>44353</v>
      </c>
      <c r="B302">
        <v>14125.5252687622</v>
      </c>
      <c r="C302">
        <v>11962.3316836179</v>
      </c>
      <c r="D302">
        <v>12807.8740346215</v>
      </c>
      <c r="E302">
        <v>14633.7667753681</v>
      </c>
      <c r="F302">
        <v>16746.8515245288</v>
      </c>
      <c r="G302">
        <v>16317.1129782362</v>
      </c>
      <c r="H302">
        <v>28533.1865049804</v>
      </c>
      <c r="I302">
        <v>19712.845382436</v>
      </c>
      <c r="J302">
        <v>1924.98956825499</v>
      </c>
      <c r="K302">
        <v>2416.2364661429301</v>
      </c>
      <c r="L302">
        <v>987.54415562606596</v>
      </c>
      <c r="M302">
        <v>14710.6754892181</v>
      </c>
      <c r="N302">
        <v>5953.7618130921301</v>
      </c>
      <c r="O302">
        <v>1072.05379303313</v>
      </c>
      <c r="P302">
        <v>2801.2474947721298</v>
      </c>
      <c r="Q302">
        <v>12845.826834441201</v>
      </c>
      <c r="R302">
        <v>1240.9936123322</v>
      </c>
      <c r="S302">
        <v>277.85405954497003</v>
      </c>
      <c r="T302">
        <v>692.43449384053395</v>
      </c>
      <c r="U302">
        <v>130.54270298786</v>
      </c>
      <c r="V302">
        <v>751.82632597414795</v>
      </c>
      <c r="W302">
        <v>135.94456030234301</v>
      </c>
      <c r="X302">
        <v>389.43172967300302</v>
      </c>
      <c r="Y302">
        <v>785.44321114554305</v>
      </c>
      <c r="Z302">
        <v>158.50881457306099</v>
      </c>
      <c r="AA302">
        <v>669.01604435441197</v>
      </c>
      <c r="AB302">
        <v>825.00045590627496</v>
      </c>
      <c r="AC302">
        <v>301.07848733744697</v>
      </c>
      <c r="AD302">
        <v>834.77361786602205</v>
      </c>
      <c r="AE302">
        <v>176.801394474029</v>
      </c>
      <c r="AF302">
        <v>427.98078668384898</v>
      </c>
      <c r="AG302">
        <v>680.92314591979198</v>
      </c>
    </row>
    <row r="303" spans="1:33" x14ac:dyDescent="0.25">
      <c r="A303" s="1">
        <v>44354</v>
      </c>
      <c r="B303">
        <v>14308.442635575801</v>
      </c>
      <c r="C303">
        <v>12374.3449093117</v>
      </c>
      <c r="D303">
        <v>13114.457670924599</v>
      </c>
      <c r="E303">
        <v>15069.389999230199</v>
      </c>
      <c r="F303">
        <v>17320.835937090698</v>
      </c>
      <c r="G303">
        <v>16516.6009766143</v>
      </c>
      <c r="H303">
        <v>29546.108146625898</v>
      </c>
      <c r="I303">
        <v>19877.114425330601</v>
      </c>
      <c r="J303">
        <v>2031.05280024068</v>
      </c>
      <c r="K303">
        <v>2540.2591713770698</v>
      </c>
      <c r="L303">
        <v>1046.70928572005</v>
      </c>
      <c r="M303">
        <v>15283.7112554059</v>
      </c>
      <c r="N303">
        <v>6711.1024773932804</v>
      </c>
      <c r="O303">
        <v>1152.8932241974001</v>
      </c>
      <c r="P303">
        <v>2969.67264188536</v>
      </c>
      <c r="Q303">
        <v>13382.088293074499</v>
      </c>
      <c r="R303">
        <v>1363.73581784666</v>
      </c>
      <c r="S303">
        <v>285.63318004204098</v>
      </c>
      <c r="T303">
        <v>884.948202106037</v>
      </c>
      <c r="U303">
        <v>133.863715104574</v>
      </c>
      <c r="V303">
        <v>843.10180126062403</v>
      </c>
      <c r="W303">
        <v>136.01498620085701</v>
      </c>
      <c r="X303">
        <v>406.53650931284102</v>
      </c>
      <c r="Y303">
        <v>791.98791368484103</v>
      </c>
      <c r="Z303">
        <v>160.16096727680701</v>
      </c>
      <c r="AA303">
        <v>674.08499020632905</v>
      </c>
      <c r="AB303">
        <v>833.18428545749305</v>
      </c>
      <c r="AC303">
        <v>275.31803997860499</v>
      </c>
      <c r="AD303">
        <v>864.30923396271896</v>
      </c>
      <c r="AE303">
        <v>164.68234037274701</v>
      </c>
      <c r="AF303">
        <v>421.21824035873101</v>
      </c>
      <c r="AG303">
        <v>682.60438683176699</v>
      </c>
    </row>
    <row r="304" spans="1:33" x14ac:dyDescent="0.25">
      <c r="A304" s="1">
        <v>44355</v>
      </c>
      <c r="B304">
        <v>14540.0137572684</v>
      </c>
      <c r="C304">
        <v>13043.112807231901</v>
      </c>
      <c r="D304">
        <v>13180.1304411483</v>
      </c>
      <c r="E304">
        <v>15453.7143635023</v>
      </c>
      <c r="F304">
        <v>17834.2014609199</v>
      </c>
      <c r="G304">
        <v>16634.217229901798</v>
      </c>
      <c r="H304">
        <v>29404.712325592602</v>
      </c>
      <c r="I304">
        <v>20134.0259350255</v>
      </c>
      <c r="J304">
        <v>2173.68993258503</v>
      </c>
      <c r="K304">
        <v>2615.2681522763701</v>
      </c>
      <c r="L304">
        <v>1110.1744007321699</v>
      </c>
      <c r="M304">
        <v>15348.5388845712</v>
      </c>
      <c r="N304">
        <v>6758.4937134087804</v>
      </c>
      <c r="O304">
        <v>1204.18364897589</v>
      </c>
      <c r="P304">
        <v>3087.3610048104101</v>
      </c>
      <c r="Q304">
        <v>13449.6992547357</v>
      </c>
      <c r="R304">
        <v>1389.8483126087399</v>
      </c>
      <c r="S304">
        <v>292.73099433070001</v>
      </c>
      <c r="T304">
        <v>966.04053858172597</v>
      </c>
      <c r="U304">
        <v>135.864812375604</v>
      </c>
      <c r="V304">
        <v>761.78426600411399</v>
      </c>
      <c r="W304">
        <v>135.774646482967</v>
      </c>
      <c r="X304">
        <v>346.18726181180301</v>
      </c>
      <c r="Y304">
        <v>785.38827367366605</v>
      </c>
      <c r="Z304">
        <v>160.24399279935199</v>
      </c>
      <c r="AA304">
        <v>680.12343173627198</v>
      </c>
      <c r="AB304">
        <v>839.15380610486795</v>
      </c>
      <c r="AC304">
        <v>253.51097937014401</v>
      </c>
      <c r="AD304">
        <v>887.26990495672806</v>
      </c>
      <c r="AE304">
        <v>158.268039672817</v>
      </c>
      <c r="AF304">
        <v>415.11001788103999</v>
      </c>
      <c r="AG304">
        <v>686.60389701332701</v>
      </c>
    </row>
    <row r="305" spans="1:33" x14ac:dyDescent="0.25">
      <c r="A305" s="1">
        <v>44356</v>
      </c>
      <c r="B305">
        <v>14734.3713141027</v>
      </c>
      <c r="C305">
        <v>13587.305369706</v>
      </c>
      <c r="D305">
        <v>13239.344339298599</v>
      </c>
      <c r="E305">
        <v>15606.0973680761</v>
      </c>
      <c r="F305">
        <v>17583.277849265502</v>
      </c>
      <c r="G305">
        <v>15790.4528164762</v>
      </c>
      <c r="H305">
        <v>28778.466569058499</v>
      </c>
      <c r="I305">
        <v>20257.127447999999</v>
      </c>
      <c r="J305">
        <v>2216.7573253372898</v>
      </c>
      <c r="K305">
        <v>2553.3304352873902</v>
      </c>
      <c r="L305">
        <v>1111.30098682786</v>
      </c>
      <c r="M305">
        <v>14516.0532161257</v>
      </c>
      <c r="N305">
        <v>6211.3740710882003</v>
      </c>
      <c r="O305">
        <v>1150.61662489838</v>
      </c>
      <c r="P305">
        <v>3001.6225549056198</v>
      </c>
      <c r="Q305">
        <v>12811.1080740575</v>
      </c>
      <c r="R305">
        <v>1336.7399265148999</v>
      </c>
      <c r="S305">
        <v>298.552494002819</v>
      </c>
      <c r="T305">
        <v>779.12552722942098</v>
      </c>
      <c r="U305">
        <v>136.540810807464</v>
      </c>
      <c r="V305">
        <v>638.46384607302195</v>
      </c>
      <c r="W305">
        <v>131.08917616350701</v>
      </c>
      <c r="X305">
        <v>263.00254562256902</v>
      </c>
      <c r="Y305">
        <v>767.628717297805</v>
      </c>
      <c r="Z305">
        <v>158.91618148537</v>
      </c>
      <c r="AA305">
        <v>684.98696374871201</v>
      </c>
      <c r="AB305">
        <v>827.14061407813801</v>
      </c>
      <c r="AC305">
        <v>247.071654370712</v>
      </c>
      <c r="AD305">
        <v>892.53704383868103</v>
      </c>
      <c r="AE305">
        <v>103.695399916836</v>
      </c>
      <c r="AF305">
        <v>404.48506061163903</v>
      </c>
      <c r="AG305">
        <v>692.565419597247</v>
      </c>
    </row>
    <row r="306" spans="1:33" x14ac:dyDescent="0.25">
      <c r="A306" s="1">
        <v>44357</v>
      </c>
      <c r="B306">
        <v>14900.821527801399</v>
      </c>
      <c r="C306">
        <v>13984.585283729501</v>
      </c>
      <c r="D306">
        <v>13389.970985887499</v>
      </c>
      <c r="E306">
        <v>15878.5924934554</v>
      </c>
      <c r="F306">
        <v>17079.298229986802</v>
      </c>
      <c r="G306">
        <v>15541.1721471932</v>
      </c>
      <c r="H306">
        <v>28267.159911580598</v>
      </c>
      <c r="I306">
        <v>20302.782210666301</v>
      </c>
      <c r="J306">
        <v>2251.6747606109102</v>
      </c>
      <c r="K306">
        <v>2552.6871813274402</v>
      </c>
      <c r="L306">
        <v>1125.96300580047</v>
      </c>
      <c r="M306">
        <v>14208.6024665286</v>
      </c>
      <c r="N306">
        <v>5994.8009283055299</v>
      </c>
      <c r="O306">
        <v>1147.968822477</v>
      </c>
      <c r="P306">
        <v>2993.1601375609098</v>
      </c>
      <c r="Q306">
        <v>12413.260512683801</v>
      </c>
      <c r="R306">
        <v>1345.6717608648501</v>
      </c>
      <c r="S306">
        <v>306.081859293994</v>
      </c>
      <c r="T306">
        <v>767.620542290667</v>
      </c>
      <c r="U306">
        <v>137.16756553766299</v>
      </c>
      <c r="V306">
        <v>645.27841359990805</v>
      </c>
      <c r="W306">
        <v>128.826729742396</v>
      </c>
      <c r="X306">
        <v>274.47281274211798</v>
      </c>
      <c r="Y306">
        <v>715.526504052581</v>
      </c>
      <c r="Z306">
        <v>157.87632770108601</v>
      </c>
      <c r="AA306">
        <v>689.64674652013196</v>
      </c>
      <c r="AB306">
        <v>804.26155886946106</v>
      </c>
      <c r="AC306">
        <v>269.78448964854698</v>
      </c>
      <c r="AD306">
        <v>911.73044605865402</v>
      </c>
      <c r="AE306">
        <v>102.35108830622001</v>
      </c>
      <c r="AF306">
        <v>397.00720682917398</v>
      </c>
      <c r="AG306">
        <v>703.59144820012898</v>
      </c>
    </row>
    <row r="307" spans="1:33" x14ac:dyDescent="0.25">
      <c r="A307" s="1">
        <v>44358</v>
      </c>
      <c r="B307">
        <v>15104.2761504685</v>
      </c>
      <c r="C307">
        <v>14135.5601136645</v>
      </c>
      <c r="D307">
        <v>13683.331143384199</v>
      </c>
      <c r="E307">
        <v>16070.246878837799</v>
      </c>
      <c r="F307">
        <v>16863.93618701</v>
      </c>
      <c r="G307">
        <v>15827.063232111201</v>
      </c>
      <c r="H307">
        <v>28275.310702955499</v>
      </c>
      <c r="I307">
        <v>20205.725404609599</v>
      </c>
      <c r="J307">
        <v>2268.5394020471299</v>
      </c>
      <c r="K307">
        <v>2579.0821892557901</v>
      </c>
      <c r="L307">
        <v>1140.1572439372401</v>
      </c>
      <c r="M307">
        <v>14387.259730960401</v>
      </c>
      <c r="N307">
        <v>5947.4167456897003</v>
      </c>
      <c r="O307">
        <v>1179.6858543303999</v>
      </c>
      <c r="P307">
        <v>3019.8470723393102</v>
      </c>
      <c r="Q307">
        <v>12487.676035504801</v>
      </c>
      <c r="R307">
        <v>1398.1522968494901</v>
      </c>
      <c r="S307">
        <v>314.14719338901699</v>
      </c>
      <c r="T307">
        <v>771.20163368255498</v>
      </c>
      <c r="U307">
        <v>137.61295058348</v>
      </c>
      <c r="V307">
        <v>686.83331829428903</v>
      </c>
      <c r="W307">
        <v>126.77303316565801</v>
      </c>
      <c r="X307">
        <v>304.48151526326802</v>
      </c>
      <c r="Y307">
        <v>681.23314644848904</v>
      </c>
      <c r="Z307">
        <v>158.532457508954</v>
      </c>
      <c r="AA307">
        <v>693.34274278988596</v>
      </c>
      <c r="AB307">
        <v>792.12825920740602</v>
      </c>
      <c r="AC307">
        <v>282.53436712104701</v>
      </c>
      <c r="AD307">
        <v>939.228886168955</v>
      </c>
      <c r="AE307">
        <v>102.35078961480301</v>
      </c>
      <c r="AF307">
        <v>386.642474227962</v>
      </c>
      <c r="AG307">
        <v>715.84209776129296</v>
      </c>
    </row>
    <row r="308" spans="1:33" x14ac:dyDescent="0.25">
      <c r="A308" s="1">
        <v>44359</v>
      </c>
      <c r="B308">
        <v>15282.721129288901</v>
      </c>
      <c r="C308">
        <v>14049.1113506404</v>
      </c>
      <c r="D308">
        <v>13978.6740355936</v>
      </c>
      <c r="E308">
        <v>16309.4608849464</v>
      </c>
      <c r="F308">
        <v>16886.662049486</v>
      </c>
      <c r="G308">
        <v>15986.711341238801</v>
      </c>
      <c r="H308">
        <v>28296.895796483001</v>
      </c>
      <c r="I308">
        <v>20110.4782245569</v>
      </c>
      <c r="J308">
        <v>2274.00039652954</v>
      </c>
      <c r="K308">
        <v>2603.6437128514599</v>
      </c>
      <c r="L308">
        <v>1159.2220367801399</v>
      </c>
      <c r="M308">
        <v>14488.8015301951</v>
      </c>
      <c r="N308">
        <v>6120.0552338105699</v>
      </c>
      <c r="O308">
        <v>1219.73956917993</v>
      </c>
      <c r="P308">
        <v>3061.56282662284</v>
      </c>
      <c r="Q308">
        <v>12581.883568839899</v>
      </c>
      <c r="R308">
        <v>1452.8336828594399</v>
      </c>
      <c r="S308">
        <v>321.64554825758898</v>
      </c>
      <c r="T308">
        <v>808.34284381974305</v>
      </c>
      <c r="U308">
        <v>137.99007349172501</v>
      </c>
      <c r="V308">
        <v>739.60931139366005</v>
      </c>
      <c r="W308">
        <v>125.099901348825</v>
      </c>
      <c r="X308">
        <v>337.96942596081999</v>
      </c>
      <c r="Y308">
        <v>645.38314248263805</v>
      </c>
      <c r="Z308">
        <v>160.05385394307999</v>
      </c>
      <c r="AA308">
        <v>696.648217437688</v>
      </c>
      <c r="AB308">
        <v>760.87510003066802</v>
      </c>
      <c r="AC308">
        <v>280.78706163271897</v>
      </c>
      <c r="AD308">
        <v>961.22246519334499</v>
      </c>
      <c r="AE308">
        <v>102.349713695148</v>
      </c>
      <c r="AF308">
        <v>371.35133387005402</v>
      </c>
      <c r="AG308">
        <v>725.32131082656804</v>
      </c>
    </row>
    <row r="309" spans="1:33" x14ac:dyDescent="0.25">
      <c r="A309" s="1">
        <v>44360</v>
      </c>
      <c r="B309">
        <v>15521.4521722711</v>
      </c>
      <c r="C309">
        <v>13965.543034100499</v>
      </c>
      <c r="D309">
        <v>14319.9499336805</v>
      </c>
      <c r="E309">
        <v>16589.402360414901</v>
      </c>
      <c r="F309">
        <v>17083.613799846</v>
      </c>
      <c r="G309">
        <v>16514.4569368169</v>
      </c>
      <c r="H309">
        <v>28774.0741628504</v>
      </c>
      <c r="I309">
        <v>20064.866618455999</v>
      </c>
      <c r="J309">
        <v>2283.5462129749299</v>
      </c>
      <c r="K309">
        <v>2662.1605390394102</v>
      </c>
      <c r="L309">
        <v>1208.07126692974</v>
      </c>
      <c r="M309">
        <v>15008.341320392001</v>
      </c>
      <c r="N309">
        <v>6567.5103671475799</v>
      </c>
      <c r="O309">
        <v>1308.9478744824501</v>
      </c>
      <c r="P309">
        <v>3194.2118201522098</v>
      </c>
      <c r="Q309">
        <v>13107.8570857334</v>
      </c>
      <c r="R309">
        <v>1554.0032930969401</v>
      </c>
      <c r="S309">
        <v>328.76644699755201</v>
      </c>
      <c r="T309">
        <v>921.57621546416306</v>
      </c>
      <c r="U309">
        <v>138.527395838703</v>
      </c>
      <c r="V309">
        <v>842.109474924094</v>
      </c>
      <c r="W309">
        <v>124.945685546234</v>
      </c>
      <c r="X309">
        <v>408.45181223554198</v>
      </c>
      <c r="Y309">
        <v>634.06936901641905</v>
      </c>
      <c r="Z309">
        <v>163.376497446847</v>
      </c>
      <c r="AA309">
        <v>698.84257729974502</v>
      </c>
      <c r="AB309">
        <v>752.63209192169802</v>
      </c>
      <c r="AC309">
        <v>282.34048033087998</v>
      </c>
      <c r="AD309">
        <v>1005.8269557978</v>
      </c>
      <c r="AE309">
        <v>102.350099787316</v>
      </c>
      <c r="AF309">
        <v>357.84144222238501</v>
      </c>
      <c r="AG309">
        <v>732.62238558180695</v>
      </c>
    </row>
    <row r="310" spans="1:33" x14ac:dyDescent="0.25">
      <c r="A310" s="1">
        <v>44361</v>
      </c>
      <c r="B310">
        <v>15702.5161614933</v>
      </c>
      <c r="C310">
        <v>13915.080478895799</v>
      </c>
      <c r="D310">
        <v>14329.154727965</v>
      </c>
      <c r="E310">
        <v>16590.470630218399</v>
      </c>
      <c r="F310">
        <v>16916.963875485199</v>
      </c>
      <c r="G310">
        <v>15993.969120649699</v>
      </c>
      <c r="H310">
        <v>28350.281827718802</v>
      </c>
      <c r="I310">
        <v>20082.763734347202</v>
      </c>
      <c r="J310">
        <v>2290.9270960869499</v>
      </c>
      <c r="K310">
        <v>2592.6234885458498</v>
      </c>
      <c r="L310">
        <v>1217.8396269080499</v>
      </c>
      <c r="M310">
        <v>14501.640765673401</v>
      </c>
      <c r="N310">
        <v>6062.6432351289504</v>
      </c>
      <c r="O310">
        <v>1268.59494079766</v>
      </c>
      <c r="P310">
        <v>3055.8928242958</v>
      </c>
      <c r="Q310">
        <v>12615.339608796799</v>
      </c>
      <c r="R310">
        <v>1500.92438589063</v>
      </c>
      <c r="S310">
        <v>333.10448746821299</v>
      </c>
      <c r="T310">
        <v>813.43867090665901</v>
      </c>
      <c r="U310">
        <v>138.87595973440199</v>
      </c>
      <c r="V310">
        <v>691.392475737111</v>
      </c>
      <c r="W310">
        <v>125.07693486909599</v>
      </c>
      <c r="X310">
        <v>278.508042165684</v>
      </c>
      <c r="Y310">
        <v>594.66006835507301</v>
      </c>
      <c r="Z310">
        <v>164.12887225013</v>
      </c>
      <c r="AA310">
        <v>703.40672150682894</v>
      </c>
      <c r="AB310">
        <v>718.60556589912301</v>
      </c>
      <c r="AC310">
        <v>285.82630724790403</v>
      </c>
      <c r="AD310">
        <v>1000.79556615081</v>
      </c>
      <c r="AE310">
        <v>102.350799860078</v>
      </c>
      <c r="AF310">
        <v>345.63068438214998</v>
      </c>
      <c r="AG310">
        <v>738.17272943145497</v>
      </c>
    </row>
    <row r="311" spans="1:33" x14ac:dyDescent="0.25">
      <c r="A311" s="1">
        <v>44362</v>
      </c>
      <c r="B311">
        <v>15848.0896707145</v>
      </c>
      <c r="C311">
        <v>13897.872981156999</v>
      </c>
      <c r="D311">
        <v>14182.0144759905</v>
      </c>
      <c r="E311">
        <v>16594.304024474899</v>
      </c>
      <c r="F311">
        <v>16358.0292630965</v>
      </c>
      <c r="G311">
        <v>15347.532811212001</v>
      </c>
      <c r="H311">
        <v>27639.891791829799</v>
      </c>
      <c r="I311">
        <v>20121.247988792002</v>
      </c>
      <c r="J311">
        <v>2306.67851996431</v>
      </c>
      <c r="K311">
        <v>2466.0866486035602</v>
      </c>
      <c r="L311">
        <v>1213.3671455138899</v>
      </c>
      <c r="M311">
        <v>13928.666673621399</v>
      </c>
      <c r="N311">
        <v>5642.3335278705499</v>
      </c>
      <c r="O311">
        <v>1222.4483837420801</v>
      </c>
      <c r="P311">
        <v>2879.3863930581101</v>
      </c>
      <c r="Q311">
        <v>12011.728522346701</v>
      </c>
      <c r="R311">
        <v>1453.9018552051</v>
      </c>
      <c r="S311">
        <v>339.28593959176902</v>
      </c>
      <c r="T311">
        <v>714.55677221796395</v>
      </c>
      <c r="U311">
        <v>139.27001916112101</v>
      </c>
      <c r="V311">
        <v>567.51562535871597</v>
      </c>
      <c r="W311">
        <v>124.919808579918</v>
      </c>
      <c r="X311">
        <v>225.934474101803</v>
      </c>
      <c r="Y311">
        <v>556.03328902881901</v>
      </c>
      <c r="Z311">
        <v>167.57391341435601</v>
      </c>
      <c r="AA311">
        <v>707.90577558790096</v>
      </c>
      <c r="AB311">
        <v>677.83863231284397</v>
      </c>
      <c r="AC311">
        <v>289.49105908975099</v>
      </c>
      <c r="AD311">
        <v>991.41479955485897</v>
      </c>
      <c r="AE311">
        <v>89.923510768649905</v>
      </c>
      <c r="AF311">
        <v>341.38650805399101</v>
      </c>
      <c r="AG311">
        <v>743.27518021776302</v>
      </c>
    </row>
    <row r="312" spans="1:33" x14ac:dyDescent="0.25">
      <c r="A312" s="1">
        <v>44363</v>
      </c>
      <c r="B312">
        <v>15972.3430225268</v>
      </c>
      <c r="C312">
        <v>13786.643543836701</v>
      </c>
      <c r="D312">
        <v>14212.9773027964</v>
      </c>
      <c r="E312">
        <v>16456.260181158399</v>
      </c>
      <c r="F312">
        <v>15746.553832727999</v>
      </c>
      <c r="G312">
        <v>14724.8142481247</v>
      </c>
      <c r="H312">
        <v>26668.2449254364</v>
      </c>
      <c r="I312">
        <v>19865.7171192555</v>
      </c>
      <c r="J312">
        <v>2267.22106285972</v>
      </c>
      <c r="K312">
        <v>2299.6695978001799</v>
      </c>
      <c r="L312">
        <v>1177.6833989628699</v>
      </c>
      <c r="M312">
        <v>13251.2471712879</v>
      </c>
      <c r="N312">
        <v>4828.4659094894896</v>
      </c>
      <c r="O312">
        <v>1163.9396884452501</v>
      </c>
      <c r="P312">
        <v>2729.0667534548402</v>
      </c>
      <c r="Q312">
        <v>11234.248199416599</v>
      </c>
      <c r="R312">
        <v>1367.2926982019801</v>
      </c>
      <c r="S312">
        <v>343.61284826227899</v>
      </c>
      <c r="T312">
        <v>562.25463901348996</v>
      </c>
      <c r="U312">
        <v>133.86555679597799</v>
      </c>
      <c r="V312">
        <v>438.66225785216898</v>
      </c>
      <c r="W312">
        <v>120.766649444789</v>
      </c>
      <c r="X312">
        <v>191.250484894913</v>
      </c>
      <c r="Y312">
        <v>518.47669949329099</v>
      </c>
      <c r="Z312">
        <v>170.145471280707</v>
      </c>
      <c r="AA312">
        <v>710.14904928198996</v>
      </c>
      <c r="AB312">
        <v>694.31680543296204</v>
      </c>
      <c r="AC312">
        <v>287.19645240790197</v>
      </c>
      <c r="AD312">
        <v>968.18561867318397</v>
      </c>
      <c r="AE312">
        <v>84.349884086687098</v>
      </c>
      <c r="AF312">
        <v>336.83563883872699</v>
      </c>
      <c r="AG312">
        <v>748.38742334934295</v>
      </c>
    </row>
    <row r="313" spans="1:33" x14ac:dyDescent="0.25">
      <c r="A313" s="1">
        <v>44364</v>
      </c>
      <c r="B313">
        <v>16118.5890383817</v>
      </c>
      <c r="C313">
        <v>13557.874943922299</v>
      </c>
      <c r="D313">
        <v>14588.0393530825</v>
      </c>
      <c r="E313">
        <v>16577.687863935898</v>
      </c>
      <c r="F313">
        <v>15620.130376464</v>
      </c>
      <c r="G313">
        <v>15345.994072658301</v>
      </c>
      <c r="H313">
        <v>27431.277226902501</v>
      </c>
      <c r="I313">
        <v>19578.133456506799</v>
      </c>
      <c r="J313">
        <v>2254.96437839076</v>
      </c>
      <c r="K313">
        <v>2259.9591360711702</v>
      </c>
      <c r="L313">
        <v>1186.1488358720201</v>
      </c>
      <c r="M313">
        <v>13563.349124893301</v>
      </c>
      <c r="N313">
        <v>4949.0931720410099</v>
      </c>
      <c r="O313">
        <v>1149.01632104904</v>
      </c>
      <c r="P313">
        <v>2726.8650234658598</v>
      </c>
      <c r="Q313">
        <v>11638.1388636341</v>
      </c>
      <c r="R313">
        <v>1367.6423894927</v>
      </c>
      <c r="S313">
        <v>349.407440595163</v>
      </c>
      <c r="T313">
        <v>577.796828571829</v>
      </c>
      <c r="U313">
        <v>121.248433323179</v>
      </c>
      <c r="V313">
        <v>620.08862913600501</v>
      </c>
      <c r="W313">
        <v>118.07334452580101</v>
      </c>
      <c r="X313">
        <v>357.356413475029</v>
      </c>
      <c r="Y313">
        <v>602.52755461351603</v>
      </c>
      <c r="Z313">
        <v>170.28191138267701</v>
      </c>
      <c r="AA313">
        <v>708.92446104507496</v>
      </c>
      <c r="AB313">
        <v>773.19116721982596</v>
      </c>
      <c r="AC313">
        <v>282.14878675559601</v>
      </c>
      <c r="AD313">
        <v>977.55661502660598</v>
      </c>
      <c r="AE313">
        <v>82.015363611569597</v>
      </c>
      <c r="AF313">
        <v>330.81282205896002</v>
      </c>
      <c r="AG313">
        <v>754.203738136026</v>
      </c>
    </row>
    <row r="314" spans="1:33" x14ac:dyDescent="0.25">
      <c r="A314" s="1">
        <v>44365</v>
      </c>
      <c r="B314">
        <v>16391.632384430101</v>
      </c>
      <c r="C314">
        <v>13358.1611002304</v>
      </c>
      <c r="D314">
        <v>15028.508065821899</v>
      </c>
      <c r="E314">
        <v>16797.528176333399</v>
      </c>
      <c r="F314">
        <v>16257.535362816599</v>
      </c>
      <c r="G314">
        <v>16470.150082588199</v>
      </c>
      <c r="H314">
        <v>28830.506558813398</v>
      </c>
      <c r="I314">
        <v>19513.402252982101</v>
      </c>
      <c r="J314">
        <v>2267.6629042817199</v>
      </c>
      <c r="K314">
        <v>2300.9053539147899</v>
      </c>
      <c r="L314">
        <v>1213.3265189559099</v>
      </c>
      <c r="M314">
        <v>14507.050220482601</v>
      </c>
      <c r="N314">
        <v>5528.8129140424098</v>
      </c>
      <c r="O314">
        <v>1231.68514675293</v>
      </c>
      <c r="P314">
        <v>2853.0793189066098</v>
      </c>
      <c r="Q314">
        <v>12603.979288578999</v>
      </c>
      <c r="R314">
        <v>1429.53317292835</v>
      </c>
      <c r="S314">
        <v>355.58375915660599</v>
      </c>
      <c r="T314">
        <v>676.40454631130899</v>
      </c>
      <c r="U314">
        <v>118.899400694028</v>
      </c>
      <c r="V314">
        <v>779.47488797425899</v>
      </c>
      <c r="W314">
        <v>118.49373930911401</v>
      </c>
      <c r="X314">
        <v>459.71004678763001</v>
      </c>
      <c r="Y314">
        <v>640.80054251380398</v>
      </c>
      <c r="Z314">
        <v>174.22752314846801</v>
      </c>
      <c r="AA314">
        <v>710.35567998158194</v>
      </c>
      <c r="AB314">
        <v>811.170996687507</v>
      </c>
      <c r="AC314">
        <v>280.144620249811</v>
      </c>
      <c r="AD314">
        <v>1003.60167006624</v>
      </c>
      <c r="AE314">
        <v>100.569136992208</v>
      </c>
      <c r="AF314">
        <v>326.13180698888198</v>
      </c>
      <c r="AG314">
        <v>758.18160900937005</v>
      </c>
    </row>
    <row r="315" spans="1:33" x14ac:dyDescent="0.25">
      <c r="A315" s="1">
        <v>44366</v>
      </c>
      <c r="B315">
        <v>16824.2820195846</v>
      </c>
      <c r="C315">
        <v>13125.7149210319</v>
      </c>
      <c r="D315">
        <v>15356.4935744701</v>
      </c>
      <c r="E315">
        <v>17048.209633578401</v>
      </c>
      <c r="F315">
        <v>17417.792883725298</v>
      </c>
      <c r="G315">
        <v>17600.769990112502</v>
      </c>
      <c r="H315">
        <v>30870.676481413098</v>
      </c>
      <c r="I315">
        <v>19684.433261896</v>
      </c>
      <c r="J315">
        <v>2320.27963848733</v>
      </c>
      <c r="K315">
        <v>2408.0046544984302</v>
      </c>
      <c r="L315">
        <v>1277.6107810434801</v>
      </c>
      <c r="M315">
        <v>15645.330170520399</v>
      </c>
      <c r="N315">
        <v>6441.2811876337701</v>
      </c>
      <c r="O315">
        <v>1377.6102245310999</v>
      </c>
      <c r="P315">
        <v>3139.0929305694099</v>
      </c>
      <c r="Q315">
        <v>13894.2563488416</v>
      </c>
      <c r="R315">
        <v>1563.74618401982</v>
      </c>
      <c r="S315">
        <v>360.27244559502401</v>
      </c>
      <c r="T315">
        <v>898.61146810057403</v>
      </c>
      <c r="U315">
        <v>118.77097318481</v>
      </c>
      <c r="V315">
        <v>1013.45766379908</v>
      </c>
      <c r="W315">
        <v>117.04236838649901</v>
      </c>
      <c r="X315">
        <v>572.87039707430301</v>
      </c>
      <c r="Y315">
        <v>688.90143896059601</v>
      </c>
      <c r="Z315">
        <v>177.81819659169801</v>
      </c>
      <c r="AA315">
        <v>712.66445094659605</v>
      </c>
      <c r="AB315">
        <v>854.58083327382201</v>
      </c>
      <c r="AC315">
        <v>280.69311375092798</v>
      </c>
      <c r="AD315">
        <v>1058.67199601785</v>
      </c>
      <c r="AE315">
        <v>101.520912795557</v>
      </c>
      <c r="AF315">
        <v>325.42208289616099</v>
      </c>
      <c r="AG315">
        <v>756.59290532662703</v>
      </c>
    </row>
    <row r="316" spans="1:33" x14ac:dyDescent="0.25">
      <c r="A316" s="1">
        <v>44367</v>
      </c>
      <c r="B316">
        <v>17110.0989197093</v>
      </c>
      <c r="C316">
        <v>13052.6188587002</v>
      </c>
      <c r="D316">
        <v>15414.610054496001</v>
      </c>
      <c r="E316">
        <v>17146.563462213799</v>
      </c>
      <c r="F316">
        <v>18348.776515212699</v>
      </c>
      <c r="G316">
        <v>17773.994023519099</v>
      </c>
      <c r="H316">
        <v>31003.402512753401</v>
      </c>
      <c r="I316">
        <v>19986.477586270899</v>
      </c>
      <c r="J316">
        <v>2418.4074646080298</v>
      </c>
      <c r="K316">
        <v>2472.3706862281701</v>
      </c>
      <c r="L316">
        <v>1316.2498818075101</v>
      </c>
      <c r="M316">
        <v>15980.767540507601</v>
      </c>
      <c r="N316">
        <v>6955.6197007588398</v>
      </c>
      <c r="O316">
        <v>1447.67532686901</v>
      </c>
      <c r="P316">
        <v>3289.4979181417302</v>
      </c>
      <c r="Q316">
        <v>14212.815106472201</v>
      </c>
      <c r="R316">
        <v>1634.6996883745501</v>
      </c>
      <c r="S316">
        <v>362.328561465691</v>
      </c>
      <c r="T316">
        <v>1108.79397018741</v>
      </c>
      <c r="U316">
        <v>117.463035956958</v>
      </c>
      <c r="V316">
        <v>1103.6172474115001</v>
      </c>
      <c r="W316">
        <v>115.222986115898</v>
      </c>
      <c r="X316">
        <v>585.20486431213806</v>
      </c>
      <c r="Y316">
        <v>636.66679179311905</v>
      </c>
      <c r="Z316">
        <v>177.706344018789</v>
      </c>
      <c r="AA316">
        <v>715.35536299739397</v>
      </c>
      <c r="AB316">
        <v>839.95861652533699</v>
      </c>
      <c r="AC316">
        <v>272.89985047734098</v>
      </c>
      <c r="AD316">
        <v>1095.5613344037099</v>
      </c>
      <c r="AE316">
        <v>112.027873414851</v>
      </c>
      <c r="AF316">
        <v>326.06581471849103</v>
      </c>
      <c r="AG316">
        <v>750.10408000311895</v>
      </c>
    </row>
    <row r="317" spans="1:33" x14ac:dyDescent="0.25">
      <c r="A317" s="1">
        <v>44368</v>
      </c>
      <c r="B317">
        <v>17032.3262139242</v>
      </c>
      <c r="C317">
        <v>13195.5004923494</v>
      </c>
      <c r="D317">
        <v>15573.0624842202</v>
      </c>
      <c r="E317">
        <v>17297.404625434599</v>
      </c>
      <c r="F317">
        <v>18525.412162990098</v>
      </c>
      <c r="G317">
        <v>17416.4956434868</v>
      </c>
      <c r="H317">
        <v>30430.4267404905</v>
      </c>
      <c r="I317">
        <v>20486.800756648499</v>
      </c>
      <c r="J317">
        <v>2506.1189094797801</v>
      </c>
      <c r="K317">
        <v>2464.8808815693701</v>
      </c>
      <c r="L317">
        <v>1335.13803543623</v>
      </c>
      <c r="M317">
        <v>15807.0292505613</v>
      </c>
      <c r="N317">
        <v>7310.25591356923</v>
      </c>
      <c r="O317">
        <v>1439.9801507084201</v>
      </c>
      <c r="P317">
        <v>3309.96695029692</v>
      </c>
      <c r="Q317">
        <v>14094.718470551999</v>
      </c>
      <c r="R317">
        <v>1659.3362030590299</v>
      </c>
      <c r="S317">
        <v>361.683120669907</v>
      </c>
      <c r="T317">
        <v>1260.6318083352</v>
      </c>
      <c r="U317">
        <v>115.89218365355499</v>
      </c>
      <c r="V317">
        <v>1179.11937805867</v>
      </c>
      <c r="W317">
        <v>119.78210898125501</v>
      </c>
      <c r="X317">
        <v>632.373892917533</v>
      </c>
      <c r="Y317">
        <v>570.389165172964</v>
      </c>
      <c r="Z317">
        <v>170.64959417770999</v>
      </c>
      <c r="AA317">
        <v>713.81894535099502</v>
      </c>
      <c r="AB317">
        <v>774.31834167341697</v>
      </c>
      <c r="AC317">
        <v>249.06004267194501</v>
      </c>
      <c r="AD317">
        <v>1104.1395425486101</v>
      </c>
      <c r="AE317">
        <v>106.82057517473</v>
      </c>
      <c r="AF317">
        <v>325.90715286293499</v>
      </c>
      <c r="AG317">
        <v>745.59789137783503</v>
      </c>
    </row>
    <row r="318" spans="1:33" x14ac:dyDescent="0.25">
      <c r="A318" s="1">
        <v>44369</v>
      </c>
      <c r="B318">
        <v>16917.975372741199</v>
      </c>
      <c r="C318">
        <v>13427.7675307381</v>
      </c>
      <c r="D318">
        <v>15846.7079909526</v>
      </c>
      <c r="E318">
        <v>17528.446760970201</v>
      </c>
      <c r="F318">
        <v>18515.4783040732</v>
      </c>
      <c r="G318">
        <v>17279.577999552399</v>
      </c>
      <c r="H318">
        <v>30148.3200444098</v>
      </c>
      <c r="I318">
        <v>21347.442750267099</v>
      </c>
      <c r="J318">
        <v>2594.5898399840898</v>
      </c>
      <c r="K318">
        <v>2808.1570423655799</v>
      </c>
      <c r="L318">
        <v>1398.28041948699</v>
      </c>
      <c r="M318">
        <v>15715.8101908321</v>
      </c>
      <c r="N318">
        <v>7597.3266587535099</v>
      </c>
      <c r="O318">
        <v>1371.33874794538</v>
      </c>
      <c r="P318">
        <v>3350.7056025587999</v>
      </c>
      <c r="Q318">
        <v>14037.7913806986</v>
      </c>
      <c r="R318">
        <v>1640.5147101110001</v>
      </c>
      <c r="S318">
        <v>362.843183182362</v>
      </c>
      <c r="T318">
        <v>1387.0263146388399</v>
      </c>
      <c r="U318">
        <v>119.558828250351</v>
      </c>
      <c r="V318">
        <v>1358.8378783814901</v>
      </c>
      <c r="W318">
        <v>123.548589419739</v>
      </c>
      <c r="X318">
        <v>754.50238919465596</v>
      </c>
      <c r="Y318">
        <v>564.66511245622405</v>
      </c>
      <c r="Z318">
        <v>161.60180509073999</v>
      </c>
      <c r="AA318">
        <v>711.68288427480297</v>
      </c>
      <c r="AB318">
        <v>748.51090252053405</v>
      </c>
      <c r="AC318">
        <v>253.98549630883201</v>
      </c>
      <c r="AD318">
        <v>1120.76138048946</v>
      </c>
      <c r="AE318">
        <v>88.2377134730623</v>
      </c>
      <c r="AF318">
        <v>323.41440215185798</v>
      </c>
      <c r="AG318">
        <v>744.67775859505502</v>
      </c>
    </row>
    <row r="319" spans="1:33" x14ac:dyDescent="0.25">
      <c r="A319" s="1">
        <v>44370</v>
      </c>
      <c r="B319">
        <v>16889.297969567699</v>
      </c>
      <c r="C319">
        <v>13739.782204892799</v>
      </c>
      <c r="D319">
        <v>16168.0191500931</v>
      </c>
      <c r="E319">
        <v>17897.4802824451</v>
      </c>
      <c r="F319">
        <v>18707.851424560002</v>
      </c>
      <c r="G319">
        <v>17734.6730787866</v>
      </c>
      <c r="H319">
        <v>30226.804200508199</v>
      </c>
      <c r="I319">
        <v>21702.7135655284</v>
      </c>
      <c r="J319">
        <v>2701.54164981448</v>
      </c>
      <c r="K319">
        <v>2750.6374353312899</v>
      </c>
      <c r="L319">
        <v>1453.05227902773</v>
      </c>
      <c r="M319">
        <v>16094.914017372101</v>
      </c>
      <c r="N319">
        <v>7962.81353933421</v>
      </c>
      <c r="O319">
        <v>1403.4501329623799</v>
      </c>
      <c r="P319">
        <v>3490.6397168257299</v>
      </c>
      <c r="Q319">
        <v>14393.273833057599</v>
      </c>
      <c r="R319">
        <v>1709.8062810323299</v>
      </c>
      <c r="S319">
        <v>369.67696458375002</v>
      </c>
      <c r="T319">
        <v>1644.81206145635</v>
      </c>
      <c r="U319">
        <v>123.549531670241</v>
      </c>
      <c r="V319">
        <v>1626.08425847956</v>
      </c>
      <c r="W319">
        <v>123.76970810663499</v>
      </c>
      <c r="X319">
        <v>950.46250998707899</v>
      </c>
      <c r="Y319">
        <v>594.31211159655402</v>
      </c>
      <c r="Z319">
        <v>160.89196655954601</v>
      </c>
      <c r="AA319">
        <v>710.561056135076</v>
      </c>
      <c r="AB319">
        <v>759.51104886989003</v>
      </c>
      <c r="AC319">
        <v>272.45703514815398</v>
      </c>
      <c r="AD319">
        <v>1167.3496771354901</v>
      </c>
      <c r="AE319">
        <v>82.015585779207001</v>
      </c>
      <c r="AF319">
        <v>320.05300906535501</v>
      </c>
      <c r="AG319">
        <v>750.61603139208398</v>
      </c>
    </row>
    <row r="320" spans="1:33" x14ac:dyDescent="0.25">
      <c r="A320" s="1">
        <v>44371</v>
      </c>
      <c r="B320">
        <v>17084.955696213299</v>
      </c>
      <c r="C320">
        <v>14068.044572291399</v>
      </c>
      <c r="D320">
        <v>16465.831641152799</v>
      </c>
      <c r="E320">
        <v>18237.742100446001</v>
      </c>
      <c r="F320">
        <v>18692.372387903401</v>
      </c>
      <c r="G320">
        <v>18008.516460734201</v>
      </c>
      <c r="H320">
        <v>30335.9786579867</v>
      </c>
      <c r="I320">
        <v>21783.751259065299</v>
      </c>
      <c r="J320">
        <v>2739.66165466643</v>
      </c>
      <c r="K320">
        <v>2642.0376289552601</v>
      </c>
      <c r="L320">
        <v>1490.4782366776501</v>
      </c>
      <c r="M320">
        <v>16319.4966626595</v>
      </c>
      <c r="N320">
        <v>8130.2525337245697</v>
      </c>
      <c r="O320">
        <v>1450.4187366444201</v>
      </c>
      <c r="P320">
        <v>3562.6338549146799</v>
      </c>
      <c r="Q320">
        <v>14621.226348972201</v>
      </c>
      <c r="R320">
        <v>1774.7543536656999</v>
      </c>
      <c r="S320">
        <v>382.76219171928602</v>
      </c>
      <c r="T320">
        <v>1820.7445415658201</v>
      </c>
      <c r="U320">
        <v>124.139905883783</v>
      </c>
      <c r="V320">
        <v>1762.2384628595701</v>
      </c>
      <c r="W320">
        <v>118.62471754148</v>
      </c>
      <c r="X320">
        <v>1055.4092369898999</v>
      </c>
      <c r="Y320">
        <v>599.192184387113</v>
      </c>
      <c r="Z320">
        <v>160.50475295210001</v>
      </c>
      <c r="AA320">
        <v>712.48068076404297</v>
      </c>
      <c r="AB320">
        <v>761.69129105810396</v>
      </c>
      <c r="AC320">
        <v>254.00654165398799</v>
      </c>
      <c r="AD320">
        <v>1205.5592994188601</v>
      </c>
      <c r="AE320">
        <v>82.015452810458697</v>
      </c>
      <c r="AF320">
        <v>314.64030454711298</v>
      </c>
      <c r="AG320">
        <v>763.275406138677</v>
      </c>
    </row>
    <row r="321" spans="1:33" x14ac:dyDescent="0.25">
      <c r="A321" s="1">
        <v>44372</v>
      </c>
      <c r="B321">
        <v>17420.250509363399</v>
      </c>
      <c r="C321">
        <v>14359.659179631701</v>
      </c>
      <c r="D321">
        <v>16846.0374490135</v>
      </c>
      <c r="E321">
        <v>18627.980055776199</v>
      </c>
      <c r="F321">
        <v>18803.084507364099</v>
      </c>
      <c r="G321">
        <v>18289.103359981</v>
      </c>
      <c r="H321">
        <v>30587.0068377596</v>
      </c>
      <c r="I321">
        <v>21835.794046128001</v>
      </c>
      <c r="J321">
        <v>2779.4802353759601</v>
      </c>
      <c r="K321">
        <v>2566.4924774227802</v>
      </c>
      <c r="L321">
        <v>1516.0818885945801</v>
      </c>
      <c r="M321">
        <v>16544.316634113799</v>
      </c>
      <c r="N321">
        <v>8424.7349833035405</v>
      </c>
      <c r="O321">
        <v>1489.7151472512901</v>
      </c>
      <c r="P321">
        <v>3668.9093362211502</v>
      </c>
      <c r="Q321">
        <v>14870.840562110199</v>
      </c>
      <c r="R321">
        <v>1821.2118735499801</v>
      </c>
      <c r="S321">
        <v>403.449814715358</v>
      </c>
      <c r="T321">
        <v>1987.5636814074801</v>
      </c>
      <c r="U321">
        <v>119.567430625011</v>
      </c>
      <c r="V321">
        <v>1944.2482872846001</v>
      </c>
      <c r="W321">
        <v>114.780892895557</v>
      </c>
      <c r="X321">
        <v>1195.7611703278001</v>
      </c>
      <c r="Y321">
        <v>605.90231852813099</v>
      </c>
      <c r="Z321">
        <v>155.86895564931399</v>
      </c>
      <c r="AA321">
        <v>711.26728837304904</v>
      </c>
      <c r="AB321">
        <v>773.50573238807203</v>
      </c>
      <c r="AC321">
        <v>226.15518150243301</v>
      </c>
      <c r="AD321">
        <v>1242.05008592889</v>
      </c>
      <c r="AE321">
        <v>82.015461738249101</v>
      </c>
      <c r="AF321">
        <v>307.42437934032</v>
      </c>
      <c r="AG321">
        <v>777.93092867713199</v>
      </c>
    </row>
    <row r="322" spans="1:33" x14ac:dyDescent="0.25">
      <c r="A322" s="1">
        <v>44373</v>
      </c>
      <c r="B322">
        <v>17729.418621206401</v>
      </c>
      <c r="C322">
        <v>14694.5842081683</v>
      </c>
      <c r="D322">
        <v>17096.399862132301</v>
      </c>
      <c r="E322">
        <v>18864.330163770799</v>
      </c>
      <c r="F322">
        <v>18881.947508384899</v>
      </c>
      <c r="G322">
        <v>18262.685506862701</v>
      </c>
      <c r="H322">
        <v>30529.884704964101</v>
      </c>
      <c r="I322">
        <v>21896.622814941598</v>
      </c>
      <c r="J322">
        <v>2790.4364225302402</v>
      </c>
      <c r="K322">
        <v>2519.1719230218901</v>
      </c>
      <c r="L322">
        <v>1525.8572801107</v>
      </c>
      <c r="M322">
        <v>16566.7408528708</v>
      </c>
      <c r="N322">
        <v>8457.2175379820892</v>
      </c>
      <c r="O322">
        <v>1482.6098973990499</v>
      </c>
      <c r="P322">
        <v>3709.6430700108399</v>
      </c>
      <c r="Q322">
        <v>14814.8081923232</v>
      </c>
      <c r="R322">
        <v>1830.6997184593599</v>
      </c>
      <c r="S322">
        <v>427.29038738059501</v>
      </c>
      <c r="T322">
        <v>2017.0893678167099</v>
      </c>
      <c r="U322">
        <v>115.155394794006</v>
      </c>
      <c r="V322">
        <v>1951.6698740607001</v>
      </c>
      <c r="W322">
        <v>114.983350365303</v>
      </c>
      <c r="X322">
        <v>1213.6059773757499</v>
      </c>
      <c r="Y322">
        <v>604.97709254775702</v>
      </c>
      <c r="Z322">
        <v>147.86687005280399</v>
      </c>
      <c r="AA322">
        <v>710.19815673915195</v>
      </c>
      <c r="AB322">
        <v>778.86387696692202</v>
      </c>
      <c r="AC322">
        <v>211.73547922921301</v>
      </c>
      <c r="AD322">
        <v>1254.05439007977</v>
      </c>
      <c r="AE322">
        <v>93.168073308285599</v>
      </c>
      <c r="AF322">
        <v>299.96759537555198</v>
      </c>
      <c r="AG322">
        <v>790.29825650535304</v>
      </c>
    </row>
    <row r="323" spans="1:33" x14ac:dyDescent="0.25">
      <c r="A323" s="1">
        <v>44374</v>
      </c>
      <c r="B323">
        <v>17934.571328313999</v>
      </c>
      <c r="C323">
        <v>15006.1387485305</v>
      </c>
      <c r="D323">
        <v>17279.1893233462</v>
      </c>
      <c r="E323">
        <v>19051.370171956201</v>
      </c>
      <c r="F323">
        <v>18771.580658559898</v>
      </c>
      <c r="G323">
        <v>18113.893490926599</v>
      </c>
      <c r="H323">
        <v>30629.337201253398</v>
      </c>
      <c r="I323">
        <v>21938.305914491</v>
      </c>
      <c r="J323">
        <v>2795.01557745536</v>
      </c>
      <c r="K323">
        <v>2499.0449627356802</v>
      </c>
      <c r="L323">
        <v>1512.95150627012</v>
      </c>
      <c r="M323">
        <v>16451.7966322131</v>
      </c>
      <c r="N323">
        <v>8388.9729339707101</v>
      </c>
      <c r="O323">
        <v>1462.91765920951</v>
      </c>
      <c r="P323">
        <v>3689.8287996537101</v>
      </c>
      <c r="Q323">
        <v>14714.097128894</v>
      </c>
      <c r="R323">
        <v>1821.2130211362301</v>
      </c>
      <c r="S323">
        <v>454.49867200999302</v>
      </c>
      <c r="T323">
        <v>1974.1027220045601</v>
      </c>
      <c r="U323">
        <v>115.25301453444</v>
      </c>
      <c r="V323">
        <v>1902.2778592022501</v>
      </c>
      <c r="W323">
        <v>112.812638118954</v>
      </c>
      <c r="X323">
        <v>1186.9712995694499</v>
      </c>
      <c r="Y323">
        <v>589.33239142313198</v>
      </c>
      <c r="Z323">
        <v>142.83972721352799</v>
      </c>
      <c r="AA323">
        <v>710.72440370039601</v>
      </c>
      <c r="AB323">
        <v>770.08917180072501</v>
      </c>
      <c r="AC323">
        <v>204.73267940349101</v>
      </c>
      <c r="AD323">
        <v>1250.17603627214</v>
      </c>
      <c r="AE323">
        <v>97.693618453925495</v>
      </c>
      <c r="AF323">
        <v>295.63906340427098</v>
      </c>
      <c r="AG323">
        <v>798.79183758491604</v>
      </c>
    </row>
    <row r="324" spans="1:33" x14ac:dyDescent="0.25">
      <c r="A324" s="1">
        <v>44375</v>
      </c>
      <c r="B324">
        <v>18189.513575439199</v>
      </c>
      <c r="C324">
        <v>15200.8591826642</v>
      </c>
      <c r="D324">
        <v>17409.507597469299</v>
      </c>
      <c r="E324">
        <v>19166.522913187298</v>
      </c>
      <c r="F324">
        <v>18657.365053132598</v>
      </c>
      <c r="G324">
        <v>17698.019959311401</v>
      </c>
      <c r="H324">
        <v>30565.6565148072</v>
      </c>
      <c r="I324">
        <v>21940.941960308901</v>
      </c>
      <c r="J324">
        <v>2786.0122069320901</v>
      </c>
      <c r="K324">
        <v>2433.5705945198802</v>
      </c>
      <c r="L324">
        <v>1504.61649186054</v>
      </c>
      <c r="M324">
        <v>16153.5444393733</v>
      </c>
      <c r="N324">
        <v>8162.5025400179402</v>
      </c>
      <c r="O324">
        <v>1478.0070836831601</v>
      </c>
      <c r="P324">
        <v>3605.7018182876</v>
      </c>
      <c r="Q324">
        <v>14412.6015965932</v>
      </c>
      <c r="R324">
        <v>1826.3251950495101</v>
      </c>
      <c r="S324">
        <v>487.07458622961002</v>
      </c>
      <c r="T324">
        <v>1851.0069288135501</v>
      </c>
      <c r="U324">
        <v>113.61037594906399</v>
      </c>
      <c r="V324">
        <v>1770.9220717477101</v>
      </c>
      <c r="W324">
        <v>114.652706467269</v>
      </c>
      <c r="X324">
        <v>1090.47580780666</v>
      </c>
      <c r="Y324">
        <v>575.65565832545701</v>
      </c>
      <c r="Z324">
        <v>138.385439450983</v>
      </c>
      <c r="AA324">
        <v>711.03808883301497</v>
      </c>
      <c r="AB324">
        <v>765.25440434598499</v>
      </c>
      <c r="AC324">
        <v>219.47918229524799</v>
      </c>
      <c r="AD324">
        <v>1232.0330298372601</v>
      </c>
      <c r="AE324">
        <v>99.809449898230895</v>
      </c>
      <c r="AF324">
        <v>293.023744822396</v>
      </c>
      <c r="AG324">
        <v>804.80457561240905</v>
      </c>
    </row>
    <row r="325" spans="1:33" x14ac:dyDescent="0.25">
      <c r="A325" s="1">
        <v>44376</v>
      </c>
      <c r="B325">
        <v>18434.3332218502</v>
      </c>
      <c r="C325">
        <v>15393.217516201799</v>
      </c>
      <c r="D325">
        <v>17484.536605274599</v>
      </c>
      <c r="E325">
        <v>19227.235814328698</v>
      </c>
      <c r="F325">
        <v>18286.060848924499</v>
      </c>
      <c r="G325">
        <v>17123.191201890699</v>
      </c>
      <c r="H325">
        <v>29766.318153641299</v>
      </c>
      <c r="I325">
        <v>21890.240119813701</v>
      </c>
      <c r="J325">
        <v>2749.6578489496101</v>
      </c>
      <c r="K325">
        <v>2408.76427940242</v>
      </c>
      <c r="L325">
        <v>1453.09557665293</v>
      </c>
      <c r="M325">
        <v>15587.687077512999</v>
      </c>
      <c r="N325">
        <v>7667.9691888442303</v>
      </c>
      <c r="O325">
        <v>1359.8951427157001</v>
      </c>
      <c r="P325">
        <v>3511.92145036699</v>
      </c>
      <c r="Q325">
        <v>13795.730633999299</v>
      </c>
      <c r="R325">
        <v>1697.1468890639101</v>
      </c>
      <c r="S325">
        <v>517.88348257561495</v>
      </c>
      <c r="T325">
        <v>1584.52521578446</v>
      </c>
      <c r="U325">
        <v>113.07207814590301</v>
      </c>
      <c r="V325">
        <v>1452.38604311739</v>
      </c>
      <c r="W325">
        <v>116.083649622669</v>
      </c>
      <c r="X325">
        <v>814.25904692016297</v>
      </c>
      <c r="Y325">
        <v>538.17524805961398</v>
      </c>
      <c r="Z325">
        <v>138.274226750693</v>
      </c>
      <c r="AA325">
        <v>715.46356799164005</v>
      </c>
      <c r="AB325">
        <v>747.89392978805097</v>
      </c>
      <c r="AC325">
        <v>207.58236026847601</v>
      </c>
      <c r="AD325">
        <v>1194.21024744332</v>
      </c>
      <c r="AE325">
        <v>83.780483670852405</v>
      </c>
      <c r="AF325">
        <v>285.91369071714598</v>
      </c>
      <c r="AG325">
        <v>808.06744928835201</v>
      </c>
    </row>
    <row r="326" spans="1:33" x14ac:dyDescent="0.25">
      <c r="A326" s="1">
        <v>44377</v>
      </c>
      <c r="B326">
        <v>18534.797004340999</v>
      </c>
      <c r="C326">
        <v>15497.617321059201</v>
      </c>
      <c r="D326">
        <v>17546.237423551302</v>
      </c>
      <c r="E326">
        <v>19209.556461841399</v>
      </c>
      <c r="F326">
        <v>17736.6633706307</v>
      </c>
      <c r="G326">
        <v>17104.6623733534</v>
      </c>
      <c r="H326">
        <v>29685.266065464999</v>
      </c>
      <c r="I326">
        <v>21866.280461631701</v>
      </c>
      <c r="J326">
        <v>2736.0146746887399</v>
      </c>
      <c r="K326">
        <v>2400.8783572647999</v>
      </c>
      <c r="L326">
        <v>1412.57540734851</v>
      </c>
      <c r="M326">
        <v>15362.390313308701</v>
      </c>
      <c r="N326">
        <v>6981.1833289250499</v>
      </c>
      <c r="O326">
        <v>1422.92066478723</v>
      </c>
      <c r="P326">
        <v>3476.6419360866898</v>
      </c>
      <c r="Q326">
        <v>13433.411769217601</v>
      </c>
      <c r="R326">
        <v>1679.58201653218</v>
      </c>
      <c r="S326">
        <v>550.90971704270305</v>
      </c>
      <c r="T326">
        <v>1315.8562977745801</v>
      </c>
      <c r="U326">
        <v>113.390466261867</v>
      </c>
      <c r="V326">
        <v>955.48795325552896</v>
      </c>
      <c r="W326">
        <v>115.125940380937</v>
      </c>
      <c r="X326">
        <v>361.18177164312601</v>
      </c>
      <c r="Y326">
        <v>539.680520916516</v>
      </c>
      <c r="Z326">
        <v>150.42468473618101</v>
      </c>
      <c r="AA326">
        <v>716.21513950516203</v>
      </c>
      <c r="AB326">
        <v>771.66036623602201</v>
      </c>
      <c r="AC326">
        <v>202.84892000766399</v>
      </c>
      <c r="AD326">
        <v>1180.9178802895501</v>
      </c>
      <c r="AE326">
        <v>82.015297482718196</v>
      </c>
      <c r="AF326">
        <v>275.46313204232598</v>
      </c>
      <c r="AG326">
        <v>811.65955624371895</v>
      </c>
    </row>
    <row r="327" spans="1:33" x14ac:dyDescent="0.25">
      <c r="A327" s="1">
        <v>44378</v>
      </c>
      <c r="B327">
        <v>18743.4257835274</v>
      </c>
      <c r="C327">
        <v>15468.3350311749</v>
      </c>
      <c r="D327">
        <v>17638.818377313801</v>
      </c>
      <c r="E327">
        <v>19207.509026009699</v>
      </c>
      <c r="F327">
        <v>17514.3456838071</v>
      </c>
      <c r="G327">
        <v>16827.720965003002</v>
      </c>
      <c r="H327">
        <v>29605.807023424</v>
      </c>
      <c r="I327">
        <v>21909.548715410801</v>
      </c>
      <c r="J327">
        <v>2738.3749298891998</v>
      </c>
      <c r="K327">
        <v>2386.7899388301398</v>
      </c>
      <c r="L327">
        <v>1399.5407708022601</v>
      </c>
      <c r="M327">
        <v>15137.3501213002</v>
      </c>
      <c r="N327">
        <v>6430.3098715855403</v>
      </c>
      <c r="O327">
        <v>1470.8344782035999</v>
      </c>
      <c r="P327">
        <v>3417.69483492273</v>
      </c>
      <c r="Q327">
        <v>13179.501699233801</v>
      </c>
      <c r="R327">
        <v>1696.6847294678601</v>
      </c>
      <c r="S327">
        <v>594.44134296278503</v>
      </c>
      <c r="T327">
        <v>1140.48612068177</v>
      </c>
      <c r="U327">
        <v>113.84011015706599</v>
      </c>
      <c r="V327">
        <v>689.06455429804305</v>
      </c>
      <c r="W327">
        <v>113.376707609771</v>
      </c>
      <c r="X327">
        <v>320.52429527134097</v>
      </c>
      <c r="Y327">
        <v>548.39327641932096</v>
      </c>
      <c r="Z327">
        <v>149.588775662975</v>
      </c>
      <c r="AA327">
        <v>715.136049749054</v>
      </c>
      <c r="AB327">
        <v>816.83246885917094</v>
      </c>
      <c r="AC327">
        <v>193.12318852893699</v>
      </c>
      <c r="AD327">
        <v>1171.1962041327699</v>
      </c>
      <c r="AE327">
        <v>82.015299615907594</v>
      </c>
      <c r="AF327">
        <v>264.89897092690597</v>
      </c>
      <c r="AG327">
        <v>814.81299271779301</v>
      </c>
    </row>
    <row r="328" spans="1:33" x14ac:dyDescent="0.25">
      <c r="A328" s="1">
        <v>44379</v>
      </c>
      <c r="B328">
        <v>19121.887116669601</v>
      </c>
      <c r="C328">
        <v>15380.353497505899</v>
      </c>
      <c r="D328">
        <v>17685.392916941</v>
      </c>
      <c r="E328">
        <v>19255.925502835998</v>
      </c>
      <c r="F328">
        <v>17400.178375790401</v>
      </c>
      <c r="G328">
        <v>16664.4655756385</v>
      </c>
      <c r="H328">
        <v>29433.2444809564</v>
      </c>
      <c r="I328">
        <v>21917.935436071999</v>
      </c>
      <c r="J328">
        <v>2754.0349174522098</v>
      </c>
      <c r="K328">
        <v>2375.2064198622002</v>
      </c>
      <c r="L328">
        <v>1389.92532827386</v>
      </c>
      <c r="M328">
        <v>14881.696999961599</v>
      </c>
      <c r="N328">
        <v>5967.8588827220501</v>
      </c>
      <c r="O328">
        <v>1492.2112680770999</v>
      </c>
      <c r="P328">
        <v>3336.0530001748798</v>
      </c>
      <c r="Q328">
        <v>12891.656559081201</v>
      </c>
      <c r="R328">
        <v>1712.2494998990501</v>
      </c>
      <c r="S328">
        <v>629.33258336405697</v>
      </c>
      <c r="T328">
        <v>989.81111875454496</v>
      </c>
      <c r="U328">
        <v>113.8652775802</v>
      </c>
      <c r="V328">
        <v>623.73278476920098</v>
      </c>
      <c r="W328">
        <v>113.68517459514599</v>
      </c>
      <c r="X328">
        <v>337.11451617168001</v>
      </c>
      <c r="Y328">
        <v>553.02753932727001</v>
      </c>
      <c r="Z328">
        <v>149.138727886114</v>
      </c>
      <c r="AA328">
        <v>714.60352822694495</v>
      </c>
      <c r="AB328">
        <v>848.01495924266305</v>
      </c>
      <c r="AC328">
        <v>188.37251107510301</v>
      </c>
      <c r="AD328">
        <v>1169.33957024903</v>
      </c>
      <c r="AE328">
        <v>80.330361185391297</v>
      </c>
      <c r="AF328">
        <v>259.28608128691701</v>
      </c>
      <c r="AG328">
        <v>813.99685648874095</v>
      </c>
    </row>
    <row r="329" spans="1:33" x14ac:dyDescent="0.25">
      <c r="A329" s="1">
        <v>44380</v>
      </c>
      <c r="B329">
        <v>19443.664890413998</v>
      </c>
      <c r="C329">
        <v>15299.8222960933</v>
      </c>
      <c r="D329">
        <v>17856.137139491701</v>
      </c>
      <c r="E329">
        <v>19451.3570397023</v>
      </c>
      <c r="F329">
        <v>17657.965342044401</v>
      </c>
      <c r="G329">
        <v>16744.108608820901</v>
      </c>
      <c r="H329">
        <v>29930.531719269999</v>
      </c>
      <c r="I329">
        <v>21975.232904967401</v>
      </c>
      <c r="J329">
        <v>2796.9815006439298</v>
      </c>
      <c r="K329">
        <v>2359.6179454975199</v>
      </c>
      <c r="L329">
        <v>1397.8561602341599</v>
      </c>
      <c r="M329">
        <v>15014.715829057101</v>
      </c>
      <c r="N329">
        <v>6132.9657027784397</v>
      </c>
      <c r="O329">
        <v>1523.6780115373001</v>
      </c>
      <c r="P329">
        <v>3286.7290359226499</v>
      </c>
      <c r="Q329">
        <v>13036.2722429719</v>
      </c>
      <c r="R329">
        <v>1742.47804753842</v>
      </c>
      <c r="S329">
        <v>660.225936899678</v>
      </c>
      <c r="T329">
        <v>995.120267942326</v>
      </c>
      <c r="U329">
        <v>113.88285138541799</v>
      </c>
      <c r="V329">
        <v>854.81585220627596</v>
      </c>
      <c r="W329">
        <v>107.72494028153901</v>
      </c>
      <c r="X329">
        <v>428.668219933285</v>
      </c>
      <c r="Y329">
        <v>551.02090719090904</v>
      </c>
      <c r="Z329">
        <v>140.13479034481699</v>
      </c>
      <c r="AA329">
        <v>704.71170771533298</v>
      </c>
      <c r="AB329">
        <v>855.20708596796601</v>
      </c>
      <c r="AC329">
        <v>189.594856238593</v>
      </c>
      <c r="AD329">
        <v>1174.1858589370399</v>
      </c>
      <c r="AE329">
        <v>89.810248519090393</v>
      </c>
      <c r="AF329">
        <v>256.90649761351398</v>
      </c>
      <c r="AG329">
        <v>806.34045099938999</v>
      </c>
    </row>
    <row r="330" spans="1:33" x14ac:dyDescent="0.25">
      <c r="A330" s="1">
        <v>44381</v>
      </c>
      <c r="B330">
        <v>19589.6471416397</v>
      </c>
      <c r="C330">
        <v>15210.515748415201</v>
      </c>
      <c r="D330">
        <v>18096.773066335099</v>
      </c>
      <c r="E330">
        <v>19712.293088595601</v>
      </c>
      <c r="F330">
        <v>17972.819601680701</v>
      </c>
      <c r="G330">
        <v>16853.159792153499</v>
      </c>
      <c r="H330">
        <v>30398.778715224598</v>
      </c>
      <c r="I330">
        <v>22027.7041378258</v>
      </c>
      <c r="J330">
        <v>2825.8009701568899</v>
      </c>
      <c r="K330">
        <v>2334.8791288736402</v>
      </c>
      <c r="L330">
        <v>1419.64174259623</v>
      </c>
      <c r="M330">
        <v>15305.7133648122</v>
      </c>
      <c r="N330">
        <v>6639.3094893411098</v>
      </c>
      <c r="O330">
        <v>1550.10857486695</v>
      </c>
      <c r="P330">
        <v>3292.16851901886</v>
      </c>
      <c r="Q330">
        <v>13329.1687266015</v>
      </c>
      <c r="R330">
        <v>1798.26685809014</v>
      </c>
      <c r="S330">
        <v>681.04757762743202</v>
      </c>
      <c r="T330">
        <v>1101.13073940956</v>
      </c>
      <c r="U330">
        <v>108.857743192996</v>
      </c>
      <c r="V330">
        <v>986.50618614806206</v>
      </c>
      <c r="W330">
        <v>106.51973818624499</v>
      </c>
      <c r="X330">
        <v>480.64203855085799</v>
      </c>
      <c r="Y330">
        <v>574.51870852590605</v>
      </c>
      <c r="Z330">
        <v>137.91551470304799</v>
      </c>
      <c r="AA330">
        <v>700.65095448028501</v>
      </c>
      <c r="AB330">
        <v>854.69061804454395</v>
      </c>
      <c r="AC330">
        <v>194.92764065252501</v>
      </c>
      <c r="AD330">
        <v>1188.55719222885</v>
      </c>
      <c r="AE330">
        <v>96.179068314676996</v>
      </c>
      <c r="AF330">
        <v>254.28723587212099</v>
      </c>
      <c r="AG330">
        <v>793.26087814034804</v>
      </c>
    </row>
    <row r="331" spans="1:33" x14ac:dyDescent="0.25">
      <c r="A331" s="1">
        <v>44382</v>
      </c>
      <c r="B331">
        <v>19667.648264123</v>
      </c>
      <c r="C331">
        <v>15104.1586838489</v>
      </c>
      <c r="D331">
        <v>18244.960572940599</v>
      </c>
      <c r="E331">
        <v>19923.468276272</v>
      </c>
      <c r="F331">
        <v>18093.928276760202</v>
      </c>
      <c r="G331">
        <v>16829.263312880201</v>
      </c>
      <c r="H331">
        <v>30480.470319800301</v>
      </c>
      <c r="I331">
        <v>22098.705826785601</v>
      </c>
      <c r="J331">
        <v>2840.6635463442899</v>
      </c>
      <c r="K331">
        <v>2309.3061453137002</v>
      </c>
      <c r="L331">
        <v>1447.23410363886</v>
      </c>
      <c r="M331">
        <v>15427.3475610598</v>
      </c>
      <c r="N331">
        <v>7092.6348476808898</v>
      </c>
      <c r="O331">
        <v>1531.9875400333499</v>
      </c>
      <c r="P331">
        <v>3327.7321190238699</v>
      </c>
      <c r="Q331">
        <v>13533.4952642321</v>
      </c>
      <c r="R331">
        <v>1830.26459322046</v>
      </c>
      <c r="S331">
        <v>689.631743692947</v>
      </c>
      <c r="T331">
        <v>1210.73434259295</v>
      </c>
      <c r="U331">
        <v>107.066089108206</v>
      </c>
      <c r="V331">
        <v>1098.09876046763</v>
      </c>
      <c r="W331">
        <v>113.528939391851</v>
      </c>
      <c r="X331">
        <v>552.98316773870101</v>
      </c>
      <c r="Y331">
        <v>580.48951704101398</v>
      </c>
      <c r="Z331">
        <v>138.266988234004</v>
      </c>
      <c r="AA331">
        <v>696.86400046939798</v>
      </c>
      <c r="AB331">
        <v>834.01183879720304</v>
      </c>
      <c r="AC331">
        <v>193.26276342182399</v>
      </c>
      <c r="AD331">
        <v>1200.0982790734699</v>
      </c>
      <c r="AE331">
        <v>105.30524533837399</v>
      </c>
      <c r="AF331">
        <v>248.19748136246301</v>
      </c>
      <c r="AG331">
        <v>780.97544103128905</v>
      </c>
    </row>
    <row r="332" spans="1:33" x14ac:dyDescent="0.25">
      <c r="A332" s="1">
        <v>44383</v>
      </c>
      <c r="B332">
        <v>19728.5821460033</v>
      </c>
      <c r="C332">
        <v>15083.9465848371</v>
      </c>
      <c r="D332">
        <v>18339.609096746499</v>
      </c>
      <c r="E332">
        <v>20068.070433562101</v>
      </c>
      <c r="F332">
        <v>17980.299425498</v>
      </c>
      <c r="G332">
        <v>16594.4436387319</v>
      </c>
      <c r="H332">
        <v>30199.496358410299</v>
      </c>
      <c r="I332">
        <v>22150.8214315894</v>
      </c>
      <c r="J332">
        <v>2826.11127255372</v>
      </c>
      <c r="K332">
        <v>2296.6536064495199</v>
      </c>
      <c r="L332">
        <v>1454.4435380884099</v>
      </c>
      <c r="M332">
        <v>15255.419357955399</v>
      </c>
      <c r="N332">
        <v>7222.2430185949597</v>
      </c>
      <c r="O332">
        <v>1481.10494258013</v>
      </c>
      <c r="P332">
        <v>3318.50103744528</v>
      </c>
      <c r="Q332">
        <v>13488.042049092101</v>
      </c>
      <c r="R332">
        <v>1808.04351029857</v>
      </c>
      <c r="S332">
        <v>695.56814195250104</v>
      </c>
      <c r="T332">
        <v>1254.1094496211699</v>
      </c>
      <c r="U332">
        <v>113.235646569038</v>
      </c>
      <c r="V332">
        <v>1118.85581032299</v>
      </c>
      <c r="W332">
        <v>114.284200735292</v>
      </c>
      <c r="X332">
        <v>597.22257698375302</v>
      </c>
      <c r="Y332">
        <v>577.87957286656695</v>
      </c>
      <c r="Z332">
        <v>136.93008123439799</v>
      </c>
      <c r="AA332">
        <v>691.33107346358804</v>
      </c>
      <c r="AB332">
        <v>795.76764644989498</v>
      </c>
      <c r="AC332">
        <v>189.344602337981</v>
      </c>
      <c r="AD332">
        <v>1200.8758410108901</v>
      </c>
      <c r="AE332">
        <v>90.985350579801107</v>
      </c>
      <c r="AF332">
        <v>241.03664574806501</v>
      </c>
      <c r="AG332">
        <v>772.89893920385998</v>
      </c>
    </row>
    <row r="333" spans="1:33" x14ac:dyDescent="0.25">
      <c r="A333" s="1">
        <v>44384</v>
      </c>
      <c r="B333">
        <v>19818.903948827501</v>
      </c>
      <c r="C333">
        <v>15111.9331599504</v>
      </c>
      <c r="D333">
        <v>18453.239423600098</v>
      </c>
      <c r="E333">
        <v>20207.746862031301</v>
      </c>
      <c r="F333">
        <v>17556.1849678096</v>
      </c>
      <c r="G333">
        <v>16420.7878420329</v>
      </c>
      <c r="H333">
        <v>29648.852384872102</v>
      </c>
      <c r="I333">
        <v>22040.932906013699</v>
      </c>
      <c r="J333">
        <v>2776.5927488275502</v>
      </c>
      <c r="K333">
        <v>2295.8113536927199</v>
      </c>
      <c r="L333">
        <v>1442.64269823171</v>
      </c>
      <c r="M333">
        <v>15041.072836839499</v>
      </c>
      <c r="N333">
        <v>7208.0521486063999</v>
      </c>
      <c r="O333">
        <v>1406.17567865519</v>
      </c>
      <c r="P333">
        <v>3285.0017572388801</v>
      </c>
      <c r="Q333">
        <v>13301.623587541901</v>
      </c>
      <c r="R333">
        <v>1746.4338075159601</v>
      </c>
      <c r="S333">
        <v>699.15047275752295</v>
      </c>
      <c r="T333">
        <v>1245.7645530743</v>
      </c>
      <c r="U333">
        <v>113.9833620476</v>
      </c>
      <c r="V333">
        <v>1149.1601388555</v>
      </c>
      <c r="W333">
        <v>111.58957910998799</v>
      </c>
      <c r="X333">
        <v>640.749407739665</v>
      </c>
      <c r="Y333">
        <v>590.09882470263096</v>
      </c>
      <c r="Z333">
        <v>134.00991925837499</v>
      </c>
      <c r="AA333">
        <v>691.85637902925896</v>
      </c>
      <c r="AB333">
        <v>780.50792787034402</v>
      </c>
      <c r="AC333">
        <v>186.197763909381</v>
      </c>
      <c r="AD333">
        <v>1193.4060543676401</v>
      </c>
      <c r="AE333">
        <v>78.0148933511271</v>
      </c>
      <c r="AF333">
        <v>235.916191566972</v>
      </c>
      <c r="AG333">
        <v>770.32962311122697</v>
      </c>
    </row>
    <row r="334" spans="1:33" x14ac:dyDescent="0.25">
      <c r="A334" s="1">
        <v>44385</v>
      </c>
      <c r="B334">
        <v>19930.553525733001</v>
      </c>
      <c r="C334">
        <v>15094.4572041219</v>
      </c>
      <c r="D334">
        <v>18586.626210060898</v>
      </c>
      <c r="E334">
        <v>20278.832138449299</v>
      </c>
      <c r="F334">
        <v>17563.860269706202</v>
      </c>
      <c r="G334">
        <v>16771.997526569699</v>
      </c>
      <c r="H334">
        <v>29461.8314029871</v>
      </c>
      <c r="I334">
        <v>21830.415646977199</v>
      </c>
      <c r="J334">
        <v>2750.84316233345</v>
      </c>
      <c r="K334">
        <v>2304.0769162036499</v>
      </c>
      <c r="L334">
        <v>1434.34440929376</v>
      </c>
      <c r="M334">
        <v>15214.0457926583</v>
      </c>
      <c r="N334">
        <v>7181.57439499884</v>
      </c>
      <c r="O334">
        <v>1382.0108834983</v>
      </c>
      <c r="P334">
        <v>3373.2307690491498</v>
      </c>
      <c r="Q334">
        <v>13394.562239159</v>
      </c>
      <c r="R334">
        <v>1725.6358682796999</v>
      </c>
      <c r="S334">
        <v>702.03348280379305</v>
      </c>
      <c r="T334">
        <v>1297.49311067287</v>
      </c>
      <c r="U334">
        <v>111.877435817397</v>
      </c>
      <c r="V334">
        <v>1234.2790419226401</v>
      </c>
      <c r="W334">
        <v>111.345505655526</v>
      </c>
      <c r="X334">
        <v>709.06771901552997</v>
      </c>
      <c r="Y334">
        <v>623.341026638431</v>
      </c>
      <c r="Z334">
        <v>133.05311092685901</v>
      </c>
      <c r="AA334">
        <v>686.36345460939901</v>
      </c>
      <c r="AB334">
        <v>815.00272338786601</v>
      </c>
      <c r="AC334">
        <v>188.548171231174</v>
      </c>
      <c r="AD334">
        <v>1200.5126206183299</v>
      </c>
      <c r="AE334">
        <v>81.992809181342395</v>
      </c>
      <c r="AF334">
        <v>233.889972392423</v>
      </c>
      <c r="AG334">
        <v>769.40412125193905</v>
      </c>
    </row>
    <row r="335" spans="1:33" x14ac:dyDescent="0.25">
      <c r="A335" s="1">
        <v>44386</v>
      </c>
      <c r="B335">
        <v>19936.657749043501</v>
      </c>
      <c r="C335">
        <v>14927.7241885931</v>
      </c>
      <c r="D335">
        <v>18619.679083990701</v>
      </c>
      <c r="E335">
        <v>20234.6876834053</v>
      </c>
      <c r="F335">
        <v>17643.288327296301</v>
      </c>
      <c r="G335">
        <v>16977.448480286999</v>
      </c>
      <c r="H335">
        <v>29360.351487122101</v>
      </c>
      <c r="I335">
        <v>21613.332741635299</v>
      </c>
      <c r="J335">
        <v>2742.3156396111299</v>
      </c>
      <c r="K335">
        <v>2333.31851286357</v>
      </c>
      <c r="L335">
        <v>1426.38763114163</v>
      </c>
      <c r="M335">
        <v>15222.8747524183</v>
      </c>
      <c r="N335">
        <v>7049.7596679292101</v>
      </c>
      <c r="O335">
        <v>1356.23615566533</v>
      </c>
      <c r="P335">
        <v>3391.1914373685499</v>
      </c>
      <c r="Q335">
        <v>13425.952883821499</v>
      </c>
      <c r="R335">
        <v>1708.97601004442</v>
      </c>
      <c r="S335">
        <v>701.90642849962001</v>
      </c>
      <c r="T335">
        <v>1305.05020124109</v>
      </c>
      <c r="U335">
        <v>111.687072152715</v>
      </c>
      <c r="V335">
        <v>1328.25164056225</v>
      </c>
      <c r="W335">
        <v>110.787562752567</v>
      </c>
      <c r="X335">
        <v>792.007659337326</v>
      </c>
      <c r="Y335">
        <v>637.09664923826995</v>
      </c>
      <c r="Z335">
        <v>134.11991125685199</v>
      </c>
      <c r="AA335">
        <v>685.736360313565</v>
      </c>
      <c r="AB335">
        <v>821.88236715500398</v>
      </c>
      <c r="AC335">
        <v>193.43584011396601</v>
      </c>
      <c r="AD335">
        <v>1202.7232903035899</v>
      </c>
      <c r="AE335">
        <v>78.004814326957401</v>
      </c>
      <c r="AF335">
        <v>233.06259324176</v>
      </c>
      <c r="AG335">
        <v>773.14511748689699</v>
      </c>
    </row>
    <row r="336" spans="1:33" x14ac:dyDescent="0.25">
      <c r="A336" s="1">
        <v>44387</v>
      </c>
      <c r="B336">
        <v>19952.5817366421</v>
      </c>
      <c r="C336">
        <v>14733.7668201134</v>
      </c>
      <c r="D336">
        <v>18692.751672791001</v>
      </c>
      <c r="E336">
        <v>20238.168177290801</v>
      </c>
      <c r="F336">
        <v>17855.434693408301</v>
      </c>
      <c r="G336">
        <v>17434.945216187101</v>
      </c>
      <c r="H336">
        <v>29531.2629411618</v>
      </c>
      <c r="I336">
        <v>21494.795170319499</v>
      </c>
      <c r="J336">
        <v>2735.0435357093702</v>
      </c>
      <c r="K336">
        <v>2326.0883206765402</v>
      </c>
      <c r="L336">
        <v>1438.3351448485801</v>
      </c>
      <c r="M336">
        <v>15621.7119817816</v>
      </c>
      <c r="N336">
        <v>7190.3611565212104</v>
      </c>
      <c r="O336">
        <v>1404.2392993533699</v>
      </c>
      <c r="P336">
        <v>3455.4568889223101</v>
      </c>
      <c r="Q336">
        <v>13799.8937132724</v>
      </c>
      <c r="R336">
        <v>1754.2867850686</v>
      </c>
      <c r="S336">
        <v>701.28639175579099</v>
      </c>
      <c r="T336">
        <v>1403.76495533812</v>
      </c>
      <c r="U336">
        <v>111.309044314342</v>
      </c>
      <c r="V336">
        <v>1441.54254232218</v>
      </c>
      <c r="W336">
        <v>112.925481048508</v>
      </c>
      <c r="X336">
        <v>886.97909627287197</v>
      </c>
      <c r="Y336">
        <v>657.39192749621998</v>
      </c>
      <c r="Z336">
        <v>139.33848353930401</v>
      </c>
      <c r="AA336">
        <v>685.84096837122502</v>
      </c>
      <c r="AB336">
        <v>829.59923844569096</v>
      </c>
      <c r="AC336">
        <v>210.36639563342001</v>
      </c>
      <c r="AD336">
        <v>1218.76624961679</v>
      </c>
      <c r="AE336">
        <v>84.044382785066702</v>
      </c>
      <c r="AF336">
        <v>234.99071307740101</v>
      </c>
      <c r="AG336">
        <v>779.40221982103606</v>
      </c>
    </row>
    <row r="337" spans="1:33" x14ac:dyDescent="0.25">
      <c r="A337" s="1">
        <v>44388</v>
      </c>
      <c r="B337">
        <v>19965.5183532146</v>
      </c>
      <c r="C337">
        <v>14621.307534989101</v>
      </c>
      <c r="D337">
        <v>18797.012124438199</v>
      </c>
      <c r="E337">
        <v>20267.024204374</v>
      </c>
      <c r="F337">
        <v>18153.838614582801</v>
      </c>
      <c r="G337">
        <v>17683.528998628299</v>
      </c>
      <c r="H337">
        <v>29716.089982931098</v>
      </c>
      <c r="I337">
        <v>21517.413219653099</v>
      </c>
      <c r="J337">
        <v>2739.9945477402198</v>
      </c>
      <c r="K337">
        <v>2328.5623125504399</v>
      </c>
      <c r="L337">
        <v>1448.2246721684</v>
      </c>
      <c r="M337">
        <v>15950.396403348799</v>
      </c>
      <c r="N337">
        <v>7357.8478314516096</v>
      </c>
      <c r="O337">
        <v>1432.5631643429101</v>
      </c>
      <c r="P337">
        <v>3505.9241726629498</v>
      </c>
      <c r="Q337">
        <v>14087.8604796953</v>
      </c>
      <c r="R337">
        <v>1787.0676168637599</v>
      </c>
      <c r="S337">
        <v>699.54159568382704</v>
      </c>
      <c r="T337">
        <v>1459.98572926272</v>
      </c>
      <c r="U337">
        <v>113.332620775972</v>
      </c>
      <c r="V337">
        <v>1458.0811769490899</v>
      </c>
      <c r="W337">
        <v>112.350182957607</v>
      </c>
      <c r="X337">
        <v>909.18486130384701</v>
      </c>
      <c r="Y337">
        <v>647.04683295597704</v>
      </c>
      <c r="Z337">
        <v>140.41295906159201</v>
      </c>
      <c r="AA337">
        <v>689.10671981314999</v>
      </c>
      <c r="AB337">
        <v>819.78508477682396</v>
      </c>
      <c r="AC337">
        <v>218.642860568939</v>
      </c>
      <c r="AD337">
        <v>1221.7678910245099</v>
      </c>
      <c r="AE337">
        <v>100.60901242752</v>
      </c>
      <c r="AF337">
        <v>239.02008206793701</v>
      </c>
      <c r="AG337">
        <v>784.70421136002903</v>
      </c>
    </row>
    <row r="338" spans="1:33" x14ac:dyDescent="0.25">
      <c r="A338" s="1">
        <v>44389</v>
      </c>
      <c r="B338">
        <v>20007.676489941601</v>
      </c>
      <c r="C338">
        <v>14610.7214004051</v>
      </c>
      <c r="D338">
        <v>18872.446609258001</v>
      </c>
      <c r="E338">
        <v>20341.310633384601</v>
      </c>
      <c r="F338">
        <v>18324.278529432799</v>
      </c>
      <c r="G338">
        <v>17642.109845437299</v>
      </c>
      <c r="H338">
        <v>29985.3100698733</v>
      </c>
      <c r="I338">
        <v>21569.116332463302</v>
      </c>
      <c r="J338">
        <v>2732.9538746241101</v>
      </c>
      <c r="K338">
        <v>2318.72899211098</v>
      </c>
      <c r="L338">
        <v>1459.2828809812499</v>
      </c>
      <c r="M338">
        <v>16105.353883647</v>
      </c>
      <c r="N338">
        <v>7578.5607725031196</v>
      </c>
      <c r="O338">
        <v>1444.7448874976899</v>
      </c>
      <c r="P338">
        <v>3514.0632738034301</v>
      </c>
      <c r="Q338">
        <v>14243.974721099499</v>
      </c>
      <c r="R338">
        <v>1807.5193489435601</v>
      </c>
      <c r="S338">
        <v>696.29851619675298</v>
      </c>
      <c r="T338">
        <v>1537.57543923557</v>
      </c>
      <c r="U338">
        <v>112.989955837241</v>
      </c>
      <c r="V338">
        <v>1512.15459289763</v>
      </c>
      <c r="W338">
        <v>111.551391240363</v>
      </c>
      <c r="X338">
        <v>929.76284388505303</v>
      </c>
      <c r="Y338">
        <v>631.80973466767898</v>
      </c>
      <c r="Z338">
        <v>133.98589861863701</v>
      </c>
      <c r="AA338">
        <v>689.51740984904802</v>
      </c>
      <c r="AB338">
        <v>806.56603084577898</v>
      </c>
      <c r="AC338">
        <v>205.99984363721799</v>
      </c>
      <c r="AD338">
        <v>1225.2417424927501</v>
      </c>
      <c r="AE338">
        <v>96.051109107094305</v>
      </c>
      <c r="AF338">
        <v>244.20543940876601</v>
      </c>
      <c r="AG338">
        <v>788.67540366553203</v>
      </c>
    </row>
    <row r="339" spans="1:33" x14ac:dyDescent="0.25">
      <c r="A339" s="1">
        <v>44390</v>
      </c>
      <c r="B339">
        <v>20052.985091480001</v>
      </c>
      <c r="C339">
        <v>14690.3564913215</v>
      </c>
      <c r="D339">
        <v>18909.044023275401</v>
      </c>
      <c r="E339">
        <v>20356.713608198301</v>
      </c>
      <c r="F339">
        <v>18148.313996917299</v>
      </c>
      <c r="G339">
        <v>17294.335573144999</v>
      </c>
      <c r="H339">
        <v>30013.919796735201</v>
      </c>
      <c r="I339">
        <v>21643.350362652101</v>
      </c>
      <c r="J339">
        <v>2713.3379365119999</v>
      </c>
      <c r="K339">
        <v>2304.7784140987401</v>
      </c>
      <c r="L339">
        <v>1431.2566470265699</v>
      </c>
      <c r="M339">
        <v>15805.865430552099</v>
      </c>
      <c r="N339">
        <v>7427.5444210981204</v>
      </c>
      <c r="O339">
        <v>1391.36080303272</v>
      </c>
      <c r="P339">
        <v>3417.7602016978499</v>
      </c>
      <c r="Q339">
        <v>13994.952867956899</v>
      </c>
      <c r="R339">
        <v>1750.1855427523201</v>
      </c>
      <c r="S339">
        <v>693.330944304475</v>
      </c>
      <c r="T339">
        <v>1443.79528965348</v>
      </c>
      <c r="U339">
        <v>111.80406227535001</v>
      </c>
      <c r="V339">
        <v>1365.8856711675101</v>
      </c>
      <c r="W339">
        <v>117.253607341372</v>
      </c>
      <c r="X339">
        <v>799.35458760153494</v>
      </c>
      <c r="Y339">
        <v>588.96275991191806</v>
      </c>
      <c r="Z339">
        <v>127.584357225514</v>
      </c>
      <c r="AA339">
        <v>692.66056156453601</v>
      </c>
      <c r="AB339">
        <v>784.10456703289196</v>
      </c>
      <c r="AC339">
        <v>209.21959330841199</v>
      </c>
      <c r="AD339">
        <v>1197.4925813434299</v>
      </c>
      <c r="AE339">
        <v>97.251162074841304</v>
      </c>
      <c r="AF339">
        <v>248.95147998880401</v>
      </c>
      <c r="AG339">
        <v>790.93486682678395</v>
      </c>
    </row>
    <row r="340" spans="1:33" x14ac:dyDescent="0.25">
      <c r="A340" s="1">
        <v>44391</v>
      </c>
      <c r="B340">
        <v>20078.474458405599</v>
      </c>
      <c r="C340">
        <v>14808.2647452332</v>
      </c>
      <c r="D340">
        <v>18945.1523077813</v>
      </c>
      <c r="E340">
        <v>20370.0268216681</v>
      </c>
      <c r="F340">
        <v>17987.738894801201</v>
      </c>
      <c r="G340">
        <v>16871.4250719458</v>
      </c>
      <c r="H340">
        <v>29839.194149538202</v>
      </c>
      <c r="I340">
        <v>21712.426653339098</v>
      </c>
      <c r="J340">
        <v>2694.5446021163998</v>
      </c>
      <c r="K340">
        <v>2303.6793669726799</v>
      </c>
      <c r="L340">
        <v>1385.4919417910801</v>
      </c>
      <c r="M340">
        <v>15261.254423231299</v>
      </c>
      <c r="N340">
        <v>7066.0644192597101</v>
      </c>
      <c r="O340">
        <v>1329.5034224516301</v>
      </c>
      <c r="P340">
        <v>3298.4115475528502</v>
      </c>
      <c r="Q340">
        <v>13555.1142831862</v>
      </c>
      <c r="R340">
        <v>1671.6498555283399</v>
      </c>
      <c r="S340">
        <v>691.69438498928605</v>
      </c>
      <c r="T340">
        <v>1289.3954762103001</v>
      </c>
      <c r="U340">
        <v>117.42991770090801</v>
      </c>
      <c r="V340">
        <v>1216.5915135878599</v>
      </c>
      <c r="W340">
        <v>113.441491989116</v>
      </c>
      <c r="X340">
        <v>684.86426260875101</v>
      </c>
      <c r="Y340">
        <v>563.28274283949804</v>
      </c>
      <c r="Z340">
        <v>125.914935443709</v>
      </c>
      <c r="AA340">
        <v>698.47110081737003</v>
      </c>
      <c r="AB340">
        <v>765.92451843444701</v>
      </c>
      <c r="AC340">
        <v>197.52561306521801</v>
      </c>
      <c r="AD340">
        <v>1160.4612043884999</v>
      </c>
      <c r="AE340">
        <v>95.142899448845597</v>
      </c>
      <c r="AF340">
        <v>251.540335805268</v>
      </c>
      <c r="AG340">
        <v>792.29189495572496</v>
      </c>
    </row>
    <row r="341" spans="1:33" x14ac:dyDescent="0.25">
      <c r="A341" s="1">
        <v>44392</v>
      </c>
      <c r="B341">
        <v>20087.9681591074</v>
      </c>
      <c r="C341">
        <v>14889.6080889607</v>
      </c>
      <c r="D341">
        <v>18952.248832491601</v>
      </c>
      <c r="E341">
        <v>20349.440221896399</v>
      </c>
      <c r="F341">
        <v>17508.2514261793</v>
      </c>
      <c r="G341">
        <v>16520.7865609441</v>
      </c>
      <c r="H341">
        <v>29294.6717818734</v>
      </c>
      <c r="I341">
        <v>21695.8930059739</v>
      </c>
      <c r="J341">
        <v>2656.8955049009201</v>
      </c>
      <c r="K341">
        <v>2300.3863448301599</v>
      </c>
      <c r="L341">
        <v>1334.9720097125401</v>
      </c>
      <c r="M341">
        <v>14857.271882262799</v>
      </c>
      <c r="N341">
        <v>6653.9690275087196</v>
      </c>
      <c r="O341">
        <v>1251.00913702359</v>
      </c>
      <c r="P341">
        <v>3165.1446157473001</v>
      </c>
      <c r="Q341">
        <v>13127.6788578018</v>
      </c>
      <c r="R341">
        <v>1570.80270703777</v>
      </c>
      <c r="S341">
        <v>691.29836408574397</v>
      </c>
      <c r="T341">
        <v>1149.1032196587</v>
      </c>
      <c r="U341">
        <v>114.388262707206</v>
      </c>
      <c r="V341">
        <v>1079.29142891265</v>
      </c>
      <c r="W341">
        <v>114.744129471514</v>
      </c>
      <c r="X341">
        <v>599.23656911097396</v>
      </c>
      <c r="Y341">
        <v>557.39333731906299</v>
      </c>
      <c r="Z341">
        <v>125.090437373315</v>
      </c>
      <c r="AA341">
        <v>704.51878695194796</v>
      </c>
      <c r="AB341">
        <v>774.02070504424705</v>
      </c>
      <c r="AC341">
        <v>198.76807125917401</v>
      </c>
      <c r="AD341">
        <v>1122.47295082351</v>
      </c>
      <c r="AE341">
        <v>83.147083064445894</v>
      </c>
      <c r="AF341">
        <v>252.885860220034</v>
      </c>
      <c r="AG341">
        <v>793.50599548253399</v>
      </c>
    </row>
    <row r="342" spans="1:33" x14ac:dyDescent="0.25">
      <c r="A342" s="1">
        <v>44393</v>
      </c>
      <c r="B342">
        <v>20114.5510854452</v>
      </c>
      <c r="C342">
        <v>14875.653616842201</v>
      </c>
      <c r="D342">
        <v>18940.1044686727</v>
      </c>
      <c r="E342">
        <v>20311.555763365999</v>
      </c>
      <c r="F342">
        <v>16916.489082997599</v>
      </c>
      <c r="G342">
        <v>16117.0720739681</v>
      </c>
      <c r="H342">
        <v>28346.751071077098</v>
      </c>
      <c r="I342">
        <v>21634.4440799982</v>
      </c>
      <c r="J342">
        <v>2615.1981349778498</v>
      </c>
      <c r="K342">
        <v>2290.7403988261199</v>
      </c>
      <c r="L342">
        <v>1275.10112440476</v>
      </c>
      <c r="M342">
        <v>14398.567286540099</v>
      </c>
      <c r="N342">
        <v>6123.3436337539797</v>
      </c>
      <c r="O342">
        <v>1163.5157664097601</v>
      </c>
      <c r="P342">
        <v>3009.1873933474699</v>
      </c>
      <c r="Q342">
        <v>12523.8774425674</v>
      </c>
      <c r="R342">
        <v>1473.9806032332599</v>
      </c>
      <c r="S342">
        <v>692.21916246342005</v>
      </c>
      <c r="T342">
        <v>1011.4470845759801</v>
      </c>
      <c r="U342">
        <v>115.601288240936</v>
      </c>
      <c r="V342">
        <v>890.71059367202997</v>
      </c>
      <c r="W342">
        <v>115.705649224664</v>
      </c>
      <c r="X342">
        <v>448.402552790632</v>
      </c>
      <c r="Y342">
        <v>525.31901985304705</v>
      </c>
      <c r="Z342">
        <v>124.496968781345</v>
      </c>
      <c r="AA342">
        <v>709.56039667196603</v>
      </c>
      <c r="AB342">
        <v>773.44919431925996</v>
      </c>
      <c r="AC342">
        <v>200.79811729933201</v>
      </c>
      <c r="AD342">
        <v>1080.7151427646299</v>
      </c>
      <c r="AE342">
        <v>74.748486063300703</v>
      </c>
      <c r="AF342">
        <v>252.52517234528801</v>
      </c>
      <c r="AG342">
        <v>794.72883709636096</v>
      </c>
    </row>
    <row r="343" spans="1:33" x14ac:dyDescent="0.25">
      <c r="A343" s="1">
        <v>44394</v>
      </c>
      <c r="B343">
        <v>20209.959333338498</v>
      </c>
      <c r="C343">
        <v>14709.867814322201</v>
      </c>
      <c r="D343">
        <v>18945.620735743702</v>
      </c>
      <c r="E343">
        <v>20286.818836400598</v>
      </c>
      <c r="F343">
        <v>16800.4393727754</v>
      </c>
      <c r="G343">
        <v>16421.7469003925</v>
      </c>
      <c r="H343">
        <v>28436.0292580889</v>
      </c>
      <c r="I343">
        <v>21480.704986241199</v>
      </c>
      <c r="J343">
        <v>2596.4084959125698</v>
      </c>
      <c r="K343">
        <v>2296.8888017765398</v>
      </c>
      <c r="L343">
        <v>1239.1714897158599</v>
      </c>
      <c r="M343">
        <v>14470.7999044057</v>
      </c>
      <c r="N343">
        <v>5849.5771527282604</v>
      </c>
      <c r="O343">
        <v>1148.5074411926601</v>
      </c>
      <c r="P343">
        <v>2951.9617931928001</v>
      </c>
      <c r="Q343">
        <v>12517.916862149899</v>
      </c>
      <c r="R343">
        <v>1446.69177576927</v>
      </c>
      <c r="S343">
        <v>693.77919930601797</v>
      </c>
      <c r="T343">
        <v>984.90263979583005</v>
      </c>
      <c r="U343">
        <v>115.52371779996901</v>
      </c>
      <c r="V343">
        <v>879.83531843715195</v>
      </c>
      <c r="W343">
        <v>111.588272764089</v>
      </c>
      <c r="X343">
        <v>444.06175356409102</v>
      </c>
      <c r="Y343">
        <v>544.19115261550598</v>
      </c>
      <c r="Z343">
        <v>125.136486049317</v>
      </c>
      <c r="AA343">
        <v>707.00132313327094</v>
      </c>
      <c r="AB343">
        <v>806.94203312273896</v>
      </c>
      <c r="AC343">
        <v>216.72472570157501</v>
      </c>
      <c r="AD343">
        <v>1058.8967834283801</v>
      </c>
      <c r="AE343">
        <v>79.295756538556702</v>
      </c>
      <c r="AF343">
        <v>251.40374065378401</v>
      </c>
      <c r="AG343">
        <v>794.35446094557506</v>
      </c>
    </row>
    <row r="344" spans="1:33" x14ac:dyDescent="0.25">
      <c r="A344" s="1">
        <v>44395</v>
      </c>
      <c r="B344">
        <v>20314.8432199364</v>
      </c>
      <c r="C344">
        <v>14420.5293266357</v>
      </c>
      <c r="D344">
        <v>18968.438295655302</v>
      </c>
      <c r="E344">
        <v>20310.645584973201</v>
      </c>
      <c r="F344">
        <v>17106.047012012401</v>
      </c>
      <c r="G344">
        <v>16707.7941735647</v>
      </c>
      <c r="H344">
        <v>28812.8306806482</v>
      </c>
      <c r="I344">
        <v>21469.842906057798</v>
      </c>
      <c r="J344">
        <v>2619.1324731812801</v>
      </c>
      <c r="K344">
        <v>2280.73477106061</v>
      </c>
      <c r="L344">
        <v>1233.27173921812</v>
      </c>
      <c r="M344">
        <v>14701.1356817916</v>
      </c>
      <c r="N344">
        <v>5907.10985580742</v>
      </c>
      <c r="O344">
        <v>1204.5872060517299</v>
      </c>
      <c r="P344">
        <v>2980.92000437767</v>
      </c>
      <c r="Q344">
        <v>12779.657607368899</v>
      </c>
      <c r="R344">
        <v>1482.05601999132</v>
      </c>
      <c r="S344">
        <v>695.49108965293999</v>
      </c>
      <c r="T344">
        <v>1015.88204340809</v>
      </c>
      <c r="U344">
        <v>112.025196673046</v>
      </c>
      <c r="V344">
        <v>943.86837651779001</v>
      </c>
      <c r="W344">
        <v>114.074450399318</v>
      </c>
      <c r="X344">
        <v>491.54118674970499</v>
      </c>
      <c r="Y344">
        <v>594.83430611461699</v>
      </c>
      <c r="Z344">
        <v>125.957671247824</v>
      </c>
      <c r="AA344">
        <v>704.27527612912002</v>
      </c>
      <c r="AB344">
        <v>848.02350673212095</v>
      </c>
      <c r="AC344">
        <v>220.89936195547099</v>
      </c>
      <c r="AD344">
        <v>1055.7790167104099</v>
      </c>
      <c r="AE344">
        <v>82.015227087491894</v>
      </c>
      <c r="AF344">
        <v>249.766130124098</v>
      </c>
      <c r="AG344">
        <v>788.61597236387195</v>
      </c>
    </row>
    <row r="345" spans="1:33" x14ac:dyDescent="0.25">
      <c r="A345" s="1">
        <v>44396</v>
      </c>
      <c r="B345">
        <v>20323.563337842999</v>
      </c>
      <c r="C345">
        <v>14191.6839654126</v>
      </c>
      <c r="D345">
        <v>19042.4678030795</v>
      </c>
      <c r="E345">
        <v>20373.494507476698</v>
      </c>
      <c r="F345">
        <v>17418.431463103199</v>
      </c>
      <c r="G345">
        <v>16794.4617974555</v>
      </c>
      <c r="H345">
        <v>29026.2509550043</v>
      </c>
      <c r="I345">
        <v>21466.649838401801</v>
      </c>
      <c r="J345">
        <v>2645.9665849050498</v>
      </c>
      <c r="K345">
        <v>2264.9022421240902</v>
      </c>
      <c r="L345">
        <v>1250.5992892011</v>
      </c>
      <c r="M345">
        <v>15030.275782041101</v>
      </c>
      <c r="N345">
        <v>6183.7069642957904</v>
      </c>
      <c r="O345">
        <v>1239.55157705907</v>
      </c>
      <c r="P345">
        <v>3042.1430415457999</v>
      </c>
      <c r="Q345">
        <v>13044.834551608399</v>
      </c>
      <c r="R345">
        <v>1515.94282802421</v>
      </c>
      <c r="S345">
        <v>696.63212911385801</v>
      </c>
      <c r="T345">
        <v>1086.5292262954299</v>
      </c>
      <c r="U345">
        <v>113.846239202239</v>
      </c>
      <c r="V345">
        <v>1060.69216517719</v>
      </c>
      <c r="W345">
        <v>111.430830973205</v>
      </c>
      <c r="X345">
        <v>571.053429640319</v>
      </c>
      <c r="Y345">
        <v>599.08321176401398</v>
      </c>
      <c r="Z345">
        <v>126.676045068454</v>
      </c>
      <c r="AA345">
        <v>704.30794353997601</v>
      </c>
      <c r="AB345">
        <v>845.55757153807701</v>
      </c>
      <c r="AC345">
        <v>221.54458199881299</v>
      </c>
      <c r="AD345">
        <v>1065.5468407298799</v>
      </c>
      <c r="AE345">
        <v>82.015186556904496</v>
      </c>
      <c r="AF345">
        <v>248.43051059581899</v>
      </c>
      <c r="AG345">
        <v>777.30651094446705</v>
      </c>
    </row>
    <row r="346" spans="1:33" x14ac:dyDescent="0.25">
      <c r="A346" s="1">
        <v>44397</v>
      </c>
      <c r="B346">
        <v>20346.2311336614</v>
      </c>
      <c r="C346">
        <v>14174.6386910976</v>
      </c>
      <c r="D346">
        <v>19129.4911360517</v>
      </c>
      <c r="E346">
        <v>20431.8497907448</v>
      </c>
      <c r="F346">
        <v>17548.068930271002</v>
      </c>
      <c r="G346">
        <v>16823.4639877628</v>
      </c>
      <c r="H346">
        <v>29013.952128040899</v>
      </c>
      <c r="I346">
        <v>21394.316915478401</v>
      </c>
      <c r="J346">
        <v>2660.6387658296899</v>
      </c>
      <c r="K346">
        <v>2255.8952860797399</v>
      </c>
      <c r="L346">
        <v>1278.14118153238</v>
      </c>
      <c r="M346">
        <v>15269.413765884399</v>
      </c>
      <c r="N346">
        <v>6560.8429529196601</v>
      </c>
      <c r="O346">
        <v>1258.16424879945</v>
      </c>
      <c r="P346">
        <v>3134.67123083346</v>
      </c>
      <c r="Q346">
        <v>13315.424931732399</v>
      </c>
      <c r="R346">
        <v>1548.55428536464</v>
      </c>
      <c r="S346">
        <v>696.98446013002501</v>
      </c>
      <c r="T346">
        <v>1217.07448152761</v>
      </c>
      <c r="U346">
        <v>112.303882545053</v>
      </c>
      <c r="V346">
        <v>1173.2660378390301</v>
      </c>
      <c r="W346">
        <v>110.769113514927</v>
      </c>
      <c r="X346">
        <v>656.60521641007904</v>
      </c>
      <c r="Y346">
        <v>610.902207428662</v>
      </c>
      <c r="Z346">
        <v>127.60563160338999</v>
      </c>
      <c r="AA346">
        <v>703.20757389399398</v>
      </c>
      <c r="AB346">
        <v>831.51217095013601</v>
      </c>
      <c r="AC346">
        <v>219.81877203873799</v>
      </c>
      <c r="AD346">
        <v>1083.9898446490499</v>
      </c>
      <c r="AE346">
        <v>72.776604439190095</v>
      </c>
      <c r="AF346">
        <v>249.1372594529</v>
      </c>
      <c r="AG346">
        <v>769.70512222493403</v>
      </c>
    </row>
    <row r="347" spans="1:33" x14ac:dyDescent="0.25">
      <c r="A347" s="1">
        <v>44398</v>
      </c>
      <c r="B347">
        <v>20360.193344945699</v>
      </c>
      <c r="C347">
        <v>14266.573055577601</v>
      </c>
      <c r="D347">
        <v>19275.434589079399</v>
      </c>
      <c r="E347">
        <v>20492.556134198701</v>
      </c>
      <c r="F347">
        <v>17715.716445126</v>
      </c>
      <c r="G347">
        <v>17153.9330982147</v>
      </c>
      <c r="H347">
        <v>29166.616185699299</v>
      </c>
      <c r="I347">
        <v>21319.510652214201</v>
      </c>
      <c r="J347">
        <v>2689.6276974181001</v>
      </c>
      <c r="K347">
        <v>2231.4789465058702</v>
      </c>
      <c r="L347">
        <v>1317.66632594373</v>
      </c>
      <c r="M347">
        <v>15549.163903864899</v>
      </c>
      <c r="N347">
        <v>6992.5985745343796</v>
      </c>
      <c r="O347">
        <v>1295.5698878840601</v>
      </c>
      <c r="P347">
        <v>3241.4098885499402</v>
      </c>
      <c r="Q347">
        <v>13688.844222039999</v>
      </c>
      <c r="R347">
        <v>1594.7688186517</v>
      </c>
      <c r="S347">
        <v>695.60112100148899</v>
      </c>
      <c r="T347">
        <v>1374.98659974162</v>
      </c>
      <c r="U347">
        <v>111.475722367591</v>
      </c>
      <c r="V347">
        <v>1340.02467326948</v>
      </c>
      <c r="W347">
        <v>114.461989626391</v>
      </c>
      <c r="X347">
        <v>773.28968502241798</v>
      </c>
      <c r="Y347">
        <v>637.59450224673697</v>
      </c>
      <c r="Z347">
        <v>129.84777273544699</v>
      </c>
      <c r="AA347">
        <v>704.46728512931099</v>
      </c>
      <c r="AB347">
        <v>836.35561533971998</v>
      </c>
      <c r="AC347">
        <v>204.48493077404899</v>
      </c>
      <c r="AD347">
        <v>1112.9651501072401</v>
      </c>
      <c r="AE347">
        <v>73.944483673764395</v>
      </c>
      <c r="AF347">
        <v>251.932939922104</v>
      </c>
      <c r="AG347">
        <v>767.99516173439804</v>
      </c>
    </row>
    <row r="348" spans="1:33" x14ac:dyDescent="0.25">
      <c r="A348" s="1">
        <v>44399</v>
      </c>
      <c r="B348">
        <v>20367.017893576602</v>
      </c>
      <c r="C348">
        <v>14405.2165580442</v>
      </c>
      <c r="D348">
        <v>19397.402856018602</v>
      </c>
      <c r="E348">
        <v>20549.1718132022</v>
      </c>
      <c r="F348">
        <v>18028.558911192002</v>
      </c>
      <c r="G348">
        <v>17493.382700583701</v>
      </c>
      <c r="H348">
        <v>29225.982421974699</v>
      </c>
      <c r="I348">
        <v>21320.3948152376</v>
      </c>
      <c r="J348">
        <v>2709.89120539637</v>
      </c>
      <c r="K348">
        <v>2240.98260960785</v>
      </c>
      <c r="L348">
        <v>1355.5442409013399</v>
      </c>
      <c r="M348">
        <v>15750.869849348201</v>
      </c>
      <c r="N348">
        <v>7310.5049760488801</v>
      </c>
      <c r="O348">
        <v>1331.4653156888901</v>
      </c>
      <c r="P348">
        <v>3388.8879408416501</v>
      </c>
      <c r="Q348">
        <v>13967.4993470267</v>
      </c>
      <c r="R348">
        <v>1632.2613984493501</v>
      </c>
      <c r="S348">
        <v>692.19557182798303</v>
      </c>
      <c r="T348">
        <v>1516.61035437655</v>
      </c>
      <c r="U348">
        <v>114.628877014389</v>
      </c>
      <c r="V348">
        <v>1476.63856462588</v>
      </c>
      <c r="W348">
        <v>114.081371633267</v>
      </c>
      <c r="X348">
        <v>884.90737563421601</v>
      </c>
      <c r="Y348">
        <v>646.68375945054299</v>
      </c>
      <c r="Z348">
        <v>132.608030035902</v>
      </c>
      <c r="AA348">
        <v>703.43965173598099</v>
      </c>
      <c r="AB348">
        <v>829.83467621263196</v>
      </c>
      <c r="AC348">
        <v>182.26277393217299</v>
      </c>
      <c r="AD348">
        <v>1143.97567535905</v>
      </c>
      <c r="AE348">
        <v>72.600734811699994</v>
      </c>
      <c r="AF348">
        <v>254.62037909453099</v>
      </c>
      <c r="AG348">
        <v>772.75603293734002</v>
      </c>
    </row>
    <row r="349" spans="1:33" x14ac:dyDescent="0.25">
      <c r="A349" s="1">
        <v>44400</v>
      </c>
      <c r="B349">
        <v>20381.972676191399</v>
      </c>
      <c r="C349">
        <v>14599.074030481001</v>
      </c>
      <c r="D349">
        <v>19482.527402858999</v>
      </c>
      <c r="E349">
        <v>20583.2255961142</v>
      </c>
      <c r="F349">
        <v>18127.204940186301</v>
      </c>
      <c r="G349">
        <v>17496.2659581548</v>
      </c>
      <c r="H349">
        <v>29189.4899612548</v>
      </c>
      <c r="I349">
        <v>21347.7273514878</v>
      </c>
      <c r="J349">
        <v>2714.7946528277798</v>
      </c>
      <c r="K349">
        <v>2255.9222516833502</v>
      </c>
      <c r="L349">
        <v>1368.6006260399299</v>
      </c>
      <c r="M349">
        <v>15702.152474521599</v>
      </c>
      <c r="N349">
        <v>7365.9836205823403</v>
      </c>
      <c r="O349">
        <v>1317.2545535116101</v>
      </c>
      <c r="P349">
        <v>3423.6397807313101</v>
      </c>
      <c r="Q349">
        <v>13953.7900186181</v>
      </c>
      <c r="R349">
        <v>1640.01359377634</v>
      </c>
      <c r="S349">
        <v>689.62318647770599</v>
      </c>
      <c r="T349">
        <v>1566.2332235481899</v>
      </c>
      <c r="U349">
        <v>115.076040707902</v>
      </c>
      <c r="V349">
        <v>1521.66452005424</v>
      </c>
      <c r="W349">
        <v>117.003970429955</v>
      </c>
      <c r="X349">
        <v>923.30636748410495</v>
      </c>
      <c r="Y349">
        <v>634.90840710122995</v>
      </c>
      <c r="Z349">
        <v>133.570106368289</v>
      </c>
      <c r="AA349">
        <v>702.29760983281597</v>
      </c>
      <c r="AB349">
        <v>821.26757795350397</v>
      </c>
      <c r="AC349">
        <v>179.820358816116</v>
      </c>
      <c r="AD349">
        <v>1158.5864573491599</v>
      </c>
      <c r="AE349">
        <v>69.354350462681595</v>
      </c>
      <c r="AF349">
        <v>257.23062960041602</v>
      </c>
      <c r="AG349">
        <v>780.33429676181402</v>
      </c>
    </row>
    <row r="350" spans="1:33" x14ac:dyDescent="0.25">
      <c r="A350" s="1">
        <v>44401</v>
      </c>
      <c r="B350">
        <v>20424.361054866</v>
      </c>
      <c r="C350">
        <v>14789.1685704949</v>
      </c>
      <c r="D350">
        <v>19628.248180941398</v>
      </c>
      <c r="E350">
        <v>20677.614364419202</v>
      </c>
      <c r="F350">
        <v>18464.329313153899</v>
      </c>
      <c r="G350">
        <v>17988.834211676702</v>
      </c>
      <c r="H350">
        <v>29762.6974590625</v>
      </c>
      <c r="I350">
        <v>21436.136793897302</v>
      </c>
      <c r="J350">
        <v>2743.8565260425798</v>
      </c>
      <c r="K350">
        <v>2246.4207277996202</v>
      </c>
      <c r="L350">
        <v>1393.32684423204</v>
      </c>
      <c r="M350">
        <v>16017.8625010007</v>
      </c>
      <c r="N350">
        <v>7641.2179236162001</v>
      </c>
      <c r="O350">
        <v>1376.01847093167</v>
      </c>
      <c r="P350">
        <v>3512.9147902485502</v>
      </c>
      <c r="Q350">
        <v>14354.817904243901</v>
      </c>
      <c r="R350">
        <v>1694.16922476574</v>
      </c>
      <c r="S350">
        <v>688.50644424079906</v>
      </c>
      <c r="T350">
        <v>1666.3680048660401</v>
      </c>
      <c r="U350">
        <v>117.419147827944</v>
      </c>
      <c r="V350">
        <v>1658.33795437822</v>
      </c>
      <c r="W350">
        <v>117.169076243815</v>
      </c>
      <c r="X350">
        <v>1005.34017896798</v>
      </c>
      <c r="Y350">
        <v>650.187399156232</v>
      </c>
      <c r="Z350">
        <v>134.55658936820001</v>
      </c>
      <c r="AA350">
        <v>698.86390709331204</v>
      </c>
      <c r="AB350">
        <v>838.12673019965996</v>
      </c>
      <c r="AC350">
        <v>199.30571355516699</v>
      </c>
      <c r="AD350">
        <v>1182.7775957608801</v>
      </c>
      <c r="AE350">
        <v>79.106054094452006</v>
      </c>
      <c r="AF350">
        <v>259.13224603193601</v>
      </c>
      <c r="AG350">
        <v>791.18941117044994</v>
      </c>
    </row>
    <row r="351" spans="1:33" x14ac:dyDescent="0.25">
      <c r="A351" s="1">
        <v>44402</v>
      </c>
      <c r="B351">
        <v>20503.788049054299</v>
      </c>
      <c r="C351">
        <v>14968.630413284</v>
      </c>
      <c r="D351">
        <v>19781.5272845082</v>
      </c>
      <c r="E351">
        <v>20804.753468090599</v>
      </c>
      <c r="F351">
        <v>18799.581784772799</v>
      </c>
      <c r="G351">
        <v>17975.690435543602</v>
      </c>
      <c r="H351">
        <v>30125.939596694501</v>
      </c>
      <c r="I351">
        <v>21579.156276227801</v>
      </c>
      <c r="J351">
        <v>2789.1497171547098</v>
      </c>
      <c r="K351">
        <v>2231.5485993945899</v>
      </c>
      <c r="L351">
        <v>1424.5417890802401</v>
      </c>
      <c r="M351">
        <v>16198.651499948201</v>
      </c>
      <c r="N351">
        <v>7866.5865251123096</v>
      </c>
      <c r="O351">
        <v>1427.50934673756</v>
      </c>
      <c r="P351">
        <v>3556.8100046632499</v>
      </c>
      <c r="Q351">
        <v>14542.237436403801</v>
      </c>
      <c r="R351">
        <v>1755.1093323289799</v>
      </c>
      <c r="S351">
        <v>689.57263329720399</v>
      </c>
      <c r="T351">
        <v>1756.06963951578</v>
      </c>
      <c r="U351">
        <v>118.207014989035</v>
      </c>
      <c r="V351">
        <v>1687.6175176466099</v>
      </c>
      <c r="W351">
        <v>115.573511271599</v>
      </c>
      <c r="X351">
        <v>1016.7279615353</v>
      </c>
      <c r="Y351">
        <v>636.45718100465206</v>
      </c>
      <c r="Z351">
        <v>131.81768757879101</v>
      </c>
      <c r="AA351">
        <v>698.51637354751597</v>
      </c>
      <c r="AB351">
        <v>828.42522039986397</v>
      </c>
      <c r="AC351">
        <v>214.06553589737101</v>
      </c>
      <c r="AD351">
        <v>1200.80317250179</v>
      </c>
      <c r="AE351">
        <v>91.599245939667895</v>
      </c>
      <c r="AF351">
        <v>260.07393707951201</v>
      </c>
      <c r="AG351">
        <v>799.92694827742798</v>
      </c>
    </row>
    <row r="352" spans="1:33" x14ac:dyDescent="0.25">
      <c r="A352" s="1">
        <v>44403</v>
      </c>
      <c r="B352">
        <v>20607.5545698815</v>
      </c>
      <c r="C352">
        <v>15101.1575834699</v>
      </c>
      <c r="D352">
        <v>19934.245831162301</v>
      </c>
      <c r="E352">
        <v>20956.0181099742</v>
      </c>
      <c r="F352">
        <v>18846.522470022501</v>
      </c>
      <c r="G352">
        <v>17841.245130922602</v>
      </c>
      <c r="H352">
        <v>30326.751039577099</v>
      </c>
      <c r="I352">
        <v>21715.625976982599</v>
      </c>
      <c r="J352">
        <v>2805.0177739143001</v>
      </c>
      <c r="K352">
        <v>2212.7840384135302</v>
      </c>
      <c r="L352">
        <v>1430.19639599421</v>
      </c>
      <c r="M352">
        <v>16105.1285316663</v>
      </c>
      <c r="N352">
        <v>7958.1912886841401</v>
      </c>
      <c r="O352">
        <v>1423.4808111176201</v>
      </c>
      <c r="P352">
        <v>3555.0855724235598</v>
      </c>
      <c r="Q352">
        <v>14514.0900335559</v>
      </c>
      <c r="R352">
        <v>1750.78615438459</v>
      </c>
      <c r="S352">
        <v>694.10372645394</v>
      </c>
      <c r="T352">
        <v>1741.95542441766</v>
      </c>
      <c r="U352">
        <v>115.842072266185</v>
      </c>
      <c r="V352">
        <v>1652.9997061393899</v>
      </c>
      <c r="W352">
        <v>111.13330387947499</v>
      </c>
      <c r="X352">
        <v>983.36764631822598</v>
      </c>
      <c r="Y352">
        <v>592.02170145315699</v>
      </c>
      <c r="Z352">
        <v>127.76230798432999</v>
      </c>
      <c r="AA352">
        <v>700.91891674528495</v>
      </c>
      <c r="AB352">
        <v>802.19076719219595</v>
      </c>
      <c r="AC352">
        <v>217.121010242343</v>
      </c>
      <c r="AD352">
        <v>1194.41806650018</v>
      </c>
      <c r="AE352">
        <v>95.812767231985404</v>
      </c>
      <c r="AF352">
        <v>259.25510732042301</v>
      </c>
      <c r="AG352">
        <v>804.95100613252998</v>
      </c>
    </row>
    <row r="353" spans="1:33" x14ac:dyDescent="0.25">
      <c r="A353" s="1">
        <v>44404</v>
      </c>
      <c r="B353">
        <v>20697.4534123505</v>
      </c>
      <c r="C353">
        <v>15321.7218297814</v>
      </c>
      <c r="D353">
        <v>19879.649688943398</v>
      </c>
      <c r="E353">
        <v>20926.017975515999</v>
      </c>
      <c r="F353">
        <v>18280.421062449299</v>
      </c>
      <c r="G353">
        <v>16796.355411279601</v>
      </c>
      <c r="H353">
        <v>28995.618823971199</v>
      </c>
      <c r="I353">
        <v>21745.398430581801</v>
      </c>
      <c r="J353">
        <v>2760.4630018622502</v>
      </c>
      <c r="K353">
        <v>2227.8526031899</v>
      </c>
      <c r="L353">
        <v>1359.2737831898701</v>
      </c>
      <c r="M353">
        <v>15160.048955239999</v>
      </c>
      <c r="N353">
        <v>7152.6125728627003</v>
      </c>
      <c r="O353">
        <v>1248.39650703552</v>
      </c>
      <c r="P353">
        <v>3363.6129842570799</v>
      </c>
      <c r="Q353">
        <v>13499.499003122401</v>
      </c>
      <c r="R353">
        <v>1576.6433906829</v>
      </c>
      <c r="S353">
        <v>699.24780191587001</v>
      </c>
      <c r="T353">
        <v>1379.49731305298</v>
      </c>
      <c r="U353">
        <v>110.817269470692</v>
      </c>
      <c r="V353">
        <v>1257.7985838339901</v>
      </c>
      <c r="W353">
        <v>111.00873596014</v>
      </c>
      <c r="X353">
        <v>698.60325911717405</v>
      </c>
      <c r="Y353">
        <v>528.19127213878903</v>
      </c>
      <c r="Z353">
        <v>125.275397833949</v>
      </c>
      <c r="AA353">
        <v>712.21919812832402</v>
      </c>
      <c r="AB353">
        <v>754.84714576033605</v>
      </c>
      <c r="AC353">
        <v>215.14922547651199</v>
      </c>
      <c r="AD353">
        <v>1133.97896123228</v>
      </c>
      <c r="AE353">
        <v>73.744003547822899</v>
      </c>
      <c r="AF353">
        <v>254.55599476681101</v>
      </c>
      <c r="AG353">
        <v>807.35553405482403</v>
      </c>
    </row>
    <row r="354" spans="1:33" x14ac:dyDescent="0.25">
      <c r="A354" s="1">
        <v>44405</v>
      </c>
      <c r="B354">
        <v>20713.705393440199</v>
      </c>
      <c r="C354">
        <v>15398.252376833199</v>
      </c>
      <c r="D354">
        <v>19901.569171630301</v>
      </c>
      <c r="E354">
        <v>20904.0689631643</v>
      </c>
      <c r="F354">
        <v>17616.432200315801</v>
      </c>
      <c r="G354">
        <v>16792.8741106302</v>
      </c>
      <c r="H354">
        <v>28829.228428934701</v>
      </c>
      <c r="I354">
        <v>21608.833932956899</v>
      </c>
      <c r="J354">
        <v>2738.8637176823199</v>
      </c>
      <c r="K354">
        <v>2228.21192803436</v>
      </c>
      <c r="L354">
        <v>1314.2324176238601</v>
      </c>
      <c r="M354">
        <v>14993.2099677642</v>
      </c>
      <c r="N354">
        <v>6568.5926866052296</v>
      </c>
      <c r="O354">
        <v>1233.16062086639</v>
      </c>
      <c r="P354">
        <v>3187.2600338105699</v>
      </c>
      <c r="Q354">
        <v>13259.4723087196</v>
      </c>
      <c r="R354">
        <v>1547.24323138114</v>
      </c>
      <c r="S354">
        <v>706.19642785752603</v>
      </c>
      <c r="T354">
        <v>1228.9828203530201</v>
      </c>
      <c r="U354">
        <v>110.61391044135701</v>
      </c>
      <c r="V354">
        <v>1125.1090289707499</v>
      </c>
      <c r="W354">
        <v>113.84359762092799</v>
      </c>
      <c r="X354">
        <v>630.73182388979001</v>
      </c>
      <c r="Y354">
        <v>553.19486290605801</v>
      </c>
      <c r="Z354">
        <v>125.725334225824</v>
      </c>
      <c r="AA354">
        <v>705.92425706583197</v>
      </c>
      <c r="AB354">
        <v>783.35426095269997</v>
      </c>
      <c r="AC354">
        <v>193.741452321042</v>
      </c>
      <c r="AD354">
        <v>1110.7521212889999</v>
      </c>
      <c r="AE354">
        <v>72.474649976530102</v>
      </c>
      <c r="AF354">
        <v>249.30346384624599</v>
      </c>
      <c r="AG354">
        <v>808.97861593926405</v>
      </c>
    </row>
    <row r="355" spans="1:33" x14ac:dyDescent="0.25">
      <c r="A355" s="1">
        <v>44406</v>
      </c>
      <c r="B355">
        <v>20773.031066097799</v>
      </c>
      <c r="C355">
        <v>15321.509740371701</v>
      </c>
      <c r="D355">
        <v>20004.647127763299</v>
      </c>
      <c r="E355">
        <v>20949.284796156098</v>
      </c>
      <c r="F355">
        <v>17615.895152260298</v>
      </c>
      <c r="G355">
        <v>17130.614909422398</v>
      </c>
      <c r="H355">
        <v>29307.578481279801</v>
      </c>
      <c r="I355">
        <v>21645.7511888634</v>
      </c>
      <c r="J355">
        <v>2760.3516392976398</v>
      </c>
      <c r="K355">
        <v>2189.2405198957699</v>
      </c>
      <c r="L355">
        <v>1312.6599756084199</v>
      </c>
      <c r="M355">
        <v>15337.7824451129</v>
      </c>
      <c r="N355">
        <v>6746.9474704967197</v>
      </c>
      <c r="O355">
        <v>1292.1285736940299</v>
      </c>
      <c r="P355">
        <v>3205.6027829299601</v>
      </c>
      <c r="Q355">
        <v>13521.806524232201</v>
      </c>
      <c r="R355">
        <v>1576.7944719725599</v>
      </c>
      <c r="S355">
        <v>717.71268434735805</v>
      </c>
      <c r="T355">
        <v>1216.08873301175</v>
      </c>
      <c r="U355">
        <v>113.07191770147</v>
      </c>
      <c r="V355">
        <v>1128.1795534534201</v>
      </c>
      <c r="W355">
        <v>115.09587797759499</v>
      </c>
      <c r="X355">
        <v>627.774730846887</v>
      </c>
      <c r="Y355">
        <v>583.19193311112997</v>
      </c>
      <c r="Z355">
        <v>126.911316135828</v>
      </c>
      <c r="AA355">
        <v>703.14618823615206</v>
      </c>
      <c r="AB355">
        <v>827.57902727209898</v>
      </c>
      <c r="AC355">
        <v>185.49733713188999</v>
      </c>
      <c r="AD355">
        <v>1107.2032995509501</v>
      </c>
      <c r="AE355">
        <v>80.105569848273603</v>
      </c>
      <c r="AF355">
        <v>247.03732804253201</v>
      </c>
      <c r="AG355">
        <v>809.24417363766497</v>
      </c>
    </row>
    <row r="356" spans="1:33" x14ac:dyDescent="0.25">
      <c r="A356" s="1">
        <v>44407</v>
      </c>
      <c r="B356">
        <v>20904.369361361099</v>
      </c>
      <c r="C356">
        <v>15174.0133210403</v>
      </c>
      <c r="D356">
        <v>20049.145614830901</v>
      </c>
      <c r="E356">
        <v>20967.7149484197</v>
      </c>
      <c r="F356">
        <v>17848.6183372302</v>
      </c>
      <c r="G356">
        <v>17228.025293181799</v>
      </c>
      <c r="H356">
        <v>29556.930104438899</v>
      </c>
      <c r="I356">
        <v>21721.166164497699</v>
      </c>
      <c r="J356">
        <v>2775.9582656181901</v>
      </c>
      <c r="K356">
        <v>2156.10816684457</v>
      </c>
      <c r="L356">
        <v>1303.0809198514301</v>
      </c>
      <c r="M356">
        <v>15450.9421337533</v>
      </c>
      <c r="N356">
        <v>6741.2703176245404</v>
      </c>
      <c r="O356">
        <v>1310.90933854124</v>
      </c>
      <c r="P356">
        <v>3223.8741210117</v>
      </c>
      <c r="Q356">
        <v>13536.863477684899</v>
      </c>
      <c r="R356">
        <v>1590.14597517328</v>
      </c>
      <c r="S356">
        <v>729.44163683144097</v>
      </c>
      <c r="T356">
        <v>1191.99540260863</v>
      </c>
      <c r="U356">
        <v>114.24412998536801</v>
      </c>
      <c r="V356">
        <v>1021.07852848056</v>
      </c>
      <c r="W356">
        <v>115.665823106792</v>
      </c>
      <c r="X356">
        <v>491.27058634545102</v>
      </c>
      <c r="Y356">
        <v>575.78397362958503</v>
      </c>
      <c r="Z356">
        <v>127.71399122222201</v>
      </c>
      <c r="AA356">
        <v>711.24728601084598</v>
      </c>
      <c r="AB356">
        <v>831.44673161396202</v>
      </c>
      <c r="AC356">
        <v>184.89742033664299</v>
      </c>
      <c r="AD356">
        <v>1095.0863436355201</v>
      </c>
      <c r="AE356">
        <v>74.255079837994302</v>
      </c>
      <c r="AF356">
        <v>247.06630838309101</v>
      </c>
      <c r="AG356">
        <v>806.21548242311906</v>
      </c>
    </row>
    <row r="357" spans="1:33" x14ac:dyDescent="0.25">
      <c r="A357" s="1">
        <v>44408</v>
      </c>
      <c r="B357">
        <v>21034.3911091185</v>
      </c>
      <c r="C357">
        <v>15097.668248567201</v>
      </c>
      <c r="D357">
        <v>20105.243511380999</v>
      </c>
      <c r="E357">
        <v>21022.543554927699</v>
      </c>
      <c r="F357">
        <v>18247.277146528399</v>
      </c>
      <c r="G357">
        <v>17080.085073453902</v>
      </c>
      <c r="H357">
        <v>30082.162368462399</v>
      </c>
      <c r="I357">
        <v>21771.747711829299</v>
      </c>
      <c r="J357">
        <v>2815.0278877742098</v>
      </c>
      <c r="K357">
        <v>2132.4327452581902</v>
      </c>
      <c r="L357">
        <v>1296.4619062621</v>
      </c>
      <c r="M357">
        <v>15410.493358432301</v>
      </c>
      <c r="N357">
        <v>6828.3948193674996</v>
      </c>
      <c r="O357">
        <v>1377.7145701044899</v>
      </c>
      <c r="P357">
        <v>3207.1846310564802</v>
      </c>
      <c r="Q357">
        <v>13505.467088842601</v>
      </c>
      <c r="R357">
        <v>1620.2996129615599</v>
      </c>
      <c r="S357">
        <v>745.57543899520897</v>
      </c>
      <c r="T357">
        <v>1188.68251029271</v>
      </c>
      <c r="U357">
        <v>114.935745117278</v>
      </c>
      <c r="V357">
        <v>945.09139676467305</v>
      </c>
      <c r="W357">
        <v>114.39428457845</v>
      </c>
      <c r="X357">
        <v>440.49503609658598</v>
      </c>
      <c r="Y357">
        <v>563.67190099972095</v>
      </c>
      <c r="Z357">
        <v>128.69809709569699</v>
      </c>
      <c r="AA357">
        <v>713.00802872649103</v>
      </c>
      <c r="AB357">
        <v>857.10570732744202</v>
      </c>
      <c r="AC357">
        <v>183.92584994869199</v>
      </c>
      <c r="AD357">
        <v>1081.6397152945599</v>
      </c>
      <c r="AE357">
        <v>65.246889988145895</v>
      </c>
      <c r="AF357">
        <v>248.42358566330401</v>
      </c>
      <c r="AG357">
        <v>797.28121061069703</v>
      </c>
    </row>
    <row r="358" spans="1:33" x14ac:dyDescent="0.25">
      <c r="A358" s="1">
        <v>44409</v>
      </c>
      <c r="B358">
        <v>21096.343390576902</v>
      </c>
      <c r="C358">
        <v>14885.406217633101</v>
      </c>
      <c r="D358">
        <v>20045.232539308701</v>
      </c>
      <c r="E358">
        <v>21095.4153053423</v>
      </c>
      <c r="F358">
        <v>17999.062539066701</v>
      </c>
      <c r="G358">
        <v>16449.1474608221</v>
      </c>
      <c r="H358">
        <v>29358.4279526342</v>
      </c>
      <c r="I358">
        <v>21910.151787486899</v>
      </c>
      <c r="J358">
        <v>2818.0745658137598</v>
      </c>
      <c r="K358">
        <v>2118.7565456453999</v>
      </c>
      <c r="L358">
        <v>1266.7268696829501</v>
      </c>
      <c r="M358">
        <v>14910.783995764101</v>
      </c>
      <c r="N358">
        <v>6526.5809735267603</v>
      </c>
      <c r="O358">
        <v>1312.3088539852499</v>
      </c>
      <c r="P358">
        <v>3097.05044744521</v>
      </c>
      <c r="Q358">
        <v>12902.5050196427</v>
      </c>
      <c r="R358">
        <v>1590.41002543178</v>
      </c>
      <c r="S358">
        <v>753.07278464592196</v>
      </c>
      <c r="T358">
        <v>1106.5644071732099</v>
      </c>
      <c r="U358">
        <v>115.487263852563</v>
      </c>
      <c r="V358">
        <v>848.95038746128603</v>
      </c>
      <c r="W358">
        <v>121.33902484433401</v>
      </c>
      <c r="X358">
        <v>398.05438908033301</v>
      </c>
      <c r="Y358">
        <v>527.07989987273697</v>
      </c>
      <c r="Z358">
        <v>128.05583840368999</v>
      </c>
      <c r="AA358">
        <v>715.94258470740203</v>
      </c>
      <c r="AB358">
        <v>832.47397847801506</v>
      </c>
      <c r="AC358">
        <v>177.93812150281801</v>
      </c>
      <c r="AD358">
        <v>1057.1004225762299</v>
      </c>
      <c r="AE358">
        <v>90.999509997806499</v>
      </c>
      <c r="AF358">
        <v>247.13686002602401</v>
      </c>
      <c r="AG358">
        <v>784.54750855278405</v>
      </c>
    </row>
    <row r="359" spans="1:33" x14ac:dyDescent="0.25">
      <c r="A359" s="1">
        <v>44410</v>
      </c>
      <c r="B359">
        <v>21136.352548369399</v>
      </c>
      <c r="C359">
        <v>14838.1263358995</v>
      </c>
      <c r="D359">
        <v>20025.533089913999</v>
      </c>
      <c r="E359">
        <v>21176.957153756601</v>
      </c>
      <c r="F359">
        <v>17467.005095044799</v>
      </c>
      <c r="G359">
        <v>16076.821454159301</v>
      </c>
      <c r="H359">
        <v>28974.1948930896</v>
      </c>
      <c r="I359">
        <v>22012.103518003601</v>
      </c>
      <c r="J359">
        <v>2810.9675423205199</v>
      </c>
      <c r="K359">
        <v>2104.3378406113302</v>
      </c>
      <c r="L359">
        <v>1256.31768490745</v>
      </c>
      <c r="M359">
        <v>14550.618543242401</v>
      </c>
      <c r="N359">
        <v>6417.4268808429997</v>
      </c>
      <c r="O359">
        <v>1261.02649489438</v>
      </c>
      <c r="P359">
        <v>3025.5176544832898</v>
      </c>
      <c r="Q359">
        <v>12699.9445267184</v>
      </c>
      <c r="R359">
        <v>1536.1297939414701</v>
      </c>
      <c r="S359">
        <v>757.28440277981395</v>
      </c>
      <c r="T359">
        <v>1046.6331085050699</v>
      </c>
      <c r="U359">
        <v>120.369116385672</v>
      </c>
      <c r="V359">
        <v>874.60969885421503</v>
      </c>
      <c r="W359">
        <v>117.803395626184</v>
      </c>
      <c r="X359">
        <v>407.48912389515101</v>
      </c>
      <c r="Y359">
        <v>526.91513511885796</v>
      </c>
      <c r="Z359">
        <v>126.541206882487</v>
      </c>
      <c r="AA359">
        <v>710.48639846408003</v>
      </c>
      <c r="AB359">
        <v>812.52167004199202</v>
      </c>
      <c r="AC359">
        <v>171.24824082679299</v>
      </c>
      <c r="AD359">
        <v>1045.8700156</v>
      </c>
      <c r="AE359">
        <v>95.565365352545498</v>
      </c>
      <c r="AF359">
        <v>238.935700474128</v>
      </c>
      <c r="AG359">
        <v>771.35755282222101</v>
      </c>
    </row>
    <row r="360" spans="1:33" x14ac:dyDescent="0.25">
      <c r="A360" s="1">
        <v>44411</v>
      </c>
      <c r="B360">
        <v>21155.188725201599</v>
      </c>
      <c r="C360">
        <v>14845.9181314078</v>
      </c>
      <c r="D360">
        <v>20042.673861752999</v>
      </c>
      <c r="E360">
        <v>21237.607033405598</v>
      </c>
      <c r="F360">
        <v>17256.859315199301</v>
      </c>
      <c r="G360">
        <v>16036.863422668301</v>
      </c>
      <c r="H360">
        <v>29049.435886760501</v>
      </c>
      <c r="I360">
        <v>21873.604520078599</v>
      </c>
      <c r="J360">
        <v>2791.1293782242701</v>
      </c>
      <c r="K360">
        <v>2101.28714516738</v>
      </c>
      <c r="L360">
        <v>1257.77823893509</v>
      </c>
      <c r="M360">
        <v>14581.535858916201</v>
      </c>
      <c r="N360">
        <v>6480.3030889781803</v>
      </c>
      <c r="O360">
        <v>1219.24868980326</v>
      </c>
      <c r="P360">
        <v>3043.49733477271</v>
      </c>
      <c r="Q360">
        <v>12827.7277880037</v>
      </c>
      <c r="R360">
        <v>1526.4276983447101</v>
      </c>
      <c r="S360">
        <v>760.63800930636296</v>
      </c>
      <c r="T360">
        <v>1051.1202624453001</v>
      </c>
      <c r="U360">
        <v>118.009427375271</v>
      </c>
      <c r="V360">
        <v>992.27370162767102</v>
      </c>
      <c r="W360">
        <v>118.57990565859799</v>
      </c>
      <c r="X360">
        <v>528.73218127022096</v>
      </c>
      <c r="Y360">
        <v>593.36400739382498</v>
      </c>
      <c r="Z360">
        <v>125.96444575001701</v>
      </c>
      <c r="AA360">
        <v>699.03351828750101</v>
      </c>
      <c r="AB360">
        <v>811.80402591401798</v>
      </c>
      <c r="AC360">
        <v>173.30585880968701</v>
      </c>
      <c r="AD360">
        <v>1052.8220423790401</v>
      </c>
      <c r="AE360">
        <v>82.9347924943565</v>
      </c>
      <c r="AF360">
        <v>230.64200333927201</v>
      </c>
      <c r="AG360">
        <v>762.45955137118801</v>
      </c>
    </row>
    <row r="361" spans="1:33" x14ac:dyDescent="0.25">
      <c r="A361" s="1">
        <v>44412</v>
      </c>
      <c r="B361">
        <v>21185.427714678801</v>
      </c>
      <c r="C361">
        <v>14712.4374061292</v>
      </c>
      <c r="D361">
        <v>20107.587699196902</v>
      </c>
      <c r="E361">
        <v>21275.7121410824</v>
      </c>
      <c r="F361">
        <v>17427.371653845101</v>
      </c>
      <c r="G361">
        <v>16331.223926754399</v>
      </c>
      <c r="H361">
        <v>29679.377543668601</v>
      </c>
      <c r="I361">
        <v>21737.547050470501</v>
      </c>
      <c r="J361">
        <v>2766.8408246753002</v>
      </c>
      <c r="K361">
        <v>2093.4626538861298</v>
      </c>
      <c r="L361">
        <v>1285.2403833480701</v>
      </c>
      <c r="M361">
        <v>14969.357345214001</v>
      </c>
      <c r="N361">
        <v>6872.7759519704596</v>
      </c>
      <c r="O361">
        <v>1286.58862189715</v>
      </c>
      <c r="P361">
        <v>3115.8848831963101</v>
      </c>
      <c r="Q361">
        <v>13191.152392374701</v>
      </c>
      <c r="R361">
        <v>1603.3049288776599</v>
      </c>
      <c r="S361">
        <v>765.361505954103</v>
      </c>
      <c r="T361">
        <v>1165.88288867081</v>
      </c>
      <c r="U361">
        <v>118.519785825287</v>
      </c>
      <c r="V361">
        <v>1116.0777663118499</v>
      </c>
      <c r="W361">
        <v>116.34451972219399</v>
      </c>
      <c r="X361">
        <v>657.01937784745803</v>
      </c>
      <c r="Y361">
        <v>645.01732949431403</v>
      </c>
      <c r="Z361">
        <v>126.812036945188</v>
      </c>
      <c r="AA361">
        <v>686.78849845443096</v>
      </c>
      <c r="AB361">
        <v>814.97891810200395</v>
      </c>
      <c r="AC361">
        <v>193.796744050359</v>
      </c>
      <c r="AD361">
        <v>1075.3351073905401</v>
      </c>
      <c r="AE361">
        <v>76.168366409830099</v>
      </c>
      <c r="AF361">
        <v>225.26505871312901</v>
      </c>
      <c r="AG361">
        <v>762.52716144364001</v>
      </c>
    </row>
    <row r="362" spans="1:33" x14ac:dyDescent="0.25">
      <c r="A362" s="1">
        <v>44413</v>
      </c>
      <c r="B362">
        <v>21231.9098370674</v>
      </c>
      <c r="C362">
        <v>14594.9405676632</v>
      </c>
      <c r="D362">
        <v>20127.110361492501</v>
      </c>
      <c r="E362">
        <v>21288.661182185999</v>
      </c>
      <c r="F362">
        <v>17389.826240616301</v>
      </c>
      <c r="G362">
        <v>16182.7256358045</v>
      </c>
      <c r="H362">
        <v>29341.4001564672</v>
      </c>
      <c r="I362">
        <v>21656.8751626919</v>
      </c>
      <c r="J362">
        <v>2727.1537489361599</v>
      </c>
      <c r="K362">
        <v>2066.6854514185202</v>
      </c>
      <c r="L362">
        <v>1314.1435033350299</v>
      </c>
      <c r="M362">
        <v>14888.376769583399</v>
      </c>
      <c r="N362">
        <v>7026.33705520688</v>
      </c>
      <c r="O362">
        <v>1315.3129871435799</v>
      </c>
      <c r="P362">
        <v>3105.5151943917099</v>
      </c>
      <c r="Q362">
        <v>13169.833195036599</v>
      </c>
      <c r="R362">
        <v>1615.32135787127</v>
      </c>
      <c r="S362">
        <v>764.51703859180304</v>
      </c>
      <c r="T362">
        <v>1244.8226756295201</v>
      </c>
      <c r="U362">
        <v>117.347368192923</v>
      </c>
      <c r="V362">
        <v>1134.20479298293</v>
      </c>
      <c r="W362">
        <v>114.303627475569</v>
      </c>
      <c r="X362">
        <v>627.16356868244804</v>
      </c>
      <c r="Y362">
        <v>585.21458765971295</v>
      </c>
      <c r="Z362">
        <v>126.63409253242099</v>
      </c>
      <c r="AA362">
        <v>683.595167756705</v>
      </c>
      <c r="AB362">
        <v>799.12879545007695</v>
      </c>
      <c r="AC362">
        <v>209.72420601551499</v>
      </c>
      <c r="AD362">
        <v>1084.2199733269099</v>
      </c>
      <c r="AE362">
        <v>80.234276105769595</v>
      </c>
      <c r="AF362">
        <v>221.369623412252</v>
      </c>
      <c r="AG362">
        <v>767.18885206999903</v>
      </c>
    </row>
    <row r="363" spans="1:33" x14ac:dyDescent="0.25">
      <c r="A363" s="1">
        <v>44414</v>
      </c>
      <c r="B363">
        <v>21232.984288976601</v>
      </c>
      <c r="C363">
        <v>14526.270030879101</v>
      </c>
      <c r="D363">
        <v>20071.1939950339</v>
      </c>
      <c r="E363">
        <v>21225.146116470401</v>
      </c>
      <c r="F363">
        <v>17047.121293752702</v>
      </c>
      <c r="G363">
        <v>15827.008227009899</v>
      </c>
      <c r="H363">
        <v>28298.105159123501</v>
      </c>
      <c r="I363">
        <v>21369.920093212</v>
      </c>
      <c r="J363">
        <v>2671.8407370607201</v>
      </c>
      <c r="K363">
        <v>2070.0834893603001</v>
      </c>
      <c r="L363">
        <v>1281.09316415228</v>
      </c>
      <c r="M363">
        <v>14321.173080664301</v>
      </c>
      <c r="N363">
        <v>6455.3867669387</v>
      </c>
      <c r="O363">
        <v>1170.45642760496</v>
      </c>
      <c r="P363">
        <v>3054.5426975053301</v>
      </c>
      <c r="Q363">
        <v>12552.8933267828</v>
      </c>
      <c r="R363">
        <v>1494.2683216571299</v>
      </c>
      <c r="S363">
        <v>762.47836653666604</v>
      </c>
      <c r="T363">
        <v>1132.97749741145</v>
      </c>
      <c r="U363">
        <v>115.034878702239</v>
      </c>
      <c r="V363">
        <v>1076.3341593323901</v>
      </c>
      <c r="W363">
        <v>112.186175186269</v>
      </c>
      <c r="X363">
        <v>607.29627769722504</v>
      </c>
      <c r="Y363">
        <v>544.66754569526995</v>
      </c>
      <c r="Z363">
        <v>126.61604009742</v>
      </c>
      <c r="AA363">
        <v>689.60186437865696</v>
      </c>
      <c r="AB363">
        <v>770.48612636490702</v>
      </c>
      <c r="AC363">
        <v>222.55818478371199</v>
      </c>
      <c r="AD363">
        <v>1065.4816548333099</v>
      </c>
      <c r="AE363">
        <v>82.015239886623206</v>
      </c>
      <c r="AF363">
        <v>218.523203090506</v>
      </c>
      <c r="AG363">
        <v>770.90607064484595</v>
      </c>
    </row>
    <row r="364" spans="1:33" x14ac:dyDescent="0.25">
      <c r="A364" s="1">
        <v>44415</v>
      </c>
      <c r="B364">
        <v>21191.7732823396</v>
      </c>
      <c r="C364">
        <v>14465.567564622799</v>
      </c>
      <c r="D364">
        <v>20131.714175850699</v>
      </c>
      <c r="E364">
        <v>21146.308191063901</v>
      </c>
      <c r="F364">
        <v>17155.446674266601</v>
      </c>
      <c r="G364">
        <v>16599.7924796066</v>
      </c>
      <c r="H364">
        <v>28941.585533040699</v>
      </c>
      <c r="I364">
        <v>21035.496888742498</v>
      </c>
      <c r="J364">
        <v>2651.31249802303</v>
      </c>
      <c r="K364">
        <v>2113.19814568113</v>
      </c>
      <c r="L364">
        <v>1282.5010032390401</v>
      </c>
      <c r="M364">
        <v>14893.62375594</v>
      </c>
      <c r="N364">
        <v>6695.6116817371703</v>
      </c>
      <c r="O364">
        <v>1221.1059770173099</v>
      </c>
      <c r="P364">
        <v>3158.7052891079402</v>
      </c>
      <c r="Q364">
        <v>13057.988017322001</v>
      </c>
      <c r="R364">
        <v>1520.65154761382</v>
      </c>
      <c r="S364">
        <v>758.24207281890995</v>
      </c>
      <c r="T364">
        <v>1217.1909800026699</v>
      </c>
      <c r="U364">
        <v>112.959910866953</v>
      </c>
      <c r="V364">
        <v>1279.1936433982401</v>
      </c>
      <c r="W364">
        <v>115.240356857526</v>
      </c>
      <c r="X364">
        <v>766.50368462425104</v>
      </c>
      <c r="Y364">
        <v>612.59302262929896</v>
      </c>
      <c r="Z364">
        <v>129.88264093088901</v>
      </c>
      <c r="AA364">
        <v>686.243894637837</v>
      </c>
      <c r="AB364">
        <v>817.36644630942101</v>
      </c>
      <c r="AC364">
        <v>228.829710227454</v>
      </c>
      <c r="AD364">
        <v>1079.65707689081</v>
      </c>
      <c r="AE364">
        <v>82.015148159507802</v>
      </c>
      <c r="AF364">
        <v>217.93159779796201</v>
      </c>
      <c r="AG364">
        <v>776.42389624099405</v>
      </c>
    </row>
    <row r="365" spans="1:33" x14ac:dyDescent="0.25">
      <c r="A365" s="1">
        <v>44416</v>
      </c>
      <c r="B365">
        <v>21146.893863823501</v>
      </c>
      <c r="C365">
        <v>14399.169148541399</v>
      </c>
      <c r="D365">
        <v>20162.659778425801</v>
      </c>
      <c r="E365">
        <v>21063.6862174587</v>
      </c>
      <c r="F365">
        <v>17828.350447392299</v>
      </c>
      <c r="G365">
        <v>17326.186064863399</v>
      </c>
      <c r="H365">
        <v>29596.457658045601</v>
      </c>
      <c r="I365">
        <v>21027.187135922501</v>
      </c>
      <c r="J365">
        <v>2665.9428402810199</v>
      </c>
      <c r="K365">
        <v>2107.9374578895499</v>
      </c>
      <c r="L365">
        <v>1332.83111547203</v>
      </c>
      <c r="M365">
        <v>15519.487043748501</v>
      </c>
      <c r="N365">
        <v>7156.9331259233304</v>
      </c>
      <c r="O365">
        <v>1336.22457730618</v>
      </c>
      <c r="P365">
        <v>3322.26405915542</v>
      </c>
      <c r="Q365">
        <v>13868.030230517599</v>
      </c>
      <c r="R365">
        <v>1636.6575651283499</v>
      </c>
      <c r="S365">
        <v>750.74869801919294</v>
      </c>
      <c r="T365">
        <v>1445.0961115933501</v>
      </c>
      <c r="U365">
        <v>115.08107610763</v>
      </c>
      <c r="V365">
        <v>1452.8222896356799</v>
      </c>
      <c r="W365">
        <v>120.444078435271</v>
      </c>
      <c r="X365">
        <v>874.34933995510596</v>
      </c>
      <c r="Y365">
        <v>622.34831341483095</v>
      </c>
      <c r="Z365">
        <v>133.50347540576101</v>
      </c>
      <c r="AA365">
        <v>679.66643520850698</v>
      </c>
      <c r="AB365">
        <v>818.81487015766299</v>
      </c>
      <c r="AC365">
        <v>231.05548947733601</v>
      </c>
      <c r="AD365">
        <v>1124.3395654264</v>
      </c>
      <c r="AE365">
        <v>92.989487488645395</v>
      </c>
      <c r="AF365">
        <v>219.910585877746</v>
      </c>
      <c r="AG365">
        <v>783.32505976376797</v>
      </c>
    </row>
    <row r="366" spans="1:33" x14ac:dyDescent="0.25">
      <c r="A366" s="1">
        <v>44417</v>
      </c>
      <c r="B366">
        <v>21092.1749374869</v>
      </c>
      <c r="C366">
        <v>14377.729000868499</v>
      </c>
      <c r="D366">
        <v>20144.245921943599</v>
      </c>
      <c r="E366">
        <v>21048.784907595898</v>
      </c>
      <c r="F366">
        <v>18116.747642073198</v>
      </c>
      <c r="G366">
        <v>17297.5166314485</v>
      </c>
      <c r="H366">
        <v>29471.132340842199</v>
      </c>
      <c r="I366">
        <v>21133.471091332001</v>
      </c>
      <c r="J366">
        <v>2678.9692715901501</v>
      </c>
      <c r="K366">
        <v>2121.3551786800999</v>
      </c>
      <c r="L366">
        <v>1339.19081211258</v>
      </c>
      <c r="M366">
        <v>15544.126400688099</v>
      </c>
      <c r="N366">
        <v>7268.3456176800901</v>
      </c>
      <c r="O366">
        <v>1320.02498775753</v>
      </c>
      <c r="P366">
        <v>3355.6921259374499</v>
      </c>
      <c r="Q366">
        <v>13892.3629676824</v>
      </c>
      <c r="R366">
        <v>1619.4850193965499</v>
      </c>
      <c r="S366">
        <v>742.63475489362304</v>
      </c>
      <c r="T366">
        <v>1437.6728110685799</v>
      </c>
      <c r="U366">
        <v>120.37147979594199</v>
      </c>
      <c r="V366">
        <v>1434.1682240554701</v>
      </c>
      <c r="W366">
        <v>120.157688292928</v>
      </c>
      <c r="X366">
        <v>834.61818407361295</v>
      </c>
      <c r="Y366">
        <v>565.93900601662097</v>
      </c>
      <c r="Z366">
        <v>132.428163454414</v>
      </c>
      <c r="AA366">
        <v>692.08088930377096</v>
      </c>
      <c r="AB366">
        <v>787.51893083389302</v>
      </c>
      <c r="AC366">
        <v>228.395330782489</v>
      </c>
      <c r="AD366">
        <v>1122.9416653969599</v>
      </c>
      <c r="AE366">
        <v>93.707009696984002</v>
      </c>
      <c r="AF366">
        <v>225.455989970432</v>
      </c>
      <c r="AG366">
        <v>785.158477849821</v>
      </c>
    </row>
    <row r="367" spans="1:33" x14ac:dyDescent="0.25">
      <c r="A367" s="1">
        <v>44418</v>
      </c>
      <c r="B367">
        <v>21039.662907431299</v>
      </c>
      <c r="C367">
        <v>14466.125311559599</v>
      </c>
      <c r="D367">
        <v>20135.915954604901</v>
      </c>
      <c r="E367">
        <v>21052.719128867098</v>
      </c>
      <c r="F367">
        <v>18054.210283755299</v>
      </c>
      <c r="G367">
        <v>17155.552039464499</v>
      </c>
      <c r="H367">
        <v>29243.146770208299</v>
      </c>
      <c r="I367">
        <v>21191.800437681599</v>
      </c>
      <c r="J367">
        <v>2696.81939433765</v>
      </c>
      <c r="K367">
        <v>2133.8223579554201</v>
      </c>
      <c r="L367">
        <v>1324.93140804888</v>
      </c>
      <c r="M367">
        <v>15336.9914894548</v>
      </c>
      <c r="N367">
        <v>7137.26434424116</v>
      </c>
      <c r="O367">
        <v>1299.7051848917399</v>
      </c>
      <c r="P367">
        <v>3308.8065899908802</v>
      </c>
      <c r="Q367">
        <v>13725.181675100999</v>
      </c>
      <c r="R367">
        <v>1593.9105547531001</v>
      </c>
      <c r="S367">
        <v>735.02973449744502</v>
      </c>
      <c r="T367">
        <v>1387.0660779685099</v>
      </c>
      <c r="U367">
        <v>120.54943847736099</v>
      </c>
      <c r="V367">
        <v>1361.21836165543</v>
      </c>
      <c r="W367">
        <v>117.008476808087</v>
      </c>
      <c r="X367">
        <v>785.37964994871902</v>
      </c>
      <c r="Y367">
        <v>548.55991944341497</v>
      </c>
      <c r="Z367">
        <v>133.64411051306601</v>
      </c>
      <c r="AA367">
        <v>697.686232347378</v>
      </c>
      <c r="AB367">
        <v>769.83417010797302</v>
      </c>
      <c r="AC367">
        <v>223.321645225097</v>
      </c>
      <c r="AD367">
        <v>1111.0715806370499</v>
      </c>
      <c r="AE367">
        <v>82.015205755604697</v>
      </c>
      <c r="AF367">
        <v>233.318057053394</v>
      </c>
      <c r="AG367">
        <v>784.97962170397295</v>
      </c>
    </row>
    <row r="368" spans="1:33" x14ac:dyDescent="0.25">
      <c r="A368" s="1">
        <v>44419</v>
      </c>
      <c r="B368">
        <v>21006.173156584198</v>
      </c>
      <c r="C368">
        <v>14573.758349781399</v>
      </c>
      <c r="D368">
        <v>20140.450126062799</v>
      </c>
      <c r="E368">
        <v>21039.0036438641</v>
      </c>
      <c r="F368">
        <v>17836.573908792201</v>
      </c>
      <c r="G368">
        <v>17082.945115972401</v>
      </c>
      <c r="H368">
        <v>29064.823193933698</v>
      </c>
      <c r="I368">
        <v>21279.573403021601</v>
      </c>
      <c r="J368">
        <v>2705.37646680633</v>
      </c>
      <c r="K368">
        <v>2128.4374548174901</v>
      </c>
      <c r="L368">
        <v>1304.22272825805</v>
      </c>
      <c r="M368">
        <v>15291.747252114599</v>
      </c>
      <c r="N368">
        <v>6921.1223188673603</v>
      </c>
      <c r="O368">
        <v>1288.3898271365299</v>
      </c>
      <c r="P368">
        <v>3221.1271890161702</v>
      </c>
      <c r="Q368">
        <v>13640.5185403248</v>
      </c>
      <c r="R368">
        <v>1566.33548052736</v>
      </c>
      <c r="S368">
        <v>728.33200494808602</v>
      </c>
      <c r="T368">
        <v>1305.89967179525</v>
      </c>
      <c r="U368">
        <v>118.08263592697</v>
      </c>
      <c r="V368">
        <v>1270.14217436741</v>
      </c>
      <c r="W368">
        <v>114.378524382105</v>
      </c>
      <c r="X368">
        <v>729.42009932974997</v>
      </c>
      <c r="Y368">
        <v>545.88990605619904</v>
      </c>
      <c r="Z368">
        <v>133.63440291430899</v>
      </c>
      <c r="AA368">
        <v>697.94156606424599</v>
      </c>
      <c r="AB368">
        <v>760.44318632031104</v>
      </c>
      <c r="AC368">
        <v>217.00758735520199</v>
      </c>
      <c r="AD368">
        <v>1095.2417120139701</v>
      </c>
      <c r="AE368">
        <v>77.572899987837204</v>
      </c>
      <c r="AF368">
        <v>241.43880068864101</v>
      </c>
      <c r="AG368">
        <v>785.65552087912897</v>
      </c>
    </row>
    <row r="369" spans="1:33" x14ac:dyDescent="0.25">
      <c r="A369" s="1">
        <v>44420</v>
      </c>
      <c r="B369">
        <v>20981.757760845401</v>
      </c>
      <c r="C369">
        <v>14632.5339979084</v>
      </c>
      <c r="D369">
        <v>20180.876702260899</v>
      </c>
      <c r="E369">
        <v>21041.143296635801</v>
      </c>
      <c r="F369">
        <v>17557.749869248899</v>
      </c>
      <c r="G369">
        <v>16764.409953512899</v>
      </c>
      <c r="H369">
        <v>28894.630414434399</v>
      </c>
      <c r="I369">
        <v>21310.560743939001</v>
      </c>
      <c r="J369">
        <v>2696.4780788047101</v>
      </c>
      <c r="K369">
        <v>2093.5588095738399</v>
      </c>
      <c r="L369">
        <v>1284.53038121184</v>
      </c>
      <c r="M369">
        <v>15111.5892122028</v>
      </c>
      <c r="N369">
        <v>6775.7857749581899</v>
      </c>
      <c r="O369">
        <v>1270.69227141696</v>
      </c>
      <c r="P369">
        <v>3097.1328133510601</v>
      </c>
      <c r="Q369">
        <v>13388.2538326224</v>
      </c>
      <c r="R369">
        <v>1545.1567871321799</v>
      </c>
      <c r="S369">
        <v>723.26258406903901</v>
      </c>
      <c r="T369">
        <v>1214.67897525078</v>
      </c>
      <c r="U369">
        <v>115.112880161208</v>
      </c>
      <c r="V369">
        <v>1165.9819139122401</v>
      </c>
      <c r="W369">
        <v>116.58226922798799</v>
      </c>
      <c r="X369">
        <v>666.34010095583005</v>
      </c>
      <c r="Y369">
        <v>542.32736487650402</v>
      </c>
      <c r="Z369">
        <v>132.06202446279201</v>
      </c>
      <c r="AA369">
        <v>701.29754440199804</v>
      </c>
      <c r="AB369">
        <v>757.82111199369501</v>
      </c>
      <c r="AC369">
        <v>193.79454154058399</v>
      </c>
      <c r="AD369">
        <v>1074.49179308369</v>
      </c>
      <c r="AE369">
        <v>76.720101545596293</v>
      </c>
      <c r="AF369">
        <v>248.91664679897301</v>
      </c>
      <c r="AG369">
        <v>786.90055883903904</v>
      </c>
    </row>
    <row r="370" spans="1:33" x14ac:dyDescent="0.25">
      <c r="A370" s="1">
        <v>44421</v>
      </c>
      <c r="B370">
        <v>20976.516880735799</v>
      </c>
      <c r="C370">
        <v>14665.644471488</v>
      </c>
      <c r="D370">
        <v>20194.538457371898</v>
      </c>
      <c r="E370">
        <v>21063.841304870799</v>
      </c>
      <c r="F370">
        <v>17104.844738319702</v>
      </c>
      <c r="G370">
        <v>16330.14697217</v>
      </c>
      <c r="H370">
        <v>28370.9718865758</v>
      </c>
      <c r="I370">
        <v>21318.526240182899</v>
      </c>
      <c r="J370">
        <v>2660.7647505960999</v>
      </c>
      <c r="K370">
        <v>2079.6188705868899</v>
      </c>
      <c r="L370">
        <v>1247.06867481068</v>
      </c>
      <c r="M370">
        <v>14703.9723205381</v>
      </c>
      <c r="N370">
        <v>6401.8782682849296</v>
      </c>
      <c r="O370">
        <v>1178.9173250449001</v>
      </c>
      <c r="P370">
        <v>2961.2453961330798</v>
      </c>
      <c r="Q370">
        <v>12824.4441149208</v>
      </c>
      <c r="R370">
        <v>1458.87368212666</v>
      </c>
      <c r="S370">
        <v>721.17394057723504</v>
      </c>
      <c r="T370">
        <v>1101.67704953677</v>
      </c>
      <c r="U370">
        <v>116.781314978955</v>
      </c>
      <c r="V370">
        <v>1006.01007452676</v>
      </c>
      <c r="W370">
        <v>115.154423452321</v>
      </c>
      <c r="X370">
        <v>551.73197805163795</v>
      </c>
      <c r="Y370">
        <v>518.87466687200697</v>
      </c>
      <c r="Z370">
        <v>129.46810092977501</v>
      </c>
      <c r="AA370">
        <v>706.18069926350495</v>
      </c>
      <c r="AB370">
        <v>743.16725067999096</v>
      </c>
      <c r="AC370">
        <v>187.097700804185</v>
      </c>
      <c r="AD370">
        <v>1040.9356292176799</v>
      </c>
      <c r="AE370">
        <v>77.778177283929395</v>
      </c>
      <c r="AF370">
        <v>254.89090362870999</v>
      </c>
      <c r="AG370">
        <v>787.93846805033002</v>
      </c>
    </row>
    <row r="371" spans="1:33" x14ac:dyDescent="0.25">
      <c r="A371" s="1">
        <v>44422</v>
      </c>
      <c r="B371">
        <v>21000.832734627202</v>
      </c>
      <c r="C371">
        <v>14666.978756759499</v>
      </c>
      <c r="D371">
        <v>20220.787947651701</v>
      </c>
      <c r="E371">
        <v>21081.232749190101</v>
      </c>
      <c r="F371">
        <v>16741.2678531774</v>
      </c>
      <c r="G371">
        <v>16198.1797930253</v>
      </c>
      <c r="H371">
        <v>28238.270421732599</v>
      </c>
      <c r="I371">
        <v>21258.611251572202</v>
      </c>
      <c r="J371">
        <v>2633.4023206061602</v>
      </c>
      <c r="K371">
        <v>2075.5435152932801</v>
      </c>
      <c r="L371">
        <v>1209.60552961289</v>
      </c>
      <c r="M371">
        <v>14457.5320753039</v>
      </c>
      <c r="N371">
        <v>5996.1354657703496</v>
      </c>
      <c r="O371">
        <v>1115.2099815403801</v>
      </c>
      <c r="P371">
        <v>2870.3977767056099</v>
      </c>
      <c r="Q371">
        <v>12456.158356653101</v>
      </c>
      <c r="R371">
        <v>1411.65322950985</v>
      </c>
      <c r="S371">
        <v>720.15431059832997</v>
      </c>
      <c r="T371">
        <v>1059.26308731674</v>
      </c>
      <c r="U371">
        <v>115.760628247824</v>
      </c>
      <c r="V371">
        <v>932.97939750368505</v>
      </c>
      <c r="W371">
        <v>113.22819982628999</v>
      </c>
      <c r="X371">
        <v>489.73788356321398</v>
      </c>
      <c r="Y371">
        <v>523.87226270151302</v>
      </c>
      <c r="Z371">
        <v>128.16135593695</v>
      </c>
      <c r="AA371">
        <v>702.41509646221402</v>
      </c>
      <c r="AB371">
        <v>772.62775188208298</v>
      </c>
      <c r="AC371">
        <v>181.59265813263801</v>
      </c>
      <c r="AD371">
        <v>1019.82663209206</v>
      </c>
      <c r="AE371">
        <v>84.486304329907696</v>
      </c>
      <c r="AF371">
        <v>255.27245434603799</v>
      </c>
      <c r="AG371">
        <v>787.63785348781903</v>
      </c>
    </row>
    <row r="372" spans="1:33" x14ac:dyDescent="0.25">
      <c r="A372" s="1">
        <v>44423</v>
      </c>
      <c r="B372">
        <v>21053.9640288556</v>
      </c>
      <c r="C372">
        <v>14609.4986451196</v>
      </c>
      <c r="D372">
        <v>20307.672577835601</v>
      </c>
      <c r="E372">
        <v>21120.0964977681</v>
      </c>
      <c r="F372">
        <v>16952.473618166201</v>
      </c>
      <c r="G372">
        <v>16609.969183650599</v>
      </c>
      <c r="H372">
        <v>28806.1928063954</v>
      </c>
      <c r="I372">
        <v>21223.600110056399</v>
      </c>
      <c r="J372">
        <v>2653.91428891139</v>
      </c>
      <c r="K372">
        <v>2078.0953710049998</v>
      </c>
      <c r="L372">
        <v>1208.08129803421</v>
      </c>
      <c r="M372">
        <v>14824.653991187301</v>
      </c>
      <c r="N372">
        <v>6317.7690365611998</v>
      </c>
      <c r="O372">
        <v>1176.9201844304901</v>
      </c>
      <c r="P372">
        <v>2952.8001407111301</v>
      </c>
      <c r="Q372">
        <v>12837.3493740594</v>
      </c>
      <c r="R372">
        <v>1441.18431318424</v>
      </c>
      <c r="S372">
        <v>720.09076531032395</v>
      </c>
      <c r="T372">
        <v>1138.81536906785</v>
      </c>
      <c r="U372">
        <v>113.400244540572</v>
      </c>
      <c r="V372">
        <v>1054.09206620645</v>
      </c>
      <c r="W372">
        <v>112.103493415133</v>
      </c>
      <c r="X372">
        <v>558.99602735236795</v>
      </c>
      <c r="Y372">
        <v>583.001848991114</v>
      </c>
      <c r="Z372">
        <v>129.50462204341301</v>
      </c>
      <c r="AA372">
        <v>693.91507447227502</v>
      </c>
      <c r="AB372">
        <v>841.29489999165901</v>
      </c>
      <c r="AC372">
        <v>176.973352181596</v>
      </c>
      <c r="AD372">
        <v>1021.56858397693</v>
      </c>
      <c r="AE372">
        <v>120.63828090545</v>
      </c>
      <c r="AF372">
        <v>250.01297571467501</v>
      </c>
      <c r="AG372">
        <v>784.24894618926999</v>
      </c>
    </row>
    <row r="373" spans="1:33" x14ac:dyDescent="0.25">
      <c r="A373" s="1">
        <v>44424</v>
      </c>
      <c r="B373">
        <v>21112.037119360801</v>
      </c>
      <c r="C373">
        <v>14488.6158173612</v>
      </c>
      <c r="D373">
        <v>20338.7799616335</v>
      </c>
      <c r="E373">
        <v>21152.894773163702</v>
      </c>
      <c r="F373">
        <v>17245.469249061702</v>
      </c>
      <c r="G373">
        <v>16828.711536659099</v>
      </c>
      <c r="H373">
        <v>29054.708479591802</v>
      </c>
      <c r="I373">
        <v>21215.6991825193</v>
      </c>
      <c r="J373">
        <v>2652.8471490969901</v>
      </c>
      <c r="K373">
        <v>2089.1545707703099</v>
      </c>
      <c r="L373">
        <v>1219.08419309531</v>
      </c>
      <c r="M373">
        <v>15197.278190155699</v>
      </c>
      <c r="N373">
        <v>6543.6422068764596</v>
      </c>
      <c r="O373">
        <v>1214.6421784607201</v>
      </c>
      <c r="P373">
        <v>3014.1741962634001</v>
      </c>
      <c r="Q373">
        <v>13146.108008809601</v>
      </c>
      <c r="R373">
        <v>1485.6418836888699</v>
      </c>
      <c r="S373">
        <v>720.63521980069197</v>
      </c>
      <c r="T373">
        <v>1231.3290835019</v>
      </c>
      <c r="U373">
        <v>112.730326210588</v>
      </c>
      <c r="V373">
        <v>1114.2290941547799</v>
      </c>
      <c r="W373">
        <v>127.61508753858401</v>
      </c>
      <c r="X373">
        <v>579.075595772258</v>
      </c>
      <c r="Y373">
        <v>640.44612153339904</v>
      </c>
      <c r="Z373">
        <v>131.514512183764</v>
      </c>
      <c r="AA373">
        <v>690.56690489959306</v>
      </c>
      <c r="AB373">
        <v>866.22926694455305</v>
      </c>
      <c r="AC373">
        <v>176.582474412029</v>
      </c>
      <c r="AD373">
        <v>1031.3146604265401</v>
      </c>
      <c r="AE373">
        <v>129.818154066825</v>
      </c>
      <c r="AF373">
        <v>243.12387389691301</v>
      </c>
      <c r="AG373">
        <v>777.12954575347806</v>
      </c>
    </row>
    <row r="374" spans="1:33" x14ac:dyDescent="0.25">
      <c r="A374" s="1">
        <v>44425</v>
      </c>
      <c r="B374">
        <v>21164.958227598501</v>
      </c>
      <c r="C374">
        <v>14420.814680552499</v>
      </c>
      <c r="D374">
        <v>20398.057678588098</v>
      </c>
      <c r="E374">
        <v>21174.746299522401</v>
      </c>
      <c r="F374">
        <v>17583.8040494792</v>
      </c>
      <c r="G374">
        <v>17141.3693160045</v>
      </c>
      <c r="H374">
        <v>29382.6458960645</v>
      </c>
      <c r="I374">
        <v>21224.6076020908</v>
      </c>
      <c r="J374">
        <v>2668.6294275621299</v>
      </c>
      <c r="K374">
        <v>2113.9681148906602</v>
      </c>
      <c r="L374">
        <v>1253.1486784816</v>
      </c>
      <c r="M374">
        <v>15618.559436580699</v>
      </c>
      <c r="N374">
        <v>7017.2811956672103</v>
      </c>
      <c r="O374">
        <v>1240.6361436300101</v>
      </c>
      <c r="P374">
        <v>3159.2805196167801</v>
      </c>
      <c r="Q374">
        <v>13657.777024425601</v>
      </c>
      <c r="R374">
        <v>1541.1791880446399</v>
      </c>
      <c r="S374">
        <v>721.86341005594704</v>
      </c>
      <c r="T374">
        <v>1309.3612236701799</v>
      </c>
      <c r="U374">
        <v>125.77904331824701</v>
      </c>
      <c r="V374">
        <v>1248.66139216583</v>
      </c>
      <c r="W374">
        <v>129.23192545086999</v>
      </c>
      <c r="X374">
        <v>670.888049266233</v>
      </c>
      <c r="Y374">
        <v>686.793565657675</v>
      </c>
      <c r="Z374">
        <v>132.552455231945</v>
      </c>
      <c r="AA374">
        <v>687.67846025770098</v>
      </c>
      <c r="AB374">
        <v>858.27896345537897</v>
      </c>
      <c r="AC374">
        <v>180.68189229750001</v>
      </c>
      <c r="AD374">
        <v>1052.0944622818299</v>
      </c>
      <c r="AE374">
        <v>144.311811363809</v>
      </c>
      <c r="AF374">
        <v>237.513654564088</v>
      </c>
      <c r="AG374">
        <v>769.54530266539598</v>
      </c>
    </row>
    <row r="375" spans="1:33" x14ac:dyDescent="0.25">
      <c r="A375" s="1">
        <v>44426</v>
      </c>
      <c r="B375">
        <v>21176.213271020501</v>
      </c>
      <c r="C375">
        <v>14439.442633770799</v>
      </c>
      <c r="D375">
        <v>20410.581405797198</v>
      </c>
      <c r="E375">
        <v>21180.241522389599</v>
      </c>
      <c r="F375">
        <v>17926.374789802299</v>
      </c>
      <c r="G375">
        <v>17324.870608984598</v>
      </c>
      <c r="H375">
        <v>29457.094157329801</v>
      </c>
      <c r="I375">
        <v>21229.097175031398</v>
      </c>
      <c r="J375">
        <v>2684.0996157519799</v>
      </c>
      <c r="K375">
        <v>2115.2558098995801</v>
      </c>
      <c r="L375">
        <v>1279.28683553422</v>
      </c>
      <c r="M375">
        <v>15677.406047901301</v>
      </c>
      <c r="N375">
        <v>7169.7348295632601</v>
      </c>
      <c r="O375">
        <v>1262.99080863308</v>
      </c>
      <c r="P375">
        <v>3262.2402019088599</v>
      </c>
      <c r="Q375">
        <v>13837.2309969576</v>
      </c>
      <c r="R375">
        <v>1587.4489049604699</v>
      </c>
      <c r="S375">
        <v>722.14316432137605</v>
      </c>
      <c r="T375">
        <v>1368.9299826399199</v>
      </c>
      <c r="U375">
        <v>129.32233111527501</v>
      </c>
      <c r="V375">
        <v>1299.38337689883</v>
      </c>
      <c r="W375">
        <v>127.366632561453</v>
      </c>
      <c r="X375">
        <v>742.20052705538296</v>
      </c>
      <c r="Y375">
        <v>710.73029949898103</v>
      </c>
      <c r="Z375">
        <v>132.13595020187299</v>
      </c>
      <c r="AA375">
        <v>692.65023215561303</v>
      </c>
      <c r="AB375">
        <v>860.22414209241504</v>
      </c>
      <c r="AC375">
        <v>184.00511236137899</v>
      </c>
      <c r="AD375">
        <v>1077.3461600130699</v>
      </c>
      <c r="AE375">
        <v>205.51660074864901</v>
      </c>
      <c r="AF375">
        <v>233.43604336332299</v>
      </c>
      <c r="AG375">
        <v>765.36307665423794</v>
      </c>
    </row>
    <row r="376" spans="1:33" x14ac:dyDescent="0.25">
      <c r="A376" s="1">
        <v>44427</v>
      </c>
      <c r="B376">
        <v>21177.429018629799</v>
      </c>
      <c r="C376">
        <v>14606.6532520659</v>
      </c>
      <c r="D376">
        <v>20409.774668566599</v>
      </c>
      <c r="E376">
        <v>21190.468531100101</v>
      </c>
      <c r="F376">
        <v>18310.444361193098</v>
      </c>
      <c r="G376">
        <v>17521.705683472501</v>
      </c>
      <c r="H376">
        <v>29777.024225344801</v>
      </c>
      <c r="I376">
        <v>21306.079531608699</v>
      </c>
      <c r="J376">
        <v>2712.5391599958598</v>
      </c>
      <c r="K376">
        <v>2119.78904704244</v>
      </c>
      <c r="L376">
        <v>1314.4804710312301</v>
      </c>
      <c r="M376">
        <v>15872.113981906799</v>
      </c>
      <c r="N376">
        <v>7414.6588567818399</v>
      </c>
      <c r="O376">
        <v>1316.09400188838</v>
      </c>
      <c r="P376">
        <v>3335.5334364055602</v>
      </c>
      <c r="Q376">
        <v>14132.241063911601</v>
      </c>
      <c r="R376">
        <v>1650.6249840611499</v>
      </c>
      <c r="S376">
        <v>721.18268958479302</v>
      </c>
      <c r="T376">
        <v>1512.2756439746299</v>
      </c>
      <c r="U376">
        <v>127.837925197982</v>
      </c>
      <c r="V376">
        <v>1385.47644158196</v>
      </c>
      <c r="W376">
        <v>125.583937040238</v>
      </c>
      <c r="X376">
        <v>799.86621009013697</v>
      </c>
      <c r="Y376">
        <v>740.63345078251405</v>
      </c>
      <c r="Z376">
        <v>134.19026162207101</v>
      </c>
      <c r="AA376">
        <v>691.72294603688704</v>
      </c>
      <c r="AB376">
        <v>871.77262508068804</v>
      </c>
      <c r="AC376">
        <v>186.288688371983</v>
      </c>
      <c r="AD376">
        <v>1109.84600230657</v>
      </c>
      <c r="AE376">
        <v>211.75883286707199</v>
      </c>
      <c r="AF376">
        <v>231.05585115315901</v>
      </c>
      <c r="AG376">
        <v>766.25617034885897</v>
      </c>
    </row>
    <row r="377" spans="1:33" x14ac:dyDescent="0.25">
      <c r="A377" s="1">
        <v>44428</v>
      </c>
      <c r="B377">
        <v>21173.096791505999</v>
      </c>
      <c r="C377">
        <v>14854.766289457501</v>
      </c>
      <c r="D377">
        <v>20422.1499939561</v>
      </c>
      <c r="E377">
        <v>21223.506423276202</v>
      </c>
      <c r="F377">
        <v>18577.182562754399</v>
      </c>
      <c r="G377">
        <v>17591.6915697802</v>
      </c>
      <c r="H377">
        <v>29866.934637710099</v>
      </c>
      <c r="I377">
        <v>21435.145393311301</v>
      </c>
      <c r="J377">
        <v>2724.9534027392701</v>
      </c>
      <c r="K377">
        <v>2134.0904325331899</v>
      </c>
      <c r="L377">
        <v>1334.3652400286901</v>
      </c>
      <c r="M377">
        <v>15860.504753249201</v>
      </c>
      <c r="N377">
        <v>7549.6615102474098</v>
      </c>
      <c r="O377">
        <v>1303.0890296843099</v>
      </c>
      <c r="P377">
        <v>3422.9349189494001</v>
      </c>
      <c r="Q377">
        <v>14203.6170009042</v>
      </c>
      <c r="R377">
        <v>1635.43270497035</v>
      </c>
      <c r="S377">
        <v>719.47669354488903</v>
      </c>
      <c r="T377">
        <v>1555.8151167783999</v>
      </c>
      <c r="U377">
        <v>125.455757417161</v>
      </c>
      <c r="V377">
        <v>1413.9386150416501</v>
      </c>
      <c r="W377">
        <v>121.24939128935399</v>
      </c>
      <c r="X377">
        <v>815.89947454852302</v>
      </c>
      <c r="Y377">
        <v>763.53013004091099</v>
      </c>
      <c r="Z377">
        <v>130.90775717977201</v>
      </c>
      <c r="AA377">
        <v>690.37610630001097</v>
      </c>
      <c r="AB377">
        <v>882.25762694868502</v>
      </c>
      <c r="AC377">
        <v>186.21543870148199</v>
      </c>
      <c r="AD377">
        <v>1121.2100406745301</v>
      </c>
      <c r="AE377">
        <v>238.62445190419101</v>
      </c>
      <c r="AF377">
        <v>229.35153264843501</v>
      </c>
      <c r="AG377">
        <v>770.782851206705</v>
      </c>
    </row>
    <row r="378" spans="1:33" x14ac:dyDescent="0.25">
      <c r="A378" s="1">
        <v>44429</v>
      </c>
      <c r="B378">
        <v>21191.184282509399</v>
      </c>
      <c r="C378">
        <v>14997.474255540999</v>
      </c>
      <c r="D378">
        <v>20489.897993815299</v>
      </c>
      <c r="E378">
        <v>21307.741131516101</v>
      </c>
      <c r="F378">
        <v>18786.7715496442</v>
      </c>
      <c r="G378">
        <v>17836.356039769998</v>
      </c>
      <c r="H378">
        <v>29984.3894219957</v>
      </c>
      <c r="I378">
        <v>21566.199442119199</v>
      </c>
      <c r="J378">
        <v>2776.2247075809801</v>
      </c>
      <c r="K378">
        <v>2137.03130058853</v>
      </c>
      <c r="L378">
        <v>1365.30957457554</v>
      </c>
      <c r="M378">
        <v>16041.0642498415</v>
      </c>
      <c r="N378">
        <v>7710.5552817852504</v>
      </c>
      <c r="O378">
        <v>1340.43177918026</v>
      </c>
      <c r="P378">
        <v>3494.10757622448</v>
      </c>
      <c r="Q378">
        <v>14454.6639150761</v>
      </c>
      <c r="R378">
        <v>1685.3798206532001</v>
      </c>
      <c r="S378">
        <v>718.43955386134905</v>
      </c>
      <c r="T378">
        <v>1638.54352298546</v>
      </c>
      <c r="U378">
        <v>120.896547145814</v>
      </c>
      <c r="V378">
        <v>1517.5780609257099</v>
      </c>
      <c r="W378">
        <v>124.307055236393</v>
      </c>
      <c r="X378">
        <v>895.95458047072395</v>
      </c>
      <c r="Y378">
        <v>789.565115842517</v>
      </c>
      <c r="Z378">
        <v>128.59191941303601</v>
      </c>
      <c r="AA378">
        <v>688.70734388397705</v>
      </c>
      <c r="AB378">
        <v>894.81502269988698</v>
      </c>
      <c r="AC378">
        <v>186.06048159929401</v>
      </c>
      <c r="AD378">
        <v>1146.1319114656999</v>
      </c>
      <c r="AE378">
        <v>236.39481246594599</v>
      </c>
      <c r="AF378">
        <v>228.93893788902901</v>
      </c>
      <c r="AG378">
        <v>778.09663297525401</v>
      </c>
    </row>
    <row r="379" spans="1:33" x14ac:dyDescent="0.25">
      <c r="A379" s="1">
        <v>44430</v>
      </c>
      <c r="B379">
        <v>21226.725322864098</v>
      </c>
      <c r="C379">
        <v>15148.267158939399</v>
      </c>
      <c r="D379">
        <v>20554.559512357198</v>
      </c>
      <c r="E379">
        <v>21388.750444013702</v>
      </c>
      <c r="F379">
        <v>18725.436805882298</v>
      </c>
      <c r="G379">
        <v>17729.112566983698</v>
      </c>
      <c r="H379">
        <v>29702.790499139999</v>
      </c>
      <c r="I379">
        <v>21714.541591678299</v>
      </c>
      <c r="J379">
        <v>2790.58912478405</v>
      </c>
      <c r="K379">
        <v>2162.7454523790102</v>
      </c>
      <c r="L379">
        <v>1364.4844997380201</v>
      </c>
      <c r="M379">
        <v>15955.3412938568</v>
      </c>
      <c r="N379">
        <v>7612.1480297420003</v>
      </c>
      <c r="O379">
        <v>1307.49199243969</v>
      </c>
      <c r="P379">
        <v>3513.2988942260899</v>
      </c>
      <c r="Q379">
        <v>14281.671161096499</v>
      </c>
      <c r="R379">
        <v>1646.57232418478</v>
      </c>
      <c r="S379">
        <v>718.68276924461304</v>
      </c>
      <c r="T379">
        <v>1546.3403645204</v>
      </c>
      <c r="U379">
        <v>124.09245757233199</v>
      </c>
      <c r="V379">
        <v>1458.71378661726</v>
      </c>
      <c r="W379">
        <v>135.04800582684999</v>
      </c>
      <c r="X379">
        <v>843.63210914788101</v>
      </c>
      <c r="Y379">
        <v>763.95308928552697</v>
      </c>
      <c r="Z379">
        <v>126.56276052416</v>
      </c>
      <c r="AA379">
        <v>692.45340410008896</v>
      </c>
      <c r="AB379">
        <v>890.16243806177295</v>
      </c>
      <c r="AC379">
        <v>188.44423666616601</v>
      </c>
      <c r="AD379">
        <v>1144.7153931468499</v>
      </c>
      <c r="AE379">
        <v>245.46992259832899</v>
      </c>
      <c r="AF379">
        <v>227.78638909063201</v>
      </c>
      <c r="AG379">
        <v>784.80386364815899</v>
      </c>
    </row>
    <row r="380" spans="1:33" x14ac:dyDescent="0.25">
      <c r="A380" s="1">
        <v>44431</v>
      </c>
      <c r="B380">
        <v>21272.310317019899</v>
      </c>
      <c r="C380">
        <v>15275.056093974201</v>
      </c>
      <c r="D380">
        <v>20630.617521603799</v>
      </c>
      <c r="E380">
        <v>21440.327179669301</v>
      </c>
      <c r="F380">
        <v>18521.281757776502</v>
      </c>
      <c r="G380">
        <v>17703.812165229101</v>
      </c>
      <c r="H380">
        <v>29729.204016677599</v>
      </c>
      <c r="I380">
        <v>21778.329595587398</v>
      </c>
      <c r="J380">
        <v>2819.8272209187398</v>
      </c>
      <c r="K380">
        <v>2165.8096368578299</v>
      </c>
      <c r="L380">
        <v>1354.63112755318</v>
      </c>
      <c r="M380">
        <v>15854.695303541101</v>
      </c>
      <c r="N380">
        <v>7425.1181207709797</v>
      </c>
      <c r="O380">
        <v>1316.8502946522699</v>
      </c>
      <c r="P380">
        <v>3467.2411593335401</v>
      </c>
      <c r="Q380">
        <v>14175.105215064899</v>
      </c>
      <c r="R380">
        <v>1636.1976550116899</v>
      </c>
      <c r="S380">
        <v>720.58491145460403</v>
      </c>
      <c r="T380">
        <v>1444.10086759808</v>
      </c>
      <c r="U380">
        <v>133.60858765080701</v>
      </c>
      <c r="V380">
        <v>1378.6601888827799</v>
      </c>
      <c r="W380">
        <v>139.93373788420399</v>
      </c>
      <c r="X380">
        <v>794.06912336873995</v>
      </c>
      <c r="Y380">
        <v>774.84435684801997</v>
      </c>
      <c r="Z380">
        <v>128.67187217782501</v>
      </c>
      <c r="AA380">
        <v>696.97847149553604</v>
      </c>
      <c r="AB380">
        <v>899.89517311497605</v>
      </c>
      <c r="AC380">
        <v>194.72623424293599</v>
      </c>
      <c r="AD380">
        <v>1136.85292497145</v>
      </c>
      <c r="AE380">
        <v>222.733332571543</v>
      </c>
      <c r="AF380">
        <v>227.39923530194</v>
      </c>
      <c r="AG380">
        <v>787.70511681942196</v>
      </c>
    </row>
    <row r="381" spans="1:33" x14ac:dyDescent="0.25">
      <c r="A381" s="1">
        <v>44432</v>
      </c>
      <c r="B381">
        <v>21319.750514884799</v>
      </c>
      <c r="C381">
        <v>15323.3147241637</v>
      </c>
      <c r="D381">
        <v>20685.280826089001</v>
      </c>
      <c r="E381">
        <v>21472.940842806001</v>
      </c>
      <c r="F381">
        <v>18275.981339408499</v>
      </c>
      <c r="G381">
        <v>17317.067904533898</v>
      </c>
      <c r="H381">
        <v>29427.1970349244</v>
      </c>
      <c r="I381">
        <v>21831.311285159201</v>
      </c>
      <c r="J381">
        <v>2823.79387013532</v>
      </c>
      <c r="K381">
        <v>2163.3800488420302</v>
      </c>
      <c r="L381">
        <v>1331.2125561043199</v>
      </c>
      <c r="M381">
        <v>15586.7973476723</v>
      </c>
      <c r="N381">
        <v>7117.0683557689299</v>
      </c>
      <c r="O381">
        <v>1285.89666091866</v>
      </c>
      <c r="P381">
        <v>3361.35892931022</v>
      </c>
      <c r="Q381">
        <v>13924.963486164799</v>
      </c>
      <c r="R381">
        <v>1600.65559436849</v>
      </c>
      <c r="S381">
        <v>724.18322028946704</v>
      </c>
      <c r="T381">
        <v>1313.0589052717301</v>
      </c>
      <c r="U381">
        <v>139.96425183706901</v>
      </c>
      <c r="V381">
        <v>1220.28721088771</v>
      </c>
      <c r="W381">
        <v>143.579698968098</v>
      </c>
      <c r="X381">
        <v>697.42987606131396</v>
      </c>
      <c r="Y381">
        <v>765.59959585172601</v>
      </c>
      <c r="Z381">
        <v>131.73810231581101</v>
      </c>
      <c r="AA381">
        <v>699.01993050463602</v>
      </c>
      <c r="AB381">
        <v>897.00304927190803</v>
      </c>
      <c r="AC381">
        <v>205.67256862473499</v>
      </c>
      <c r="AD381">
        <v>1116.89117314141</v>
      </c>
      <c r="AE381">
        <v>213.95068754066401</v>
      </c>
      <c r="AF381">
        <v>227.276473458216</v>
      </c>
      <c r="AG381">
        <v>789.37116587932496</v>
      </c>
    </row>
    <row r="382" spans="1:33" x14ac:dyDescent="0.25">
      <c r="A382" s="1">
        <v>44433</v>
      </c>
      <c r="B382">
        <v>21354.3361630615</v>
      </c>
      <c r="C382">
        <v>15290.8738930544</v>
      </c>
      <c r="D382">
        <v>20685.163941339</v>
      </c>
      <c r="E382">
        <v>21469.541524705</v>
      </c>
      <c r="F382">
        <v>17777.137597816101</v>
      </c>
      <c r="G382">
        <v>16782.054694098199</v>
      </c>
      <c r="H382">
        <v>28781.982601638301</v>
      </c>
      <c r="I382">
        <v>21855.783987772102</v>
      </c>
      <c r="J382">
        <v>2802.95441495456</v>
      </c>
      <c r="K382">
        <v>2163.5951634203998</v>
      </c>
      <c r="L382">
        <v>1290.2314097421199</v>
      </c>
      <c r="M382">
        <v>15120.1763801858</v>
      </c>
      <c r="N382">
        <v>6634.8891897856201</v>
      </c>
      <c r="O382">
        <v>1215.92263095987</v>
      </c>
      <c r="P382">
        <v>3212.0333779354</v>
      </c>
      <c r="Q382">
        <v>13432.795987891601</v>
      </c>
      <c r="R382">
        <v>1527.8628073800601</v>
      </c>
      <c r="S382">
        <v>729.02159958387904</v>
      </c>
      <c r="T382">
        <v>1144.9564404621501</v>
      </c>
      <c r="U382">
        <v>144.40843815481301</v>
      </c>
      <c r="V382">
        <v>1022.62211892414</v>
      </c>
      <c r="W382">
        <v>147.86698037846099</v>
      </c>
      <c r="X382">
        <v>570.97207196694399</v>
      </c>
      <c r="Y382">
        <v>759.09644011623004</v>
      </c>
      <c r="Z382">
        <v>133.75283720196799</v>
      </c>
      <c r="AA382">
        <v>703.97021503431404</v>
      </c>
      <c r="AB382">
        <v>894.85114222513198</v>
      </c>
      <c r="AC382">
        <v>218.81156417430199</v>
      </c>
      <c r="AD382">
        <v>1081.0899368170501</v>
      </c>
      <c r="AE382">
        <v>244.58599953530401</v>
      </c>
      <c r="AF382">
        <v>227.26305410371</v>
      </c>
      <c r="AG382">
        <v>789.74763684983395</v>
      </c>
    </row>
    <row r="383" spans="1:33" x14ac:dyDescent="0.25">
      <c r="A383" s="1">
        <v>44434</v>
      </c>
      <c r="B383">
        <v>21363.416375398301</v>
      </c>
      <c r="C383">
        <v>15161.622797841699</v>
      </c>
      <c r="D383">
        <v>20664.149480050801</v>
      </c>
      <c r="E383">
        <v>21450.067978326999</v>
      </c>
      <c r="F383">
        <v>17143.337924873798</v>
      </c>
      <c r="G383">
        <v>16304.6913277442</v>
      </c>
      <c r="H383">
        <v>27864.3931335862</v>
      </c>
      <c r="I383">
        <v>21750.522495749799</v>
      </c>
      <c r="J383">
        <v>2755.81906232644</v>
      </c>
      <c r="K383">
        <v>2189.2226431098502</v>
      </c>
      <c r="L383">
        <v>1233.6323275003399</v>
      </c>
      <c r="M383">
        <v>14606.8500925874</v>
      </c>
      <c r="N383">
        <v>5959.7602476459697</v>
      </c>
      <c r="O383">
        <v>1102.1933310546401</v>
      </c>
      <c r="P383">
        <v>3037.0980099541198</v>
      </c>
      <c r="Q383">
        <v>12746.4114808553</v>
      </c>
      <c r="R383">
        <v>1421.3652574354901</v>
      </c>
      <c r="S383">
        <v>732.78597733437005</v>
      </c>
      <c r="T383">
        <v>972.96280966163897</v>
      </c>
      <c r="U383">
        <v>147.42794347960901</v>
      </c>
      <c r="V383">
        <v>857.88898130213204</v>
      </c>
      <c r="W383">
        <v>149.459686846724</v>
      </c>
      <c r="X383">
        <v>461.63495117516698</v>
      </c>
      <c r="Y383">
        <v>757.71360016628398</v>
      </c>
      <c r="Z383">
        <v>134.52187861838701</v>
      </c>
      <c r="AA383">
        <v>709.43856814415301</v>
      </c>
      <c r="AB383">
        <v>902.18216969407194</v>
      </c>
      <c r="AC383">
        <v>234.950625388248</v>
      </c>
      <c r="AD383">
        <v>1041.37169860469</v>
      </c>
      <c r="AE383">
        <v>255.81805946405001</v>
      </c>
      <c r="AF383">
        <v>227.660811419054</v>
      </c>
      <c r="AG383">
        <v>788.671115291148</v>
      </c>
    </row>
    <row r="384" spans="1:33" x14ac:dyDescent="0.25">
      <c r="A384" s="1">
        <v>44435</v>
      </c>
      <c r="B384">
        <v>21382.355246995499</v>
      </c>
      <c r="C384">
        <v>14973.1772689434</v>
      </c>
      <c r="D384">
        <v>20697.368696858601</v>
      </c>
      <c r="E384">
        <v>21437.230332892999</v>
      </c>
      <c r="F384">
        <v>16978.909908612699</v>
      </c>
      <c r="G384">
        <v>16429.076605533599</v>
      </c>
      <c r="H384">
        <v>27948.4373771303</v>
      </c>
      <c r="I384">
        <v>21535.677226822401</v>
      </c>
      <c r="J384">
        <v>2742.6684178778401</v>
      </c>
      <c r="K384">
        <v>2197.0522624559599</v>
      </c>
      <c r="L384">
        <v>1204.1592307307901</v>
      </c>
      <c r="M384">
        <v>14597.2814703148</v>
      </c>
      <c r="N384">
        <v>5631.6117437914099</v>
      </c>
      <c r="O384">
        <v>1102.51768956006</v>
      </c>
      <c r="P384">
        <v>2956.5888242531801</v>
      </c>
      <c r="Q384">
        <v>12699.9705100992</v>
      </c>
      <c r="R384">
        <v>1403.35695487916</v>
      </c>
      <c r="S384">
        <v>737.18613738070405</v>
      </c>
      <c r="T384">
        <v>916.08247093485704</v>
      </c>
      <c r="U384">
        <v>149.5749601293</v>
      </c>
      <c r="V384">
        <v>788.39298332797603</v>
      </c>
      <c r="W384">
        <v>158.357920183483</v>
      </c>
      <c r="X384">
        <v>411.404005625862</v>
      </c>
      <c r="Y384">
        <v>804.44106353445602</v>
      </c>
      <c r="Z384">
        <v>135.01452502929101</v>
      </c>
      <c r="AA384">
        <v>710.30952774855803</v>
      </c>
      <c r="AB384">
        <v>913.16129105155403</v>
      </c>
      <c r="AC384">
        <v>248.231614556153</v>
      </c>
      <c r="AD384">
        <v>1021.72852052855</v>
      </c>
      <c r="AE384">
        <v>222.96364077204399</v>
      </c>
      <c r="AF384">
        <v>228.546516227251</v>
      </c>
      <c r="AG384">
        <v>785.43029988278704</v>
      </c>
    </row>
    <row r="385" spans="1:33" x14ac:dyDescent="0.25">
      <c r="A385" s="1">
        <v>44436</v>
      </c>
      <c r="B385">
        <v>21427.465074803</v>
      </c>
      <c r="C385">
        <v>14756.416685898001</v>
      </c>
      <c r="D385">
        <v>20751.458221147201</v>
      </c>
      <c r="E385">
        <v>21427.790869452401</v>
      </c>
      <c r="F385">
        <v>17308.499846444101</v>
      </c>
      <c r="G385">
        <v>16882.820729552001</v>
      </c>
      <c r="H385">
        <v>28576.5788520524</v>
      </c>
      <c r="I385">
        <v>21338.028261019499</v>
      </c>
      <c r="J385">
        <v>2757.75254279918</v>
      </c>
      <c r="K385">
        <v>2222.7151400958301</v>
      </c>
      <c r="L385">
        <v>1203.59063559124</v>
      </c>
      <c r="M385">
        <v>14927.899919642799</v>
      </c>
      <c r="N385">
        <v>5780.9261371582397</v>
      </c>
      <c r="O385">
        <v>1143.4368208693199</v>
      </c>
      <c r="P385">
        <v>3004.0166236141799</v>
      </c>
      <c r="Q385">
        <v>13019.398293202201</v>
      </c>
      <c r="R385">
        <v>1439.3258328404099</v>
      </c>
      <c r="S385">
        <v>741.03243424545599</v>
      </c>
      <c r="T385">
        <v>905.27091591750002</v>
      </c>
      <c r="U385">
        <v>158.08095320209699</v>
      </c>
      <c r="V385">
        <v>803.81519359995104</v>
      </c>
      <c r="W385">
        <v>160.198499926175</v>
      </c>
      <c r="X385">
        <v>396.70532392262601</v>
      </c>
      <c r="Y385">
        <v>850.71467087815199</v>
      </c>
      <c r="Z385">
        <v>136.83487844695</v>
      </c>
      <c r="AA385">
        <v>716.831150858196</v>
      </c>
      <c r="AB385">
        <v>920.66293811436697</v>
      </c>
      <c r="AC385">
        <v>253.74060449861901</v>
      </c>
      <c r="AD385">
        <v>1021.64540369689</v>
      </c>
      <c r="AE385">
        <v>239.23050947783901</v>
      </c>
      <c r="AF385">
        <v>229.395591961934</v>
      </c>
      <c r="AG385">
        <v>778.80214351838094</v>
      </c>
    </row>
    <row r="386" spans="1:33" x14ac:dyDescent="0.25">
      <c r="A386" s="1">
        <v>44437</v>
      </c>
      <c r="B386">
        <v>21466.629464032299</v>
      </c>
      <c r="C386">
        <v>14425.062023553301</v>
      </c>
      <c r="D386">
        <v>20782.249000263299</v>
      </c>
      <c r="E386">
        <v>21434.991667569699</v>
      </c>
      <c r="F386">
        <v>17790.753827257398</v>
      </c>
      <c r="G386">
        <v>17294.734507654099</v>
      </c>
      <c r="H386">
        <v>30012.926909829701</v>
      </c>
      <c r="I386">
        <v>21462.917307948301</v>
      </c>
      <c r="J386">
        <v>2784.7752470457099</v>
      </c>
      <c r="K386">
        <v>2190.0584454876998</v>
      </c>
      <c r="L386">
        <v>1231.1165225801501</v>
      </c>
      <c r="M386">
        <v>15637.1393102364</v>
      </c>
      <c r="N386">
        <v>6064.6037413163804</v>
      </c>
      <c r="O386">
        <v>1269.6628117534599</v>
      </c>
      <c r="P386">
        <v>3121.5374919853002</v>
      </c>
      <c r="Q386">
        <v>13576.298263934499</v>
      </c>
      <c r="R386">
        <v>1553.9951547967701</v>
      </c>
      <c r="S386">
        <v>744.66968149757201</v>
      </c>
      <c r="T386">
        <v>946.27774002718502</v>
      </c>
      <c r="U386">
        <v>160.27671737117501</v>
      </c>
      <c r="V386">
        <v>830.83019783619</v>
      </c>
      <c r="W386">
        <v>160.02470983198501</v>
      </c>
      <c r="X386">
        <v>404.79026982225702</v>
      </c>
      <c r="Y386">
        <v>884.26372937826795</v>
      </c>
      <c r="Z386">
        <v>141.211974177858</v>
      </c>
      <c r="AA386">
        <v>718.50014444568603</v>
      </c>
      <c r="AB386">
        <v>927.58694659207094</v>
      </c>
      <c r="AC386">
        <v>256.69509795064101</v>
      </c>
      <c r="AD386">
        <v>1039.1859828773299</v>
      </c>
      <c r="AE386">
        <v>258.69332080823301</v>
      </c>
      <c r="AF386">
        <v>230.156926357917</v>
      </c>
      <c r="AG386">
        <v>767.20977790217205</v>
      </c>
    </row>
    <row r="387" spans="1:33" x14ac:dyDescent="0.25">
      <c r="A387" s="1">
        <v>44438</v>
      </c>
      <c r="B387">
        <v>21481.471320496901</v>
      </c>
      <c r="C387">
        <v>14010.5292167966</v>
      </c>
      <c r="D387">
        <v>20776.454371617299</v>
      </c>
      <c r="E387">
        <v>21445.543555425</v>
      </c>
      <c r="F387">
        <v>18054.348684825301</v>
      </c>
      <c r="G387">
        <v>17438.851700547701</v>
      </c>
      <c r="H387">
        <v>30374.403356719398</v>
      </c>
      <c r="I387">
        <v>21562.628003453599</v>
      </c>
      <c r="J387">
        <v>2784.4738678559602</v>
      </c>
      <c r="K387">
        <v>2190.6228408126599</v>
      </c>
      <c r="L387">
        <v>1260.6029899958601</v>
      </c>
      <c r="M387">
        <v>15887.068831729201</v>
      </c>
      <c r="N387">
        <v>6455.89420806827</v>
      </c>
      <c r="O387">
        <v>1281.6395504003599</v>
      </c>
      <c r="P387">
        <v>3251.4383726613</v>
      </c>
      <c r="Q387">
        <v>13937.7799990978</v>
      </c>
      <c r="R387">
        <v>1606.71307255282</v>
      </c>
      <c r="S387">
        <v>747.30023565299598</v>
      </c>
      <c r="T387">
        <v>967.96566720709802</v>
      </c>
      <c r="U387">
        <v>160.11353741715601</v>
      </c>
      <c r="V387">
        <v>883.45961084195005</v>
      </c>
      <c r="W387">
        <v>160.289734079292</v>
      </c>
      <c r="X387">
        <v>424.23671284238202</v>
      </c>
      <c r="Y387">
        <v>881.93532175304597</v>
      </c>
      <c r="Z387">
        <v>144.65448801276199</v>
      </c>
      <c r="AA387">
        <v>715.73144733104903</v>
      </c>
      <c r="AB387">
        <v>929.20444724181505</v>
      </c>
      <c r="AC387">
        <v>258.59799314212</v>
      </c>
      <c r="AD387">
        <v>1061.9817473031201</v>
      </c>
      <c r="AE387">
        <v>270.89085344362599</v>
      </c>
      <c r="AF387">
        <v>230.844499890035</v>
      </c>
      <c r="AG387">
        <v>757.10426101904795</v>
      </c>
    </row>
    <row r="388" spans="1:33" x14ac:dyDescent="0.25">
      <c r="A388" s="1">
        <v>44439</v>
      </c>
      <c r="B388">
        <v>21483.106053869498</v>
      </c>
      <c r="C388">
        <v>13908.2011948004</v>
      </c>
      <c r="D388">
        <v>20765.1058998712</v>
      </c>
      <c r="E388">
        <v>21473.512056936401</v>
      </c>
      <c r="F388">
        <v>18180.503294141399</v>
      </c>
      <c r="G388">
        <v>17874.360095868298</v>
      </c>
      <c r="H388">
        <v>30851.954616070201</v>
      </c>
      <c r="I388">
        <v>21592.505610985099</v>
      </c>
      <c r="J388">
        <v>2782.3150432924799</v>
      </c>
      <c r="K388">
        <v>2207.9236158204499</v>
      </c>
      <c r="L388">
        <v>1315.0993333758199</v>
      </c>
      <c r="M388">
        <v>16423.034514247898</v>
      </c>
      <c r="N388">
        <v>7022.5898644132103</v>
      </c>
      <c r="O388">
        <v>1317.5407444758</v>
      </c>
      <c r="P388">
        <v>3379.5558502255299</v>
      </c>
      <c r="Q388">
        <v>14477.424736103199</v>
      </c>
      <c r="R388">
        <v>1697.83612554671</v>
      </c>
      <c r="S388">
        <v>749.40829217642101</v>
      </c>
      <c r="T388">
        <v>1072.4544894133101</v>
      </c>
      <c r="U388">
        <v>160.52220839017201</v>
      </c>
      <c r="V388">
        <v>971.37238764362598</v>
      </c>
      <c r="W388">
        <v>163.517952719856</v>
      </c>
      <c r="X388">
        <v>538.13881262324503</v>
      </c>
      <c r="Y388">
        <v>889.76562213516797</v>
      </c>
      <c r="Z388">
        <v>147.51479120290401</v>
      </c>
      <c r="AA388">
        <v>710.05199619834605</v>
      </c>
      <c r="AB388">
        <v>938.42701792124001</v>
      </c>
      <c r="AC388">
        <v>261.07768922230002</v>
      </c>
      <c r="AD388">
        <v>1099.923646104</v>
      </c>
      <c r="AE388">
        <v>244.36228965184301</v>
      </c>
      <c r="AF388">
        <v>231.74668808399801</v>
      </c>
      <c r="AG388">
        <v>752.725559089429</v>
      </c>
    </row>
    <row r="389" spans="1:33" x14ac:dyDescent="0.25">
      <c r="A389" s="1">
        <v>44440</v>
      </c>
      <c r="B389">
        <v>21496.759638704501</v>
      </c>
      <c r="C389">
        <v>14070.563381102</v>
      </c>
      <c r="D389">
        <v>20871.743230759701</v>
      </c>
      <c r="E389">
        <v>21517.833793420399</v>
      </c>
      <c r="F389">
        <v>18393.3285583086</v>
      </c>
      <c r="G389">
        <v>17884.5458464857</v>
      </c>
      <c r="H389">
        <v>31192.0945868653</v>
      </c>
      <c r="I389">
        <v>21666.951941105101</v>
      </c>
      <c r="J389">
        <v>2761.1813083770498</v>
      </c>
      <c r="K389">
        <v>2193.2162231324301</v>
      </c>
      <c r="L389">
        <v>1349.09311693361</v>
      </c>
      <c r="M389">
        <v>16485.287464174002</v>
      </c>
      <c r="N389">
        <v>7398.3560884568797</v>
      </c>
      <c r="O389">
        <v>1361.8579716891099</v>
      </c>
      <c r="P389">
        <v>3412.22803027808</v>
      </c>
      <c r="Q389">
        <v>14551.4519684611</v>
      </c>
      <c r="R389">
        <v>1769.70878397712</v>
      </c>
      <c r="S389">
        <v>748.285325726108</v>
      </c>
      <c r="T389">
        <v>1068.4912414258699</v>
      </c>
      <c r="U389">
        <v>164.26522718863299</v>
      </c>
      <c r="V389">
        <v>996.602901366992</v>
      </c>
      <c r="W389">
        <v>172.45273009217601</v>
      </c>
      <c r="X389">
        <v>563.45818134855904</v>
      </c>
      <c r="Y389">
        <v>902.50696466620604</v>
      </c>
      <c r="Z389">
        <v>150.37049042075699</v>
      </c>
      <c r="AA389">
        <v>712.06306710331</v>
      </c>
      <c r="AB389">
        <v>954.75689016803301</v>
      </c>
      <c r="AC389">
        <v>263.54834879771101</v>
      </c>
      <c r="AD389">
        <v>1118.0283528661801</v>
      </c>
      <c r="AE389">
        <v>240.34186666776299</v>
      </c>
      <c r="AF389">
        <v>232.83543101773299</v>
      </c>
      <c r="AG389">
        <v>756.60627911617996</v>
      </c>
    </row>
    <row r="390" spans="1:33" x14ac:dyDescent="0.25">
      <c r="A390" s="1">
        <v>44441</v>
      </c>
      <c r="B390">
        <v>21512.643306963801</v>
      </c>
      <c r="C390">
        <v>14238.875909201601</v>
      </c>
      <c r="D390">
        <v>20887.6740207404</v>
      </c>
      <c r="E390">
        <v>21539.102363339502</v>
      </c>
      <c r="F390">
        <v>18134.080248944902</v>
      </c>
      <c r="G390">
        <v>17008.533037285801</v>
      </c>
      <c r="H390">
        <v>29933.595448879001</v>
      </c>
      <c r="I390">
        <v>21734.465787765901</v>
      </c>
      <c r="J390">
        <v>2716.5303159431801</v>
      </c>
      <c r="K390">
        <v>2190.7142010903799</v>
      </c>
      <c r="L390">
        <v>1310.2692948434601</v>
      </c>
      <c r="M390">
        <v>15445.307233011899</v>
      </c>
      <c r="N390">
        <v>6565.9344726908803</v>
      </c>
      <c r="O390">
        <v>1258.29650815947</v>
      </c>
      <c r="P390">
        <v>3278.3019529360799</v>
      </c>
      <c r="Q390">
        <v>13613.5977284655</v>
      </c>
      <c r="R390">
        <v>1650.48760791376</v>
      </c>
      <c r="S390">
        <v>745.36068171644001</v>
      </c>
      <c r="T390">
        <v>939.145240367008</v>
      </c>
      <c r="U390">
        <v>173.02977710110099</v>
      </c>
      <c r="V390">
        <v>819.03048456767499</v>
      </c>
      <c r="W390">
        <v>176.829999019604</v>
      </c>
      <c r="X390">
        <v>449.93531632447099</v>
      </c>
      <c r="Y390">
        <v>881.36591281599897</v>
      </c>
      <c r="Z390">
        <v>152.31450163719299</v>
      </c>
      <c r="AA390">
        <v>723.30048743494206</v>
      </c>
      <c r="AB390">
        <v>956.65954941320103</v>
      </c>
      <c r="AC390">
        <v>263.91485866931902</v>
      </c>
      <c r="AD390">
        <v>1087.6651491228599</v>
      </c>
      <c r="AE390">
        <v>217.627042113253</v>
      </c>
      <c r="AF390">
        <v>234.301617431453</v>
      </c>
      <c r="AG390">
        <v>765.16958691733498</v>
      </c>
    </row>
    <row r="391" spans="1:33" x14ac:dyDescent="0.25">
      <c r="A391" s="1">
        <v>44442</v>
      </c>
      <c r="B391">
        <v>21512.393337249301</v>
      </c>
      <c r="C391">
        <v>14339.7182327541</v>
      </c>
      <c r="D391">
        <v>20929.490725177398</v>
      </c>
      <c r="E391">
        <v>21570.832182559399</v>
      </c>
      <c r="F391">
        <v>17684.439229646101</v>
      </c>
      <c r="G391">
        <v>16501.750189886501</v>
      </c>
      <c r="H391">
        <v>29096.503073341999</v>
      </c>
      <c r="I391">
        <v>21691.180121628498</v>
      </c>
      <c r="J391">
        <v>2693.8741175333298</v>
      </c>
      <c r="K391">
        <v>2207.4675228040201</v>
      </c>
      <c r="L391">
        <v>1279.2838318644101</v>
      </c>
      <c r="M391">
        <v>14922.9204806462</v>
      </c>
      <c r="N391">
        <v>5981.3971660589996</v>
      </c>
      <c r="O391">
        <v>1187.6462957731701</v>
      </c>
      <c r="P391">
        <v>3146.63015878738</v>
      </c>
      <c r="Q391">
        <v>13051.0257506417</v>
      </c>
      <c r="R391">
        <v>1544.3048653383801</v>
      </c>
      <c r="S391">
        <v>740.99455433805304</v>
      </c>
      <c r="T391">
        <v>871.08090146568202</v>
      </c>
      <c r="U391">
        <v>177.53807296639101</v>
      </c>
      <c r="V391">
        <v>794.17972423206095</v>
      </c>
      <c r="W391">
        <v>176.47498440318799</v>
      </c>
      <c r="X391">
        <v>447.82284757356399</v>
      </c>
      <c r="Y391">
        <v>868.11392941299005</v>
      </c>
      <c r="Z391">
        <v>155.46942871798501</v>
      </c>
      <c r="AA391">
        <v>728.28094985966698</v>
      </c>
      <c r="AB391">
        <v>955.028000029596</v>
      </c>
      <c r="AC391">
        <v>263.46741007237102</v>
      </c>
      <c r="AD391">
        <v>1066.75121802068</v>
      </c>
      <c r="AE391">
        <v>221.13522962960801</v>
      </c>
      <c r="AF391">
        <v>236.28946158346801</v>
      </c>
      <c r="AG391">
        <v>776.67276155850698</v>
      </c>
    </row>
    <row r="392" spans="1:33" x14ac:dyDescent="0.25">
      <c r="A392" s="1">
        <v>44443</v>
      </c>
      <c r="B392">
        <v>21535.992015705899</v>
      </c>
      <c r="C392">
        <v>13495.347702311999</v>
      </c>
      <c r="D392">
        <v>20416.1566210852</v>
      </c>
      <c r="E392">
        <v>21563.636062278001</v>
      </c>
      <c r="F392">
        <v>17464.088330550701</v>
      </c>
      <c r="G392">
        <v>16640.403346585401</v>
      </c>
      <c r="H392">
        <v>28674.559167148</v>
      </c>
      <c r="I392">
        <v>21549.041630463998</v>
      </c>
      <c r="J392">
        <v>2679.6578104903401</v>
      </c>
      <c r="K392">
        <v>2213.86867843043</v>
      </c>
      <c r="L392">
        <v>1275.6922731485499</v>
      </c>
      <c r="M392">
        <v>14893.370299071999</v>
      </c>
      <c r="N392">
        <v>5834.4761504554999</v>
      </c>
      <c r="O392">
        <v>1192.9131657862199</v>
      </c>
      <c r="P392">
        <v>3114.5088625145299</v>
      </c>
      <c r="Q392">
        <v>13048.0965391428</v>
      </c>
      <c r="R392">
        <v>1524.8939971567299</v>
      </c>
      <c r="S392">
        <v>734.21787959030996</v>
      </c>
      <c r="T392">
        <v>879.99713050625303</v>
      </c>
      <c r="U392">
        <v>176.858364643052</v>
      </c>
      <c r="V392">
        <v>835.22284499815601</v>
      </c>
      <c r="W392">
        <v>174.99276158873499</v>
      </c>
      <c r="X392">
        <v>485.46979675411001</v>
      </c>
      <c r="Y392">
        <v>874.60336860868097</v>
      </c>
      <c r="Z392">
        <v>160.53026472812499</v>
      </c>
      <c r="AA392">
        <v>736.57982850640599</v>
      </c>
      <c r="AB392">
        <v>955.89200460406198</v>
      </c>
      <c r="AC392">
        <v>266.52193902839002</v>
      </c>
      <c r="AD392">
        <v>1066.2198529664199</v>
      </c>
      <c r="AE392">
        <v>238.64939113870801</v>
      </c>
      <c r="AF392">
        <v>238.41984406085101</v>
      </c>
      <c r="AG392">
        <v>789.54920648174595</v>
      </c>
    </row>
    <row r="393" spans="1:33" x14ac:dyDescent="0.25">
      <c r="A393" s="1">
        <v>44444</v>
      </c>
      <c r="B393">
        <v>21538.667828276401</v>
      </c>
      <c r="C393">
        <v>12471.038339586899</v>
      </c>
      <c r="D393">
        <v>19144.505418283501</v>
      </c>
      <c r="E393">
        <v>21447.029579573598</v>
      </c>
      <c r="F393">
        <v>17560.326830322301</v>
      </c>
      <c r="G393">
        <v>16866.378238970799</v>
      </c>
      <c r="H393">
        <v>28483.343426236501</v>
      </c>
      <c r="I393">
        <v>21412.969268074801</v>
      </c>
      <c r="J393">
        <v>2676.1414160835402</v>
      </c>
      <c r="K393">
        <v>2217.5091372974498</v>
      </c>
      <c r="L393">
        <v>1282.4282819758</v>
      </c>
      <c r="M393">
        <v>14988.824235096199</v>
      </c>
      <c r="N393">
        <v>5858.2592029452499</v>
      </c>
      <c r="O393">
        <v>1202.74257250561</v>
      </c>
      <c r="P393">
        <v>3106.71330270608</v>
      </c>
      <c r="Q393">
        <v>13175.590713540299</v>
      </c>
      <c r="R393">
        <v>1518.4985835497801</v>
      </c>
      <c r="S393">
        <v>727.23672109949996</v>
      </c>
      <c r="T393">
        <v>891.70293718450898</v>
      </c>
      <c r="U393">
        <v>174.45333223041899</v>
      </c>
      <c r="V393">
        <v>880.93780379454802</v>
      </c>
      <c r="W393">
        <v>173.851399934222</v>
      </c>
      <c r="X393">
        <v>516.11891460914001</v>
      </c>
      <c r="Y393">
        <v>880.89845330155902</v>
      </c>
      <c r="Z393">
        <v>164.91989077514299</v>
      </c>
      <c r="AA393">
        <v>747.49473610286304</v>
      </c>
      <c r="AB393">
        <v>946.32789801359195</v>
      </c>
      <c r="AC393">
        <v>270.33811290125499</v>
      </c>
      <c r="AD393">
        <v>1073.9547236972901</v>
      </c>
      <c r="AE393">
        <v>240.64417705938499</v>
      </c>
      <c r="AF393">
        <v>240.485941450833</v>
      </c>
      <c r="AG393">
        <v>797.35539230220195</v>
      </c>
    </row>
    <row r="394" spans="1:33" x14ac:dyDescent="0.25">
      <c r="A394" s="1">
        <v>44445</v>
      </c>
      <c r="B394">
        <v>21418.114043408201</v>
      </c>
      <c r="C394">
        <v>12655.2573356263</v>
      </c>
      <c r="D394">
        <v>18286.334207797401</v>
      </c>
      <c r="E394">
        <v>21209.587135884001</v>
      </c>
      <c r="F394">
        <v>17722.572347612298</v>
      </c>
      <c r="G394">
        <v>16947.5700031735</v>
      </c>
      <c r="H394">
        <v>28074.003942659601</v>
      </c>
      <c r="I394">
        <v>21332.577098779999</v>
      </c>
      <c r="J394">
        <v>2674.0983356063698</v>
      </c>
      <c r="K394">
        <v>2223.2013932712798</v>
      </c>
      <c r="L394">
        <v>1286.7798868580101</v>
      </c>
      <c r="M394">
        <v>15083.9950304173</v>
      </c>
      <c r="N394">
        <v>5942.8833803018497</v>
      </c>
      <c r="O394">
        <v>1207.6796050729699</v>
      </c>
      <c r="P394">
        <v>3097.5146129038299</v>
      </c>
      <c r="Q394">
        <v>13214.746756980099</v>
      </c>
      <c r="R394">
        <v>1516.2599763687999</v>
      </c>
      <c r="S394">
        <v>719.76674986006503</v>
      </c>
      <c r="T394">
        <v>901.72166993127098</v>
      </c>
      <c r="U394">
        <v>172.45269330268101</v>
      </c>
      <c r="V394">
        <v>913.66957667526003</v>
      </c>
      <c r="W394">
        <v>170.84334816324801</v>
      </c>
      <c r="X394">
        <v>529.04752067570303</v>
      </c>
      <c r="Y394">
        <v>883.58374140010699</v>
      </c>
      <c r="Z394">
        <v>168.07644411558101</v>
      </c>
      <c r="AA394">
        <v>758.79097369999499</v>
      </c>
      <c r="AB394">
        <v>947.58558817421294</v>
      </c>
      <c r="AC394">
        <v>273.87300346958</v>
      </c>
      <c r="AD394">
        <v>1080.8683178267399</v>
      </c>
      <c r="AE394">
        <v>232.38645454885599</v>
      </c>
      <c r="AF394">
        <v>243.05392961536199</v>
      </c>
      <c r="AG394">
        <v>800.77924845084101</v>
      </c>
    </row>
    <row r="395" spans="1:33" x14ac:dyDescent="0.25">
      <c r="A395" s="1">
        <v>44446</v>
      </c>
      <c r="B395">
        <v>21120.473112523399</v>
      </c>
      <c r="C395">
        <v>12502.531319183199</v>
      </c>
      <c r="D395">
        <v>17481.015058279201</v>
      </c>
      <c r="E395">
        <v>20864.8255096844</v>
      </c>
      <c r="F395">
        <v>17750.009685630699</v>
      </c>
      <c r="G395">
        <v>17317.079742865899</v>
      </c>
      <c r="H395">
        <v>28242.358358529498</v>
      </c>
      <c r="I395">
        <v>21262.4476465966</v>
      </c>
      <c r="J395">
        <v>2688.0349546509701</v>
      </c>
      <c r="K395">
        <v>2212.5923794669602</v>
      </c>
      <c r="L395">
        <v>1292.14804436553</v>
      </c>
      <c r="M395">
        <v>15379.160232091001</v>
      </c>
      <c r="N395">
        <v>6039.8282005363299</v>
      </c>
      <c r="O395">
        <v>1256.8865497494701</v>
      </c>
      <c r="P395">
        <v>3081.9079858817299</v>
      </c>
      <c r="Q395">
        <v>13418.756082659</v>
      </c>
      <c r="R395">
        <v>1537.87375452064</v>
      </c>
      <c r="S395">
        <v>710.69388379944996</v>
      </c>
      <c r="T395">
        <v>914.20869830990102</v>
      </c>
      <c r="U395">
        <v>168.15961104833201</v>
      </c>
      <c r="V395">
        <v>911.21258687135298</v>
      </c>
      <c r="W395">
        <v>170.20512164856001</v>
      </c>
      <c r="X395">
        <v>499.42262589973302</v>
      </c>
      <c r="Y395">
        <v>888.58791759923395</v>
      </c>
      <c r="Z395">
        <v>171.217435327863</v>
      </c>
      <c r="AA395">
        <v>766.22154549491995</v>
      </c>
      <c r="AB395">
        <v>954.85968419475103</v>
      </c>
      <c r="AC395">
        <v>275.21162210999</v>
      </c>
      <c r="AD395">
        <v>1089.83734801629</v>
      </c>
      <c r="AE395">
        <v>238.68706644489501</v>
      </c>
      <c r="AF395">
        <v>245.66455199252599</v>
      </c>
      <c r="AG395">
        <v>804.52271711487799</v>
      </c>
    </row>
    <row r="396" spans="1:33" x14ac:dyDescent="0.25">
      <c r="A396" s="1">
        <v>44447</v>
      </c>
      <c r="B396">
        <v>20630.491063647401</v>
      </c>
      <c r="C396">
        <v>12704.3916690306</v>
      </c>
      <c r="D396">
        <v>16868.396937111102</v>
      </c>
      <c r="E396">
        <v>20419.818248133899</v>
      </c>
      <c r="F396">
        <v>17967.749593090201</v>
      </c>
      <c r="G396">
        <v>17775.757988002599</v>
      </c>
      <c r="H396">
        <v>28521.6515687721</v>
      </c>
      <c r="I396">
        <v>21258.696359215701</v>
      </c>
      <c r="J396">
        <v>2730.2282988756901</v>
      </c>
      <c r="K396">
        <v>2204.53724922535</v>
      </c>
      <c r="L396">
        <v>1337.68709163623</v>
      </c>
      <c r="M396">
        <v>15976.958387091099</v>
      </c>
      <c r="N396">
        <v>6286.5602587631201</v>
      </c>
      <c r="O396">
        <v>1402.4312645780101</v>
      </c>
      <c r="P396">
        <v>3214.27440386942</v>
      </c>
      <c r="Q396">
        <v>13905.903426875801</v>
      </c>
      <c r="R396">
        <v>1622.7586256065699</v>
      </c>
      <c r="S396">
        <v>700.58176169895705</v>
      </c>
      <c r="T396">
        <v>906.60335479974401</v>
      </c>
      <c r="U396">
        <v>168.074967389639</v>
      </c>
      <c r="V396">
        <v>845.47632669525603</v>
      </c>
      <c r="W396">
        <v>169.783156134629</v>
      </c>
      <c r="X396">
        <v>425.18697195328099</v>
      </c>
      <c r="Y396">
        <v>902.30552806509002</v>
      </c>
      <c r="Z396">
        <v>179.11160575810499</v>
      </c>
      <c r="AA396">
        <v>770.53792309108303</v>
      </c>
      <c r="AB396">
        <v>960.32007991856096</v>
      </c>
      <c r="AC396">
        <v>275.45334010852702</v>
      </c>
      <c r="AD396">
        <v>1134.3206964282799</v>
      </c>
      <c r="AE396">
        <v>242.022939235857</v>
      </c>
      <c r="AF396">
        <v>248.476929734301</v>
      </c>
      <c r="AG396">
        <v>811.32207081837305</v>
      </c>
    </row>
    <row r="397" spans="1:33" x14ac:dyDescent="0.25">
      <c r="A397" s="1">
        <v>44448</v>
      </c>
      <c r="B397">
        <v>20027.4227140988</v>
      </c>
      <c r="C397">
        <v>13056.113143022199</v>
      </c>
      <c r="D397">
        <v>16354.7940463833</v>
      </c>
      <c r="E397">
        <v>19955.2628721642</v>
      </c>
      <c r="F397">
        <v>18439.685639388099</v>
      </c>
      <c r="G397">
        <v>18429.250602965301</v>
      </c>
      <c r="H397">
        <v>29113.473776439001</v>
      </c>
      <c r="I397">
        <v>21369.595151466099</v>
      </c>
      <c r="J397">
        <v>2797.16866426452</v>
      </c>
      <c r="K397">
        <v>2209.6058772708998</v>
      </c>
      <c r="L397">
        <v>1411.96348124513</v>
      </c>
      <c r="M397">
        <v>16597.334211559799</v>
      </c>
      <c r="N397">
        <v>6649.3575934816599</v>
      </c>
      <c r="O397">
        <v>1517.9776027677699</v>
      </c>
      <c r="P397">
        <v>3382.4834604084799</v>
      </c>
      <c r="Q397">
        <v>14583.713977539001</v>
      </c>
      <c r="R397">
        <v>1722.1399659937499</v>
      </c>
      <c r="S397">
        <v>689.74996666765196</v>
      </c>
      <c r="T397">
        <v>934.88711285864895</v>
      </c>
      <c r="U397">
        <v>167.792165975811</v>
      </c>
      <c r="V397">
        <v>881.90168483274499</v>
      </c>
      <c r="W397">
        <v>171.19006520358801</v>
      </c>
      <c r="X397">
        <v>445.79998794098498</v>
      </c>
      <c r="Y397">
        <v>914.27742752328004</v>
      </c>
      <c r="Z397">
        <v>186.88367567995701</v>
      </c>
      <c r="AA397">
        <v>776.92592751373104</v>
      </c>
      <c r="AB397">
        <v>963.32006173282696</v>
      </c>
      <c r="AC397">
        <v>275.046924477007</v>
      </c>
      <c r="AD397">
        <v>1200.58469936558</v>
      </c>
      <c r="AE397">
        <v>250.20162846309</v>
      </c>
      <c r="AF397">
        <v>250.79146314134499</v>
      </c>
      <c r="AG397">
        <v>817.54226742171795</v>
      </c>
    </row>
    <row r="398" spans="1:33" x14ac:dyDescent="0.25">
      <c r="A398" s="1">
        <v>44449</v>
      </c>
      <c r="B398">
        <v>19526.7034010551</v>
      </c>
      <c r="C398">
        <v>13751.5782297234</v>
      </c>
      <c r="D398">
        <v>15679.122360781799</v>
      </c>
      <c r="E398">
        <v>19529.706740883801</v>
      </c>
      <c r="F398">
        <v>18747.803765720499</v>
      </c>
      <c r="G398">
        <v>18509.940192883201</v>
      </c>
      <c r="H398">
        <v>29171.571980587301</v>
      </c>
      <c r="I398">
        <v>21527.713429099698</v>
      </c>
      <c r="J398">
        <v>2849.3650968222601</v>
      </c>
      <c r="K398">
        <v>2208.2259131318901</v>
      </c>
      <c r="L398">
        <v>1463.01937020328</v>
      </c>
      <c r="M398">
        <v>16727.522751847901</v>
      </c>
      <c r="N398">
        <v>6651.8103655343202</v>
      </c>
      <c r="O398">
        <v>1589.33797226557</v>
      </c>
      <c r="P398">
        <v>3428.7524469170899</v>
      </c>
      <c r="Q398">
        <v>14809.6977313651</v>
      </c>
      <c r="R398">
        <v>1808.83188910289</v>
      </c>
      <c r="S398">
        <v>681.10265411809701</v>
      </c>
      <c r="T398">
        <v>912.96131995463895</v>
      </c>
      <c r="U398">
        <v>168.66515546025499</v>
      </c>
      <c r="V398">
        <v>821.937276241566</v>
      </c>
      <c r="W398">
        <v>170.27096164302799</v>
      </c>
      <c r="X398">
        <v>421.09302074591398</v>
      </c>
      <c r="Y398">
        <v>935.16208202847201</v>
      </c>
      <c r="Z398">
        <v>185.04394613446999</v>
      </c>
      <c r="AA398">
        <v>784.29950023071399</v>
      </c>
      <c r="AB398">
        <v>970.81883090762904</v>
      </c>
      <c r="AC398">
        <v>274.03130415743601</v>
      </c>
      <c r="AD398">
        <v>1241.3918514693701</v>
      </c>
      <c r="AE398">
        <v>228.733595387816</v>
      </c>
      <c r="AF398">
        <v>253.36233141955199</v>
      </c>
      <c r="AG398">
        <v>820.72289647041703</v>
      </c>
    </row>
    <row r="399" spans="1:33" x14ac:dyDescent="0.25">
      <c r="A399" s="1">
        <v>44450</v>
      </c>
      <c r="B399">
        <v>19191.2817690064</v>
      </c>
      <c r="C399">
        <v>14117.1843937093</v>
      </c>
      <c r="D399">
        <v>15056.118151430799</v>
      </c>
      <c r="E399">
        <v>19129.672091333301</v>
      </c>
      <c r="F399">
        <v>18568.016820514698</v>
      </c>
      <c r="G399">
        <v>18071.901263053602</v>
      </c>
      <c r="H399">
        <v>28654.1453827072</v>
      </c>
      <c r="I399">
        <v>21657.368081080102</v>
      </c>
      <c r="J399">
        <v>2856.5728251761402</v>
      </c>
      <c r="K399">
        <v>2234.6298195350701</v>
      </c>
      <c r="L399">
        <v>1448.9739358958</v>
      </c>
      <c r="M399">
        <v>16326.854919282499</v>
      </c>
      <c r="N399">
        <v>6303.22670408881</v>
      </c>
      <c r="O399">
        <v>1449.2227219963499</v>
      </c>
      <c r="P399">
        <v>3344.0252965034301</v>
      </c>
      <c r="Q399">
        <v>14304.852069017599</v>
      </c>
      <c r="R399">
        <v>1744.00360356025</v>
      </c>
      <c r="S399">
        <v>677.38698988444298</v>
      </c>
      <c r="T399">
        <v>864.75834898149799</v>
      </c>
      <c r="U399">
        <v>170.02524267953501</v>
      </c>
      <c r="V399">
        <v>839.42902559605</v>
      </c>
      <c r="W399">
        <v>167.22297130123499</v>
      </c>
      <c r="X399">
        <v>466.50821400896598</v>
      </c>
      <c r="Y399">
        <v>941.61986717243894</v>
      </c>
      <c r="Z399">
        <v>184.84302710052901</v>
      </c>
      <c r="AA399">
        <v>790.58700798062705</v>
      </c>
      <c r="AB399">
        <v>988.05361215962705</v>
      </c>
      <c r="AC399">
        <v>273.764214938718</v>
      </c>
      <c r="AD399">
        <v>1226.20706468711</v>
      </c>
      <c r="AE399">
        <v>260.94590091274301</v>
      </c>
      <c r="AF399">
        <v>257.45466151725998</v>
      </c>
      <c r="AG399">
        <v>820.91755129257297</v>
      </c>
    </row>
    <row r="400" spans="1:33" x14ac:dyDescent="0.25">
      <c r="A400" s="1">
        <v>44451</v>
      </c>
      <c r="B400">
        <v>18852.924546872699</v>
      </c>
      <c r="C400">
        <v>13801.5215380135</v>
      </c>
      <c r="D400">
        <v>14768.4387053437</v>
      </c>
      <c r="E400">
        <v>18825.503983732098</v>
      </c>
      <c r="F400">
        <v>18650.229219388999</v>
      </c>
      <c r="G400">
        <v>18084.881504373501</v>
      </c>
      <c r="H400">
        <v>29144.7637129305</v>
      </c>
      <c r="I400">
        <v>21711.906447358</v>
      </c>
      <c r="J400">
        <v>2878.9522252527099</v>
      </c>
      <c r="K400">
        <v>2262.2778307242402</v>
      </c>
      <c r="L400">
        <v>1459.18297571831</v>
      </c>
      <c r="M400">
        <v>16402.988546102399</v>
      </c>
      <c r="N400">
        <v>6509.5319893646702</v>
      </c>
      <c r="O400">
        <v>1418.52777532863</v>
      </c>
      <c r="P400">
        <v>3386.9074257146099</v>
      </c>
      <c r="Q400">
        <v>14439.999986909699</v>
      </c>
      <c r="R400">
        <v>1751.6575194745501</v>
      </c>
      <c r="S400">
        <v>671.54886049880997</v>
      </c>
      <c r="T400">
        <v>941.79487722519002</v>
      </c>
      <c r="U400">
        <v>167.39920467590201</v>
      </c>
      <c r="V400">
        <v>941.28700483335399</v>
      </c>
      <c r="W400">
        <v>176.781818026016</v>
      </c>
      <c r="X400">
        <v>527.03296204851995</v>
      </c>
      <c r="Y400">
        <v>957.21278873449398</v>
      </c>
      <c r="Z400">
        <v>186.32773623194899</v>
      </c>
      <c r="AA400">
        <v>787.94103405782403</v>
      </c>
      <c r="AB400">
        <v>998.42739516554104</v>
      </c>
      <c r="AC400">
        <v>276.466672328041</v>
      </c>
      <c r="AD400">
        <v>1235.9263222744401</v>
      </c>
      <c r="AE400">
        <v>265.51561047873003</v>
      </c>
      <c r="AF400">
        <v>260.340068927478</v>
      </c>
      <c r="AG400">
        <v>823.015031611783</v>
      </c>
    </row>
    <row r="401" spans="1:33" x14ac:dyDescent="0.25">
      <c r="A401" s="1">
        <v>44452</v>
      </c>
      <c r="B401">
        <v>18525.755485956801</v>
      </c>
      <c r="C401">
        <v>13979.607019630699</v>
      </c>
      <c r="D401">
        <v>14603.1516010909</v>
      </c>
      <c r="E401">
        <v>18600.748159954001</v>
      </c>
      <c r="F401">
        <v>18764.7784001623</v>
      </c>
      <c r="G401">
        <v>18120.033808965301</v>
      </c>
      <c r="H401">
        <v>29147.248448862701</v>
      </c>
      <c r="I401">
        <v>21754.3151858741</v>
      </c>
      <c r="J401">
        <v>2883.5108462390399</v>
      </c>
      <c r="K401">
        <v>2287.6527086496299</v>
      </c>
      <c r="L401">
        <v>1471.5758234201201</v>
      </c>
      <c r="M401">
        <v>16544.411510678699</v>
      </c>
      <c r="N401">
        <v>6764.8691338338003</v>
      </c>
      <c r="O401">
        <v>1438.6978980123999</v>
      </c>
      <c r="P401">
        <v>3479.7289452976402</v>
      </c>
      <c r="Q401">
        <v>14542.243814253001</v>
      </c>
      <c r="R401">
        <v>1781.7904943137301</v>
      </c>
      <c r="S401">
        <v>667.88653073640796</v>
      </c>
      <c r="T401">
        <v>982.13485748905703</v>
      </c>
      <c r="U401">
        <v>176.52569426777299</v>
      </c>
      <c r="V401">
        <v>939.53549185388601</v>
      </c>
      <c r="W401">
        <v>170.04345039692399</v>
      </c>
      <c r="X401">
        <v>495.039423306473</v>
      </c>
      <c r="Y401">
        <v>953.39996634428201</v>
      </c>
      <c r="Z401">
        <v>193.196995286396</v>
      </c>
      <c r="AA401">
        <v>787.96648341069601</v>
      </c>
      <c r="AB401">
        <v>989.89577785120696</v>
      </c>
      <c r="AC401">
        <v>278.332754698435</v>
      </c>
      <c r="AD401">
        <v>1251.6610444339001</v>
      </c>
      <c r="AE401">
        <v>267.27400427996002</v>
      </c>
      <c r="AF401">
        <v>263.17648065048797</v>
      </c>
      <c r="AG401">
        <v>828.53712999058905</v>
      </c>
    </row>
    <row r="402" spans="1:33" x14ac:dyDescent="0.25">
      <c r="A402" s="1">
        <v>44453</v>
      </c>
      <c r="B402">
        <v>18241.327937138802</v>
      </c>
      <c r="C402">
        <v>14182.967201277601</v>
      </c>
      <c r="D402">
        <v>14405.829465303001</v>
      </c>
      <c r="E402">
        <v>18311.040132721599</v>
      </c>
      <c r="F402">
        <v>19024.187926631399</v>
      </c>
      <c r="G402">
        <v>18481.644860430599</v>
      </c>
      <c r="H402">
        <v>29864.987368111499</v>
      </c>
      <c r="I402">
        <v>21801.2705040486</v>
      </c>
      <c r="J402">
        <v>2926.0802052848499</v>
      </c>
      <c r="K402">
        <v>2316.9630779623199</v>
      </c>
      <c r="L402">
        <v>1539.0368831521</v>
      </c>
      <c r="M402">
        <v>16918.733337844002</v>
      </c>
      <c r="N402">
        <v>7113.1945005384796</v>
      </c>
      <c r="O402">
        <v>1581.6713381715699</v>
      </c>
      <c r="P402">
        <v>3699.0233089388398</v>
      </c>
      <c r="Q402">
        <v>15007.531724455501</v>
      </c>
      <c r="R402">
        <v>1922.81807827237</v>
      </c>
      <c r="S402">
        <v>663.14283000480202</v>
      </c>
      <c r="T402">
        <v>1035.1095566643301</v>
      </c>
      <c r="U402">
        <v>178.55064790882699</v>
      </c>
      <c r="V402">
        <v>886.97911436410095</v>
      </c>
      <c r="W402">
        <v>161.85075502725101</v>
      </c>
      <c r="X402">
        <v>410.06723383732901</v>
      </c>
      <c r="Y402">
        <v>961.67914779460796</v>
      </c>
      <c r="Z402">
        <v>198.650256799049</v>
      </c>
      <c r="AA402">
        <v>783.78473091834803</v>
      </c>
      <c r="AB402">
        <v>993.82243538866703</v>
      </c>
      <c r="AC402">
        <v>280.78248854369599</v>
      </c>
      <c r="AD402">
        <v>1319.4451006286999</v>
      </c>
      <c r="AE402">
        <v>233.46224630259201</v>
      </c>
      <c r="AF402">
        <v>265.35107392459599</v>
      </c>
      <c r="AG402">
        <v>835.17588127581405</v>
      </c>
    </row>
    <row r="403" spans="1:33" x14ac:dyDescent="0.25">
      <c r="A403" s="1">
        <v>44454</v>
      </c>
      <c r="B403">
        <v>18001.816682916498</v>
      </c>
      <c r="C403">
        <v>14759.3962908212</v>
      </c>
      <c r="D403">
        <v>14328.386184011501</v>
      </c>
      <c r="E403">
        <v>17945.771588359999</v>
      </c>
      <c r="F403">
        <v>19633.892224298699</v>
      </c>
      <c r="G403">
        <v>18681.224385889502</v>
      </c>
      <c r="H403">
        <v>30408.568451667299</v>
      </c>
      <c r="I403">
        <v>21968.726917171902</v>
      </c>
      <c r="J403">
        <v>2981.4010758291602</v>
      </c>
      <c r="K403">
        <v>2318.2745835803798</v>
      </c>
      <c r="L403">
        <v>1624.8474072080101</v>
      </c>
      <c r="M403">
        <v>17192.7985307913</v>
      </c>
      <c r="N403">
        <v>7383.6417809571303</v>
      </c>
      <c r="O403">
        <v>1743.8946721628699</v>
      </c>
      <c r="P403">
        <v>3812.3467727380098</v>
      </c>
      <c r="Q403">
        <v>15272.762681927999</v>
      </c>
      <c r="R403">
        <v>2081.4532256285702</v>
      </c>
      <c r="S403">
        <v>655.96153108331498</v>
      </c>
      <c r="T403">
        <v>1065.4871802473799</v>
      </c>
      <c r="U403">
        <v>178.63989480598201</v>
      </c>
      <c r="V403">
        <v>834.75950923487505</v>
      </c>
      <c r="W403">
        <v>165.407844926991</v>
      </c>
      <c r="X403">
        <v>369.69086872787</v>
      </c>
      <c r="Y403">
        <v>963.95556763327397</v>
      </c>
      <c r="Z403">
        <v>204.44509311363501</v>
      </c>
      <c r="AA403">
        <v>783.97330096696101</v>
      </c>
      <c r="AB403">
        <v>1003.08176207491</v>
      </c>
      <c r="AC403">
        <v>283.23151776010099</v>
      </c>
      <c r="AD403">
        <v>1384.31652813971</v>
      </c>
      <c r="AE403">
        <v>270.82651539331999</v>
      </c>
      <c r="AF403">
        <v>266.62286347391603</v>
      </c>
      <c r="AG403">
        <v>840.391863977345</v>
      </c>
    </row>
    <row r="404" spans="1:33" x14ac:dyDescent="0.25">
      <c r="A404" s="1">
        <v>44455</v>
      </c>
      <c r="B404">
        <v>17753.802195911001</v>
      </c>
      <c r="C404">
        <v>15327.404343869001</v>
      </c>
      <c r="D404">
        <v>14339.7391661252</v>
      </c>
      <c r="E404">
        <v>17673.482073689898</v>
      </c>
      <c r="F404">
        <v>19758.708041809299</v>
      </c>
      <c r="G404">
        <v>18626.203790795498</v>
      </c>
      <c r="H404">
        <v>29986.863827695899</v>
      </c>
      <c r="I404">
        <v>22146.335686431299</v>
      </c>
      <c r="J404">
        <v>3017.8678414997798</v>
      </c>
      <c r="K404">
        <v>2345.9734672115201</v>
      </c>
      <c r="L404">
        <v>1677.22429282911</v>
      </c>
      <c r="M404">
        <v>17021.211335980101</v>
      </c>
      <c r="N404">
        <v>7398.0761171001404</v>
      </c>
      <c r="O404">
        <v>1822.6684652106801</v>
      </c>
      <c r="P404">
        <v>3917.37858456097</v>
      </c>
      <c r="Q404">
        <v>15325.337652022699</v>
      </c>
      <c r="R404">
        <v>2128.1736022451701</v>
      </c>
      <c r="S404">
        <v>646.57993080516496</v>
      </c>
      <c r="T404">
        <v>1018.22177540083</v>
      </c>
      <c r="U404">
        <v>178.617092989811</v>
      </c>
      <c r="V404">
        <v>752.78371374911399</v>
      </c>
      <c r="W404">
        <v>165.91288330690699</v>
      </c>
      <c r="X404">
        <v>339.70685324030399</v>
      </c>
      <c r="Y404">
        <v>954.58089511956598</v>
      </c>
      <c r="Z404">
        <v>205.93762511456401</v>
      </c>
      <c r="AA404">
        <v>795.21854721646605</v>
      </c>
      <c r="AB404">
        <v>1004.45083404543</v>
      </c>
      <c r="AC404">
        <v>283.39786195251202</v>
      </c>
      <c r="AD404">
        <v>1431.4532186234301</v>
      </c>
      <c r="AE404">
        <v>349.84148103211498</v>
      </c>
      <c r="AF404">
        <v>269.62785099611301</v>
      </c>
      <c r="AG404">
        <v>843.82220582087996</v>
      </c>
    </row>
    <row r="405" spans="1:33" x14ac:dyDescent="0.25">
      <c r="A405" s="1">
        <v>44456</v>
      </c>
      <c r="B405">
        <v>17481.5104885574</v>
      </c>
      <c r="C405">
        <v>15276.7486042582</v>
      </c>
      <c r="D405">
        <v>14442.5513755267</v>
      </c>
      <c r="E405">
        <v>17369.912811384402</v>
      </c>
      <c r="F405">
        <v>19650.879055957801</v>
      </c>
      <c r="G405">
        <v>18515.616809732401</v>
      </c>
      <c r="H405">
        <v>29673.281822701301</v>
      </c>
      <c r="I405">
        <v>22259.926121040899</v>
      </c>
      <c r="J405">
        <v>3066.5916816099998</v>
      </c>
      <c r="K405">
        <v>2412.7708138790299</v>
      </c>
      <c r="L405">
        <v>1732.7852607376101</v>
      </c>
      <c r="M405">
        <v>16845.952381810701</v>
      </c>
      <c r="N405">
        <v>7235.9788000692697</v>
      </c>
      <c r="O405">
        <v>1829.20466165731</v>
      </c>
      <c r="P405">
        <v>3960.64220755213</v>
      </c>
      <c r="Q405">
        <v>15047.636429207399</v>
      </c>
      <c r="R405">
        <v>2133.6369123066402</v>
      </c>
      <c r="S405">
        <v>639.27793800455595</v>
      </c>
      <c r="T405">
        <v>997.78152340344002</v>
      </c>
      <c r="U405">
        <v>170.78793931823699</v>
      </c>
      <c r="V405">
        <v>898.46182650621301</v>
      </c>
      <c r="W405">
        <v>162.87030139103001</v>
      </c>
      <c r="X405">
        <v>457.07306302086198</v>
      </c>
      <c r="Y405">
        <v>940.47394786253199</v>
      </c>
      <c r="Z405">
        <v>201.367502189709</v>
      </c>
      <c r="AA405">
        <v>806.70140920125095</v>
      </c>
      <c r="AB405">
        <v>1006.74781497469</v>
      </c>
      <c r="AC405">
        <v>280.62699812848098</v>
      </c>
      <c r="AD405">
        <v>1475.7884027808</v>
      </c>
      <c r="AE405">
        <v>380.72298671689202</v>
      </c>
      <c r="AF405">
        <v>273.10328547713698</v>
      </c>
      <c r="AG405">
        <v>847.44845560596298</v>
      </c>
    </row>
    <row r="406" spans="1:33" x14ac:dyDescent="0.25">
      <c r="A406" s="1">
        <v>44457</v>
      </c>
      <c r="B406">
        <v>17218.648794915</v>
      </c>
      <c r="C406">
        <v>14836.107754606301</v>
      </c>
      <c r="D406">
        <v>14683.1547326122</v>
      </c>
      <c r="E406">
        <v>17224.347485013499</v>
      </c>
      <c r="F406">
        <v>19512.502184073699</v>
      </c>
      <c r="G406">
        <v>18352.962099973702</v>
      </c>
      <c r="H406">
        <v>29408.9658789397</v>
      </c>
      <c r="I406">
        <v>22361.833084087601</v>
      </c>
      <c r="J406">
        <v>3126.9479659386998</v>
      </c>
      <c r="K406">
        <v>2457.0677110746701</v>
      </c>
      <c r="L406">
        <v>1753.5423222203001</v>
      </c>
      <c r="M406">
        <v>16853.716311019401</v>
      </c>
      <c r="N406">
        <v>7331.4839158999303</v>
      </c>
      <c r="O406">
        <v>1764.2703543443299</v>
      </c>
      <c r="P406">
        <v>3930.9083185914501</v>
      </c>
      <c r="Q406">
        <v>15051.9426944468</v>
      </c>
      <c r="R406">
        <v>2143.5914124051301</v>
      </c>
      <c r="S406">
        <v>628.71138831318694</v>
      </c>
      <c r="T406">
        <v>1083.9631307759</v>
      </c>
      <c r="U406">
        <v>163.68750991190399</v>
      </c>
      <c r="V406">
        <v>1032.7188990960501</v>
      </c>
      <c r="W406">
        <v>161.20258455129999</v>
      </c>
      <c r="X406">
        <v>581.100952921665</v>
      </c>
      <c r="Y406">
        <v>928.73453259379005</v>
      </c>
      <c r="Z406">
        <v>186.92434529689899</v>
      </c>
      <c r="AA406">
        <v>820.37709624463105</v>
      </c>
      <c r="AB406">
        <v>1014.69627887995</v>
      </c>
      <c r="AC406">
        <v>278.20257963318602</v>
      </c>
      <c r="AD406">
        <v>1497.23751881264</v>
      </c>
      <c r="AE406">
        <v>432.30519971423001</v>
      </c>
      <c r="AF406">
        <v>276.25291025248498</v>
      </c>
      <c r="AG406">
        <v>856.92626523534</v>
      </c>
    </row>
    <row r="407" spans="1:33" x14ac:dyDescent="0.25">
      <c r="A407" s="1">
        <v>44458</v>
      </c>
      <c r="B407">
        <v>17001.047376751001</v>
      </c>
      <c r="C407">
        <v>14207.703615185501</v>
      </c>
      <c r="D407">
        <v>14837.3519052355</v>
      </c>
      <c r="E407">
        <v>17046.049947412299</v>
      </c>
      <c r="F407">
        <v>19019.253548115601</v>
      </c>
      <c r="G407">
        <v>17872.703436142299</v>
      </c>
      <c r="H407">
        <v>28608.953767905801</v>
      </c>
      <c r="I407">
        <v>22408.289869742701</v>
      </c>
      <c r="J407">
        <v>3135.7729575825501</v>
      </c>
      <c r="K407">
        <v>2466.63100332452</v>
      </c>
      <c r="L407">
        <v>1704.20610975812</v>
      </c>
      <c r="M407">
        <v>16239.6786878324</v>
      </c>
      <c r="N407">
        <v>6857.5770477795404</v>
      </c>
      <c r="O407">
        <v>1615.6022339040201</v>
      </c>
      <c r="P407">
        <v>3775.1891151743698</v>
      </c>
      <c r="Q407">
        <v>14382.206820609101</v>
      </c>
      <c r="R407">
        <v>2011.0416946543301</v>
      </c>
      <c r="S407">
        <v>623.66279861256703</v>
      </c>
      <c r="T407">
        <v>972.28462035121697</v>
      </c>
      <c r="U407">
        <v>161.35532111679299</v>
      </c>
      <c r="V407">
        <v>975.17810871478696</v>
      </c>
      <c r="W407">
        <v>165.499564390302</v>
      </c>
      <c r="X407">
        <v>544.98803070314705</v>
      </c>
      <c r="Y407">
        <v>905.89279495274695</v>
      </c>
      <c r="Z407">
        <v>188.64728002590201</v>
      </c>
      <c r="AA407">
        <v>839.40101252280294</v>
      </c>
      <c r="AB407">
        <v>1023.4585965433801</v>
      </c>
      <c r="AC407">
        <v>273.519701888768</v>
      </c>
      <c r="AD407">
        <v>1443.0891310464301</v>
      </c>
      <c r="AE407">
        <v>432.78215483646602</v>
      </c>
      <c r="AF407">
        <v>281.07698799626002</v>
      </c>
      <c r="AG407">
        <v>865.43580476787099</v>
      </c>
    </row>
    <row r="408" spans="1:33" x14ac:dyDescent="0.25">
      <c r="A408" s="1">
        <v>44459</v>
      </c>
      <c r="B408">
        <v>16742.568234855298</v>
      </c>
      <c r="C408">
        <v>13206.506193998201</v>
      </c>
      <c r="D408">
        <v>14860.330317444899</v>
      </c>
      <c r="E408">
        <v>16826.317780412101</v>
      </c>
      <c r="F408">
        <v>18568.677788909401</v>
      </c>
      <c r="G408">
        <v>17677.999174184301</v>
      </c>
      <c r="H408">
        <v>27894.753660992101</v>
      </c>
      <c r="I408">
        <v>22262.3431510429</v>
      </c>
      <c r="J408">
        <v>3139.6020275309602</v>
      </c>
      <c r="K408">
        <v>2497.60770638025</v>
      </c>
      <c r="L408">
        <v>1637.7900043391001</v>
      </c>
      <c r="M408">
        <v>15929.7161969763</v>
      </c>
      <c r="N408">
        <v>6358.5910317580901</v>
      </c>
      <c r="O408">
        <v>1558.9452319039799</v>
      </c>
      <c r="P408">
        <v>3665.28476950496</v>
      </c>
      <c r="Q408">
        <v>13919.933555335099</v>
      </c>
      <c r="R408">
        <v>1918.32315409019</v>
      </c>
      <c r="S408">
        <v>622.01712804702595</v>
      </c>
      <c r="T408">
        <v>876.14795851971201</v>
      </c>
      <c r="U408">
        <v>162.16240075505101</v>
      </c>
      <c r="V408">
        <v>838.34963350275598</v>
      </c>
      <c r="W408">
        <v>166.70493632989201</v>
      </c>
      <c r="X408">
        <v>440.13442706757502</v>
      </c>
      <c r="Y408">
        <v>902.16854726781605</v>
      </c>
      <c r="Z408">
        <v>191.46120727978999</v>
      </c>
      <c r="AA408">
        <v>850.55005317977702</v>
      </c>
      <c r="AB408">
        <v>1043.5676435909099</v>
      </c>
      <c r="AC408">
        <v>270.41068003300001</v>
      </c>
      <c r="AD408">
        <v>1394.1413841086001</v>
      </c>
      <c r="AE408">
        <v>405.13029859308301</v>
      </c>
      <c r="AF408">
        <v>287.007688492255</v>
      </c>
      <c r="AG408">
        <v>878.16117916420706</v>
      </c>
    </row>
    <row r="409" spans="1:33" x14ac:dyDescent="0.25">
      <c r="A409" s="1">
        <v>44460</v>
      </c>
      <c r="B409">
        <v>16512.239102564399</v>
      </c>
      <c r="C409">
        <v>12846.2947584186</v>
      </c>
      <c r="D409">
        <v>14742.7099484339</v>
      </c>
      <c r="E409">
        <v>16698.185096454301</v>
      </c>
      <c r="F409">
        <v>18424.467411116799</v>
      </c>
      <c r="G409">
        <v>17853.4794593525</v>
      </c>
      <c r="H409">
        <v>27896.120614091698</v>
      </c>
      <c r="I409">
        <v>22052.033459370301</v>
      </c>
      <c r="J409">
        <v>3161.1444151158398</v>
      </c>
      <c r="K409">
        <v>2573.0164517367698</v>
      </c>
      <c r="L409">
        <v>1641.5413472996099</v>
      </c>
      <c r="M409">
        <v>16059.486648750901</v>
      </c>
      <c r="N409">
        <v>6140.8015066153603</v>
      </c>
      <c r="O409">
        <v>1679.3586338039099</v>
      </c>
      <c r="P409">
        <v>3674.6594445839901</v>
      </c>
      <c r="Q409">
        <v>13958.656572285799</v>
      </c>
      <c r="R409">
        <v>1946.9570843669801</v>
      </c>
      <c r="S409">
        <v>617.78658915703897</v>
      </c>
      <c r="T409">
        <v>808.77291389329105</v>
      </c>
      <c r="U409">
        <v>162.711741348251</v>
      </c>
      <c r="V409">
        <v>733.015883468129</v>
      </c>
      <c r="W409">
        <v>161.111142295756</v>
      </c>
      <c r="X409">
        <v>357.27093109435202</v>
      </c>
      <c r="Y409">
        <v>926.05552306924801</v>
      </c>
      <c r="Z409">
        <v>194.78544346822599</v>
      </c>
      <c r="AA409">
        <v>863.72484886147095</v>
      </c>
      <c r="AB409">
        <v>1057.1157603556901</v>
      </c>
      <c r="AC409">
        <v>274.70574137762202</v>
      </c>
      <c r="AD409">
        <v>1411.80293929717</v>
      </c>
      <c r="AE409">
        <v>413.17292996822198</v>
      </c>
      <c r="AF409">
        <v>291.02280095292502</v>
      </c>
      <c r="AG409">
        <v>890.88602273267497</v>
      </c>
    </row>
    <row r="410" spans="1:33" x14ac:dyDescent="0.25">
      <c r="A410" s="1">
        <v>44461</v>
      </c>
      <c r="B410">
        <v>16391.468138259101</v>
      </c>
      <c r="C410">
        <v>12904.455921447099</v>
      </c>
      <c r="D410">
        <v>14529.5842596817</v>
      </c>
      <c r="E410">
        <v>16712.618675812599</v>
      </c>
      <c r="F410">
        <v>18808.5092918064</v>
      </c>
      <c r="G410">
        <v>18741.059672645199</v>
      </c>
      <c r="H410">
        <v>29214.017121675199</v>
      </c>
      <c r="I410">
        <v>21976.0148495547</v>
      </c>
      <c r="J410">
        <v>3242.5130696589999</v>
      </c>
      <c r="K410">
        <v>2565.5932339350502</v>
      </c>
      <c r="L410">
        <v>1759.6141766309199</v>
      </c>
      <c r="M410">
        <v>16948.298948220101</v>
      </c>
      <c r="N410">
        <v>6615.4858260765895</v>
      </c>
      <c r="O410">
        <v>1911.71622580846</v>
      </c>
      <c r="P410">
        <v>3848.7975735452201</v>
      </c>
      <c r="Q410">
        <v>14967.4788093847</v>
      </c>
      <c r="R410">
        <v>2137.1459287566099</v>
      </c>
      <c r="S410">
        <v>609.84257233433902</v>
      </c>
      <c r="T410">
        <v>872.970667986987</v>
      </c>
      <c r="U410">
        <v>163.21572411805499</v>
      </c>
      <c r="V410">
        <v>802.97035115609799</v>
      </c>
      <c r="W410">
        <v>160.006365099672</v>
      </c>
      <c r="X410">
        <v>389.91639575415701</v>
      </c>
      <c r="Y410">
        <v>988.20276477525499</v>
      </c>
      <c r="Z410">
        <v>198.14129465998701</v>
      </c>
      <c r="AA410">
        <v>871.85973112596605</v>
      </c>
      <c r="AB410">
        <v>1077.0950942470099</v>
      </c>
      <c r="AC410">
        <v>282.02553610602899</v>
      </c>
      <c r="AD410">
        <v>1508.70937660204</v>
      </c>
      <c r="AE410">
        <v>472.63920601008499</v>
      </c>
      <c r="AF410">
        <v>291.30840096406399</v>
      </c>
      <c r="AG410">
        <v>902.33433885431896</v>
      </c>
    </row>
    <row r="411" spans="1:33" x14ac:dyDescent="0.25">
      <c r="A411" s="1">
        <v>44462</v>
      </c>
      <c r="B411">
        <v>16410.973220068099</v>
      </c>
      <c r="C411">
        <v>14103.691877664</v>
      </c>
      <c r="D411">
        <v>14178.817621694199</v>
      </c>
      <c r="E411">
        <v>16711.7040165947</v>
      </c>
      <c r="F411">
        <v>19393.489986840599</v>
      </c>
      <c r="G411">
        <v>19019.395132203201</v>
      </c>
      <c r="H411">
        <v>29392.002634389399</v>
      </c>
      <c r="I411">
        <v>22053.387268884599</v>
      </c>
      <c r="J411">
        <v>3305.8298500236901</v>
      </c>
      <c r="K411">
        <v>2585.0553439968699</v>
      </c>
      <c r="L411">
        <v>1849.12576204986</v>
      </c>
      <c r="M411">
        <v>17330.2663830202</v>
      </c>
      <c r="N411">
        <v>6868.2841813210998</v>
      </c>
      <c r="O411">
        <v>2023.67370529867</v>
      </c>
      <c r="P411">
        <v>4055.75222292129</v>
      </c>
      <c r="Q411">
        <v>15333.788109505</v>
      </c>
      <c r="R411">
        <v>2256.7920896174501</v>
      </c>
      <c r="S411">
        <v>605.23668310080802</v>
      </c>
      <c r="T411">
        <v>855.27444164209896</v>
      </c>
      <c r="U411">
        <v>163.45336014260701</v>
      </c>
      <c r="V411">
        <v>743.65243732828105</v>
      </c>
      <c r="W411">
        <v>152.89258465839299</v>
      </c>
      <c r="X411">
        <v>340.57605616457698</v>
      </c>
      <c r="Y411">
        <v>1008.94290616734</v>
      </c>
      <c r="Z411">
        <v>195.164820809666</v>
      </c>
      <c r="AA411">
        <v>889.64588351327598</v>
      </c>
      <c r="AB411">
        <v>1101.0796915805199</v>
      </c>
      <c r="AC411">
        <v>292.26381311006998</v>
      </c>
      <c r="AD411">
        <v>1581.1885229293</v>
      </c>
      <c r="AE411">
        <v>446.64970469202001</v>
      </c>
      <c r="AF411">
        <v>292.405246852213</v>
      </c>
      <c r="AG411">
        <v>907.37049947410799</v>
      </c>
    </row>
    <row r="412" spans="1:33" x14ac:dyDescent="0.25">
      <c r="A412" s="1">
        <v>44463</v>
      </c>
      <c r="B412">
        <v>16435.709668013798</v>
      </c>
      <c r="C412">
        <v>14464.629750100299</v>
      </c>
      <c r="D412">
        <v>13868.668393186101</v>
      </c>
      <c r="E412">
        <v>16646.6854141164</v>
      </c>
      <c r="F412">
        <v>19644.0592399626</v>
      </c>
      <c r="G412">
        <v>19246.2373727839</v>
      </c>
      <c r="H412">
        <v>29809.323847331201</v>
      </c>
      <c r="I412">
        <v>22162.824391467901</v>
      </c>
      <c r="J412">
        <v>3366.6732679177499</v>
      </c>
      <c r="K412">
        <v>2655.24571011837</v>
      </c>
      <c r="L412">
        <v>1921.1941500739999</v>
      </c>
      <c r="M412">
        <v>17515.848217194802</v>
      </c>
      <c r="N412">
        <v>6883.8330466759198</v>
      </c>
      <c r="O412">
        <v>2073.4701947611102</v>
      </c>
      <c r="P412">
        <v>4168.9125829647901</v>
      </c>
      <c r="Q412">
        <v>15556.313552195301</v>
      </c>
      <c r="R412">
        <v>2336.2605125270202</v>
      </c>
      <c r="S412">
        <v>600.86721980462596</v>
      </c>
      <c r="T412">
        <v>831.24561223897695</v>
      </c>
      <c r="U412">
        <v>157.07062582803201</v>
      </c>
      <c r="V412">
        <v>776.30358611878796</v>
      </c>
      <c r="W412">
        <v>154.454670547696</v>
      </c>
      <c r="X412">
        <v>377.00894164259398</v>
      </c>
      <c r="Y412">
        <v>1023.0562299191</v>
      </c>
      <c r="Z412">
        <v>188.818500366954</v>
      </c>
      <c r="AA412">
        <v>905.81474972285605</v>
      </c>
      <c r="AB412">
        <v>1113.4299082426101</v>
      </c>
      <c r="AC412">
        <v>309.64643028461398</v>
      </c>
      <c r="AD412">
        <v>1641.02902275721</v>
      </c>
      <c r="AE412">
        <v>405.83713135504399</v>
      </c>
      <c r="AF412">
        <v>293.71799998168899</v>
      </c>
      <c r="AG412">
        <v>917.29830773946696</v>
      </c>
    </row>
    <row r="413" spans="1:33" x14ac:dyDescent="0.25">
      <c r="A413" s="1">
        <v>44464</v>
      </c>
      <c r="B413">
        <v>16437.743794346599</v>
      </c>
      <c r="C413">
        <v>14884.5073655715</v>
      </c>
      <c r="D413">
        <v>13760.4580354278</v>
      </c>
      <c r="E413">
        <v>16618.993548127299</v>
      </c>
      <c r="F413">
        <v>20053.1583131224</v>
      </c>
      <c r="G413">
        <v>19327.598569142101</v>
      </c>
      <c r="H413">
        <v>30566.909482238701</v>
      </c>
      <c r="I413">
        <v>22280.1075596388</v>
      </c>
      <c r="J413">
        <v>3437.71696713744</v>
      </c>
      <c r="K413">
        <v>2685.7698871090201</v>
      </c>
      <c r="L413">
        <v>1968.9867008321</v>
      </c>
      <c r="M413">
        <v>17729.269035620098</v>
      </c>
      <c r="N413">
        <v>7164.5424716028501</v>
      </c>
      <c r="O413">
        <v>2095.1872515805499</v>
      </c>
      <c r="P413">
        <v>4200.4456980511904</v>
      </c>
      <c r="Q413">
        <v>15825.6898220515</v>
      </c>
      <c r="R413">
        <v>2430.7993258218298</v>
      </c>
      <c r="S413">
        <v>597.17163300122002</v>
      </c>
      <c r="T413">
        <v>898.17092440573595</v>
      </c>
      <c r="U413">
        <v>154.23497756993899</v>
      </c>
      <c r="V413">
        <v>867.80085074166504</v>
      </c>
      <c r="W413">
        <v>145.317037479275</v>
      </c>
      <c r="X413">
        <v>439.96009276026302</v>
      </c>
      <c r="Y413">
        <v>1055.23165773561</v>
      </c>
      <c r="Z413">
        <v>183.87614191360299</v>
      </c>
      <c r="AA413">
        <v>912.70570757987105</v>
      </c>
      <c r="AB413">
        <v>1132.25656852775</v>
      </c>
      <c r="AC413">
        <v>321.39886808425001</v>
      </c>
      <c r="AD413">
        <v>1676.1762002415001</v>
      </c>
      <c r="AE413">
        <v>336.770975270044</v>
      </c>
      <c r="AF413">
        <v>294.033089023223</v>
      </c>
      <c r="AG413">
        <v>934.60701465900695</v>
      </c>
    </row>
    <row r="414" spans="1:33" x14ac:dyDescent="0.25">
      <c r="A414" s="1">
        <v>44465</v>
      </c>
      <c r="B414">
        <v>16421.036924547301</v>
      </c>
      <c r="C414">
        <v>15770.949375948599</v>
      </c>
      <c r="D414">
        <v>13842.4296108416</v>
      </c>
      <c r="E414">
        <v>16611.046559255399</v>
      </c>
      <c r="F414">
        <v>20115.773942923101</v>
      </c>
      <c r="G414">
        <v>19270.152272691099</v>
      </c>
      <c r="H414">
        <v>30894.7694372193</v>
      </c>
      <c r="I414">
        <v>22377.943855719601</v>
      </c>
      <c r="J414">
        <v>3498.1558694508599</v>
      </c>
      <c r="K414">
        <v>2713.6967152014699</v>
      </c>
      <c r="L414">
        <v>1981.7195432717001</v>
      </c>
      <c r="M414">
        <v>18027.265056681801</v>
      </c>
      <c r="N414">
        <v>7737.9276889592002</v>
      </c>
      <c r="O414">
        <v>2093.0144128421598</v>
      </c>
      <c r="P414">
        <v>4237.0096472149098</v>
      </c>
      <c r="Q414">
        <v>15916.334675275601</v>
      </c>
      <c r="R414">
        <v>2510.9777459619099</v>
      </c>
      <c r="S414">
        <v>593.39040979931997</v>
      </c>
      <c r="T414">
        <v>943.19164518616196</v>
      </c>
      <c r="U414">
        <v>145.75256870439901</v>
      </c>
      <c r="V414">
        <v>908.41355135047502</v>
      </c>
      <c r="W414">
        <v>143.363316883994</v>
      </c>
      <c r="X414">
        <v>445.31166411827201</v>
      </c>
      <c r="Y414">
        <v>1071.9380412355299</v>
      </c>
      <c r="Z414">
        <v>185.508276478044</v>
      </c>
      <c r="AA414">
        <v>917.93529107220604</v>
      </c>
      <c r="AB414">
        <v>1165.2231425216501</v>
      </c>
      <c r="AC414">
        <v>331.095323015806</v>
      </c>
      <c r="AD414">
        <v>1694.7462854449</v>
      </c>
      <c r="AE414">
        <v>291.31144155693102</v>
      </c>
      <c r="AF414">
        <v>294.63012985381999</v>
      </c>
      <c r="AG414">
        <v>948.34642696486003</v>
      </c>
    </row>
    <row r="415" spans="1:33" x14ac:dyDescent="0.25">
      <c r="A415" s="1">
        <v>44466</v>
      </c>
      <c r="B415">
        <v>16414.5275841332</v>
      </c>
      <c r="C415">
        <v>15974.347480041501</v>
      </c>
      <c r="D415">
        <v>13991.1485045502</v>
      </c>
      <c r="E415">
        <v>16581.522908043898</v>
      </c>
      <c r="F415">
        <v>20042.534632676001</v>
      </c>
      <c r="G415">
        <v>19132.667614985199</v>
      </c>
      <c r="H415">
        <v>30981.826434737701</v>
      </c>
      <c r="I415">
        <v>22524.943816492101</v>
      </c>
      <c r="J415">
        <v>3549.4789306258499</v>
      </c>
      <c r="K415">
        <v>2754.72163370914</v>
      </c>
      <c r="L415">
        <v>1982.33272478208</v>
      </c>
      <c r="M415">
        <v>17885.9990152028</v>
      </c>
      <c r="N415">
        <v>7791.8333295554103</v>
      </c>
      <c r="O415">
        <v>2056.4230931080801</v>
      </c>
      <c r="P415">
        <v>4298.3929486437901</v>
      </c>
      <c r="Q415">
        <v>15798.477156922299</v>
      </c>
      <c r="R415">
        <v>2552.6786674904401</v>
      </c>
      <c r="S415">
        <v>592.22685625768304</v>
      </c>
      <c r="T415">
        <v>933.09487137825795</v>
      </c>
      <c r="U415">
        <v>143.397066896848</v>
      </c>
      <c r="V415">
        <v>818.21073497806901</v>
      </c>
      <c r="W415">
        <v>143.45254445022701</v>
      </c>
      <c r="X415">
        <v>349.75376710435103</v>
      </c>
      <c r="Y415">
        <v>1079.4322892426401</v>
      </c>
      <c r="Z415">
        <v>192.38462199487299</v>
      </c>
      <c r="AA415">
        <v>930.51845784775605</v>
      </c>
      <c r="AB415">
        <v>1195.60171943617</v>
      </c>
      <c r="AC415">
        <v>338.68269662520697</v>
      </c>
      <c r="AD415">
        <v>1704.49763074972</v>
      </c>
      <c r="AE415">
        <v>333.57015111794601</v>
      </c>
      <c r="AF415">
        <v>295.65027050315803</v>
      </c>
      <c r="AG415">
        <v>960.53731322739702</v>
      </c>
    </row>
    <row r="416" spans="1:33" x14ac:dyDescent="0.25">
      <c r="A416" s="1">
        <v>44467</v>
      </c>
      <c r="B416">
        <v>16371.2736414924</v>
      </c>
      <c r="C416">
        <v>15848.7899714018</v>
      </c>
      <c r="D416">
        <v>14340.697892271501</v>
      </c>
      <c r="E416">
        <v>16346.8305629074</v>
      </c>
      <c r="F416">
        <v>19388.308973167801</v>
      </c>
      <c r="G416">
        <v>18394.804363857998</v>
      </c>
      <c r="H416">
        <v>29845.903965837701</v>
      </c>
      <c r="I416">
        <v>22656.056959748101</v>
      </c>
      <c r="J416">
        <v>3527.51753722891</v>
      </c>
      <c r="K416">
        <v>2792.2193993979699</v>
      </c>
      <c r="L416">
        <v>1916.81883522454</v>
      </c>
      <c r="M416">
        <v>16838.1812184972</v>
      </c>
      <c r="N416">
        <v>6351.20959533511</v>
      </c>
      <c r="O416">
        <v>2034.94836518486</v>
      </c>
      <c r="P416">
        <v>4147.2165866630903</v>
      </c>
      <c r="Q416">
        <v>14906.793413343999</v>
      </c>
      <c r="R416">
        <v>2463.2372528074502</v>
      </c>
      <c r="S416">
        <v>586.04712366975298</v>
      </c>
      <c r="T416">
        <v>685.193163328021</v>
      </c>
      <c r="U416">
        <v>143.66168203225899</v>
      </c>
      <c r="V416">
        <v>367.50528479008602</v>
      </c>
      <c r="W416">
        <v>138.39762964416099</v>
      </c>
      <c r="X416">
        <v>148.42923795758401</v>
      </c>
      <c r="Y416">
        <v>1064.8981519020699</v>
      </c>
      <c r="Z416">
        <v>188.71333780893801</v>
      </c>
      <c r="AA416">
        <v>940.93653802301196</v>
      </c>
      <c r="AB416">
        <v>1199.9633176377699</v>
      </c>
      <c r="AC416">
        <v>338.77646164248199</v>
      </c>
      <c r="AD416">
        <v>1632.7806279992201</v>
      </c>
      <c r="AE416">
        <v>362.06306606257499</v>
      </c>
      <c r="AF416">
        <v>297.08894685420199</v>
      </c>
      <c r="AG416">
        <v>974.25911670041501</v>
      </c>
    </row>
    <row r="417" spans="1:33" x14ac:dyDescent="0.25">
      <c r="A417" s="1">
        <v>44468</v>
      </c>
      <c r="B417">
        <v>16214.2114369592</v>
      </c>
      <c r="C417">
        <v>14524.9454263189</v>
      </c>
      <c r="D417">
        <v>14715.9547281374</v>
      </c>
      <c r="E417">
        <v>16253.173336446</v>
      </c>
      <c r="F417">
        <v>18726.532237793101</v>
      </c>
      <c r="G417">
        <v>18025.272470607499</v>
      </c>
      <c r="H417">
        <v>29439.285262859299</v>
      </c>
      <c r="I417">
        <v>22651.266074735999</v>
      </c>
      <c r="J417">
        <v>3490.93901074417</v>
      </c>
      <c r="K417">
        <v>2854.3839015369099</v>
      </c>
      <c r="L417">
        <v>1921.06840079735</v>
      </c>
      <c r="M417">
        <v>16492.466658659501</v>
      </c>
      <c r="N417">
        <v>5920.6695279974401</v>
      </c>
      <c r="O417">
        <v>1992.4629689211799</v>
      </c>
      <c r="P417">
        <v>4105.0597400932702</v>
      </c>
      <c r="Q417">
        <v>14441.0913342027</v>
      </c>
      <c r="R417">
        <v>2426.5111215853299</v>
      </c>
      <c r="S417">
        <v>592.33516017330101</v>
      </c>
      <c r="T417">
        <v>628.27591799913296</v>
      </c>
      <c r="U417">
        <v>144.170215211461</v>
      </c>
      <c r="V417">
        <v>421.14374605382102</v>
      </c>
      <c r="W417">
        <v>136.273336193559</v>
      </c>
      <c r="X417">
        <v>166.41894236032601</v>
      </c>
      <c r="Y417">
        <v>1084.19222932512</v>
      </c>
      <c r="Z417">
        <v>191.65949561276301</v>
      </c>
      <c r="AA417">
        <v>952.41710197787495</v>
      </c>
      <c r="AB417">
        <v>1207.3899220124399</v>
      </c>
      <c r="AC417">
        <v>335.31816817406002</v>
      </c>
      <c r="AD417">
        <v>1653.1466518129</v>
      </c>
      <c r="AE417">
        <v>370.62784084927</v>
      </c>
      <c r="AF417">
        <v>298.99643695119198</v>
      </c>
      <c r="AG417">
        <v>992.56500545460801</v>
      </c>
    </row>
    <row r="418" spans="1:33" x14ac:dyDescent="0.25">
      <c r="A418" s="1">
        <v>44469</v>
      </c>
      <c r="B418">
        <v>16063.77011942</v>
      </c>
      <c r="C418">
        <v>13933.490589881199</v>
      </c>
      <c r="D418">
        <v>15043.6899893842</v>
      </c>
      <c r="E418">
        <v>16241.1181510027</v>
      </c>
      <c r="F418">
        <v>18504.4534450471</v>
      </c>
      <c r="G418">
        <v>18006.2949876846</v>
      </c>
      <c r="H418">
        <v>29330.969913003999</v>
      </c>
      <c r="I418">
        <v>22506.401613140999</v>
      </c>
      <c r="J418">
        <v>3434.1835123512001</v>
      </c>
      <c r="K418">
        <v>2903.6560472487899</v>
      </c>
      <c r="L418">
        <v>1931.75599107111</v>
      </c>
      <c r="M418">
        <v>16378.2680251817</v>
      </c>
      <c r="N418">
        <v>5702.1141742090504</v>
      </c>
      <c r="O418">
        <v>1953.4154550548501</v>
      </c>
      <c r="P418">
        <v>3963.9773624258</v>
      </c>
      <c r="Q418">
        <v>14250.682966070501</v>
      </c>
      <c r="R418">
        <v>2377.2100483546801</v>
      </c>
      <c r="S418">
        <v>587.73583817755605</v>
      </c>
      <c r="T418">
        <v>596.25864743285695</v>
      </c>
      <c r="U418">
        <v>139.68900716220401</v>
      </c>
      <c r="V418">
        <v>517.71263216694797</v>
      </c>
      <c r="W418">
        <v>131.69526271324199</v>
      </c>
      <c r="X418">
        <v>240.383248916545</v>
      </c>
      <c r="Y418">
        <v>1125.6580120777101</v>
      </c>
      <c r="Z418">
        <v>186.33199475498699</v>
      </c>
      <c r="AA418">
        <v>981.41464980482294</v>
      </c>
      <c r="AB418">
        <v>1218.5831640736201</v>
      </c>
      <c r="AC418">
        <v>331.34273308839499</v>
      </c>
      <c r="AD418">
        <v>1654.78995529087</v>
      </c>
      <c r="AE418">
        <v>393.37456039826202</v>
      </c>
      <c r="AF418">
        <v>300.60849098506202</v>
      </c>
      <c r="AG418">
        <v>1008.74583247693</v>
      </c>
    </row>
    <row r="419" spans="1:33" x14ac:dyDescent="0.25">
      <c r="A419" s="1">
        <v>44470</v>
      </c>
      <c r="B419">
        <v>16096.4446959413</v>
      </c>
      <c r="C419">
        <v>13761.5413431664</v>
      </c>
      <c r="D419">
        <v>15158.6699726395</v>
      </c>
      <c r="E419">
        <v>16327.259648806599</v>
      </c>
      <c r="F419">
        <v>18598.2496827875</v>
      </c>
      <c r="G419">
        <v>18232.248760869199</v>
      </c>
      <c r="H419">
        <v>29529.559492812201</v>
      </c>
      <c r="I419">
        <v>22329.111261104201</v>
      </c>
      <c r="J419">
        <v>3398.8329638578298</v>
      </c>
      <c r="K419">
        <v>2949.85471520485</v>
      </c>
      <c r="L419">
        <v>1938.6538191217301</v>
      </c>
      <c r="M419">
        <v>16506.100167138098</v>
      </c>
      <c r="N419">
        <v>5848.3316134594197</v>
      </c>
      <c r="O419">
        <v>1852.5845884893699</v>
      </c>
      <c r="P419">
        <v>3904.0105869257</v>
      </c>
      <c r="Q419">
        <v>14337.1465980059</v>
      </c>
      <c r="R419">
        <v>2313.3983653190298</v>
      </c>
      <c r="S419">
        <v>582.48254307351306</v>
      </c>
      <c r="T419">
        <v>623.67540451306502</v>
      </c>
      <c r="U419">
        <v>133.053497961902</v>
      </c>
      <c r="V419">
        <v>663.36979525036304</v>
      </c>
      <c r="W419">
        <v>128.285677208431</v>
      </c>
      <c r="X419">
        <v>332.074649370114</v>
      </c>
      <c r="Y419">
        <v>1151.8476318189801</v>
      </c>
      <c r="Z419">
        <v>177.884756634729</v>
      </c>
      <c r="AA419">
        <v>997.68824493855902</v>
      </c>
      <c r="AB419">
        <v>1220.4600605982901</v>
      </c>
      <c r="AC419">
        <v>326.596407376782</v>
      </c>
      <c r="AD419">
        <v>1662.28928603484</v>
      </c>
      <c r="AE419">
        <v>333.12428132021103</v>
      </c>
      <c r="AF419">
        <v>301.54219222166199</v>
      </c>
      <c r="AG419">
        <v>1028.08446706987</v>
      </c>
    </row>
    <row r="420" spans="1:33" x14ac:dyDescent="0.25">
      <c r="A420" s="1">
        <v>44471</v>
      </c>
      <c r="B420">
        <v>16287.885128924199</v>
      </c>
      <c r="C420">
        <v>13913.316028412301</v>
      </c>
      <c r="D420">
        <v>14994.731673341499</v>
      </c>
      <c r="E420">
        <v>16508.225363250502</v>
      </c>
      <c r="F420">
        <v>18964.993680801501</v>
      </c>
      <c r="G420">
        <v>18604.486463564001</v>
      </c>
      <c r="H420">
        <v>29600.5352078039</v>
      </c>
      <c r="I420">
        <v>22220.658624690201</v>
      </c>
      <c r="J420">
        <v>3378.1555953177399</v>
      </c>
      <c r="K420">
        <v>2969.3139034916699</v>
      </c>
      <c r="L420">
        <v>1942.3638757967601</v>
      </c>
      <c r="M420">
        <v>16758.471381318301</v>
      </c>
      <c r="N420">
        <v>6166.6965324521298</v>
      </c>
      <c r="O420">
        <v>1856.7874476771401</v>
      </c>
      <c r="P420">
        <v>3941.2184321509599</v>
      </c>
      <c r="Q420">
        <v>14644.911716351</v>
      </c>
      <c r="R420">
        <v>2305.01296918342</v>
      </c>
      <c r="S420">
        <v>575.95989323680396</v>
      </c>
      <c r="T420">
        <v>698.83562574604196</v>
      </c>
      <c r="U420">
        <v>128.873620699844</v>
      </c>
      <c r="V420">
        <v>771.48194333162496</v>
      </c>
      <c r="W420">
        <v>111.82152736031</v>
      </c>
      <c r="X420">
        <v>400.12681216311501</v>
      </c>
      <c r="Y420">
        <v>1183.60588623018</v>
      </c>
      <c r="Z420">
        <v>171.189421659826</v>
      </c>
      <c r="AA420">
        <v>1016.20230378492</v>
      </c>
      <c r="AB420">
        <v>1232.8651733889101</v>
      </c>
      <c r="AC420">
        <v>324.451437920758</v>
      </c>
      <c r="AD420">
        <v>1664.21948567351</v>
      </c>
      <c r="AE420">
        <v>313.18639934998203</v>
      </c>
      <c r="AF420">
        <v>302.169994063449</v>
      </c>
      <c r="AG420">
        <v>1052.1028689964301</v>
      </c>
    </row>
    <row r="421" spans="1:33" x14ac:dyDescent="0.25">
      <c r="A421" s="1">
        <v>44472</v>
      </c>
      <c r="B421">
        <v>16495.216007139399</v>
      </c>
      <c r="C421">
        <v>14010.6784262991</v>
      </c>
      <c r="D421">
        <v>14727.260812418101</v>
      </c>
      <c r="E421">
        <v>16721.615087162802</v>
      </c>
      <c r="F421">
        <v>19458.8562272946</v>
      </c>
      <c r="G421">
        <v>19026.134794322501</v>
      </c>
      <c r="H421">
        <v>29749.811963785902</v>
      </c>
      <c r="I421">
        <v>22240.120550060899</v>
      </c>
      <c r="J421">
        <v>3382.94252784849</v>
      </c>
      <c r="K421">
        <v>2990.4204206139598</v>
      </c>
      <c r="L421">
        <v>1956.2535665243099</v>
      </c>
      <c r="M421">
        <v>17170.932095332999</v>
      </c>
      <c r="N421">
        <v>6641.1930302603796</v>
      </c>
      <c r="O421">
        <v>1872.0707512538199</v>
      </c>
      <c r="P421">
        <v>4040.0262999544402</v>
      </c>
      <c r="Q421">
        <v>15115.6921145336</v>
      </c>
      <c r="R421">
        <v>2305.3666747049701</v>
      </c>
      <c r="S421">
        <v>568.33900614047002</v>
      </c>
      <c r="T421">
        <v>799.47230624334304</v>
      </c>
      <c r="U421">
        <v>112.493046411851</v>
      </c>
      <c r="V421">
        <v>888.42461390520702</v>
      </c>
      <c r="W421">
        <v>122.483351097651</v>
      </c>
      <c r="X421">
        <v>468.48285624057797</v>
      </c>
      <c r="Y421">
        <v>1183.9367005675499</v>
      </c>
      <c r="Z421">
        <v>166.561240807395</v>
      </c>
      <c r="AA421">
        <v>1037.7928625663001</v>
      </c>
      <c r="AB421">
        <v>1233.5694625994499</v>
      </c>
      <c r="AC421">
        <v>325.90879308645401</v>
      </c>
      <c r="AD421">
        <v>1675.77738165546</v>
      </c>
      <c r="AE421">
        <v>311.59177373852401</v>
      </c>
      <c r="AF421">
        <v>303.03832972450499</v>
      </c>
      <c r="AG421">
        <v>1065.4792295406501</v>
      </c>
    </row>
    <row r="422" spans="1:33" x14ac:dyDescent="0.25">
      <c r="A422" s="1">
        <v>44473</v>
      </c>
      <c r="B422">
        <v>16625.559637443301</v>
      </c>
      <c r="C422">
        <v>14046.3008174677</v>
      </c>
      <c r="D422">
        <v>14567.0422417315</v>
      </c>
      <c r="E422">
        <v>16892.158351178801</v>
      </c>
      <c r="F422">
        <v>19927.7794548948</v>
      </c>
      <c r="G422">
        <v>19527.692491276099</v>
      </c>
      <c r="H422">
        <v>30118.748228316999</v>
      </c>
      <c r="I422">
        <v>22373.533307334601</v>
      </c>
      <c r="J422">
        <v>3421.0996602576702</v>
      </c>
      <c r="K422">
        <v>3011.26473936723</v>
      </c>
      <c r="L422">
        <v>1971.6138805605599</v>
      </c>
      <c r="M422">
        <v>17645.2020237494</v>
      </c>
      <c r="N422">
        <v>7130.3166445339402</v>
      </c>
      <c r="O422">
        <v>1934.92502938704</v>
      </c>
      <c r="P422">
        <v>4148.29299186351</v>
      </c>
      <c r="Q422">
        <v>15623.5441660163</v>
      </c>
      <c r="R422">
        <v>2323.97045688861</v>
      </c>
      <c r="S422">
        <v>559.35854850929695</v>
      </c>
      <c r="T422">
        <v>895.30614862885898</v>
      </c>
      <c r="U422">
        <v>117.017925481091</v>
      </c>
      <c r="V422">
        <v>927.35360871050398</v>
      </c>
      <c r="W422">
        <v>132.57907546068</v>
      </c>
      <c r="X422">
        <v>470.12496789724702</v>
      </c>
      <c r="Y422">
        <v>1192.65917559748</v>
      </c>
      <c r="Z422">
        <v>164.831197496935</v>
      </c>
      <c r="AA422">
        <v>1052.10422085971</v>
      </c>
      <c r="AB422">
        <v>1249.0870094781101</v>
      </c>
      <c r="AC422">
        <v>334.50273421879501</v>
      </c>
      <c r="AD422">
        <v>1686.85914823708</v>
      </c>
      <c r="AE422">
        <v>272.00487352398898</v>
      </c>
      <c r="AF422">
        <v>304.11674063618398</v>
      </c>
      <c r="AG422">
        <v>1079.4219765614</v>
      </c>
    </row>
    <row r="423" spans="1:33" x14ac:dyDescent="0.25">
      <c r="A423" s="1">
        <v>44474</v>
      </c>
      <c r="B423">
        <v>16682.251275629002</v>
      </c>
      <c r="C423">
        <v>14465.9021726713</v>
      </c>
      <c r="D423">
        <v>14573.517221005801</v>
      </c>
      <c r="E423">
        <v>17102.916788870902</v>
      </c>
      <c r="F423">
        <v>20485.218164878301</v>
      </c>
      <c r="G423">
        <v>20305.5627390503</v>
      </c>
      <c r="H423">
        <v>31150.816398262599</v>
      </c>
      <c r="I423">
        <v>22574.333496816598</v>
      </c>
      <c r="J423">
        <v>3514.3939451547899</v>
      </c>
      <c r="K423">
        <v>3004.6791293360902</v>
      </c>
      <c r="L423">
        <v>2055.2195826837201</v>
      </c>
      <c r="M423">
        <v>18335.561466989398</v>
      </c>
      <c r="N423">
        <v>7796.5709409137398</v>
      </c>
      <c r="O423">
        <v>2191.1381307769602</v>
      </c>
      <c r="P423">
        <v>4361.6934738510899</v>
      </c>
      <c r="Q423">
        <v>16477.173536406099</v>
      </c>
      <c r="R423">
        <v>2503.4351698544401</v>
      </c>
      <c r="S423">
        <v>549.163795590414</v>
      </c>
      <c r="T423">
        <v>1059.00374638982</v>
      </c>
      <c r="U423">
        <v>120.42859797179899</v>
      </c>
      <c r="V423">
        <v>1020.4328257324599</v>
      </c>
      <c r="W423">
        <v>135.660181923609</v>
      </c>
      <c r="X423">
        <v>469.281242108068</v>
      </c>
      <c r="Y423">
        <v>1217.0728686816999</v>
      </c>
      <c r="Z423">
        <v>168.95913879454599</v>
      </c>
      <c r="AA423">
        <v>1057.26193914597</v>
      </c>
      <c r="AB423">
        <v>1273.8735349767601</v>
      </c>
      <c r="AC423">
        <v>344.59115073085599</v>
      </c>
      <c r="AD423">
        <v>1777.7793063998099</v>
      </c>
      <c r="AE423">
        <v>306.41108000435202</v>
      </c>
      <c r="AF423">
        <v>304.86153342412302</v>
      </c>
      <c r="AG423">
        <v>1096.0769244898099</v>
      </c>
    </row>
    <row r="424" spans="1:33" x14ac:dyDescent="0.25">
      <c r="A424" s="1">
        <v>44475</v>
      </c>
      <c r="B424">
        <v>16638.8782002228</v>
      </c>
      <c r="C424">
        <v>15345.497196923799</v>
      </c>
      <c r="D424">
        <v>14518.748992660399</v>
      </c>
      <c r="E424">
        <v>17089.323980635199</v>
      </c>
      <c r="F424">
        <v>20663.544403555501</v>
      </c>
      <c r="G424">
        <v>19998.936729843401</v>
      </c>
      <c r="H424">
        <v>30643.391074717601</v>
      </c>
      <c r="I424">
        <v>22854.9594734776</v>
      </c>
      <c r="J424">
        <v>3569.1754573552898</v>
      </c>
      <c r="K424">
        <v>2988.9251077399999</v>
      </c>
      <c r="L424">
        <v>2062.3703683988101</v>
      </c>
      <c r="M424">
        <v>18249.9322859329</v>
      </c>
      <c r="N424">
        <v>7810.0535389553397</v>
      </c>
      <c r="O424">
        <v>2171.0457428438699</v>
      </c>
      <c r="P424">
        <v>4355.6082792043298</v>
      </c>
      <c r="Q424">
        <v>16192.590921299799</v>
      </c>
      <c r="R424">
        <v>2485.3444490831498</v>
      </c>
      <c r="S424">
        <v>540.50630803685203</v>
      </c>
      <c r="T424">
        <v>992.986973995884</v>
      </c>
      <c r="U424">
        <v>120.411444040763</v>
      </c>
      <c r="V424">
        <v>874.91473011630001</v>
      </c>
      <c r="W424">
        <v>136.15884737915599</v>
      </c>
      <c r="X424">
        <v>366.93633811307598</v>
      </c>
      <c r="Y424">
        <v>1218.03243712264</v>
      </c>
      <c r="Z424">
        <v>163.403147692087</v>
      </c>
      <c r="AA424">
        <v>1081.8257011706401</v>
      </c>
      <c r="AB424">
        <v>1296.9734520775201</v>
      </c>
      <c r="AC424">
        <v>357.90495068838197</v>
      </c>
      <c r="AD424">
        <v>1780.3722037441401</v>
      </c>
      <c r="AE424">
        <v>308.99543256380201</v>
      </c>
      <c r="AF424">
        <v>306.90683144817399</v>
      </c>
      <c r="AG424">
        <v>1107.75849437226</v>
      </c>
    </row>
    <row r="425" spans="1:33" x14ac:dyDescent="0.25">
      <c r="A425" s="1">
        <v>44476</v>
      </c>
      <c r="B425">
        <v>16578.380761264401</v>
      </c>
      <c r="C425">
        <v>14779.4756700324</v>
      </c>
      <c r="D425">
        <v>14708.6696245323</v>
      </c>
      <c r="E425">
        <v>17110.7226159643</v>
      </c>
      <c r="F425">
        <v>20267.2793813967</v>
      </c>
      <c r="G425">
        <v>19984.2883156147</v>
      </c>
      <c r="H425">
        <v>30506.5766494036</v>
      </c>
      <c r="I425">
        <v>23074.159163495198</v>
      </c>
      <c r="J425">
        <v>3626.5180924486799</v>
      </c>
      <c r="K425">
        <v>3020.2131122350602</v>
      </c>
      <c r="L425">
        <v>2049.4998647881598</v>
      </c>
      <c r="M425">
        <v>18266.012338498502</v>
      </c>
      <c r="N425">
        <v>7627.7464300291604</v>
      </c>
      <c r="O425">
        <v>2126.29985101087</v>
      </c>
      <c r="P425">
        <v>4326.2471530111998</v>
      </c>
      <c r="Q425">
        <v>16008.433083439</v>
      </c>
      <c r="R425">
        <v>2444.1988841099001</v>
      </c>
      <c r="S425">
        <v>531.65576857381598</v>
      </c>
      <c r="T425">
        <v>962.03699094631304</v>
      </c>
      <c r="U425">
        <v>120.532424727855</v>
      </c>
      <c r="V425">
        <v>901.90559113345705</v>
      </c>
      <c r="W425">
        <v>131.343306673032</v>
      </c>
      <c r="X425">
        <v>416.79836445697902</v>
      </c>
      <c r="Y425">
        <v>1205.6433685116101</v>
      </c>
      <c r="Z425">
        <v>160.65240900043401</v>
      </c>
      <c r="AA425">
        <v>1095.5430924022701</v>
      </c>
      <c r="AB425">
        <v>1311.09697260454</v>
      </c>
      <c r="AC425">
        <v>367.85957127550199</v>
      </c>
      <c r="AD425">
        <v>1778.7766531524901</v>
      </c>
      <c r="AE425">
        <v>315.18555162625597</v>
      </c>
      <c r="AF425">
        <v>309.41919074092698</v>
      </c>
      <c r="AG425">
        <v>1117.3032254764501</v>
      </c>
    </row>
    <row r="426" spans="1:33" x14ac:dyDescent="0.25">
      <c r="A426" s="1">
        <v>44477</v>
      </c>
      <c r="B426">
        <v>16714.898393675099</v>
      </c>
      <c r="C426">
        <v>14731.6709256996</v>
      </c>
      <c r="D426">
        <v>14914.7394849704</v>
      </c>
      <c r="E426">
        <v>17214.481193423901</v>
      </c>
      <c r="F426">
        <v>20423.319129098501</v>
      </c>
      <c r="G426">
        <v>20136.845365262099</v>
      </c>
      <c r="H426">
        <v>31050.702657038601</v>
      </c>
      <c r="I426">
        <v>23264.5003680552</v>
      </c>
      <c r="J426">
        <v>3694.4112708935299</v>
      </c>
      <c r="K426">
        <v>3032.5511333221698</v>
      </c>
      <c r="L426">
        <v>2094.44547071128</v>
      </c>
      <c r="M426">
        <v>18467.911812805902</v>
      </c>
      <c r="N426">
        <v>7800.0222135440899</v>
      </c>
      <c r="O426">
        <v>2160.8950379088901</v>
      </c>
      <c r="P426">
        <v>4380.30658085919</v>
      </c>
      <c r="Q426">
        <v>16249.947372131801</v>
      </c>
      <c r="R426">
        <v>2488.35263627934</v>
      </c>
      <c r="S426">
        <v>524.145159418199</v>
      </c>
      <c r="T426">
        <v>1037.2695979939399</v>
      </c>
      <c r="U426">
        <v>125.20937335034201</v>
      </c>
      <c r="V426">
        <v>1015.78445458211</v>
      </c>
      <c r="W426">
        <v>129.18743279071199</v>
      </c>
      <c r="X426">
        <v>512.47026508296801</v>
      </c>
      <c r="Y426">
        <v>1243.79469171182</v>
      </c>
      <c r="Z426">
        <v>154.33505115928301</v>
      </c>
      <c r="AA426">
        <v>1111.6655071778</v>
      </c>
      <c r="AB426">
        <v>1339.3734609625601</v>
      </c>
      <c r="AC426">
        <v>368.15059958606702</v>
      </c>
      <c r="AD426">
        <v>1817.0991133544701</v>
      </c>
      <c r="AE426">
        <v>237.138083647223</v>
      </c>
      <c r="AF426">
        <v>312.064203263563</v>
      </c>
      <c r="AG426">
        <v>1132.05421126431</v>
      </c>
    </row>
    <row r="427" spans="1:33" x14ac:dyDescent="0.25">
      <c r="A427" s="1">
        <v>44478</v>
      </c>
      <c r="B427">
        <v>16812.292702341801</v>
      </c>
      <c r="C427">
        <v>14764.5565278921</v>
      </c>
      <c r="D427">
        <v>15041.3356649053</v>
      </c>
      <c r="E427">
        <v>17115.478932816401</v>
      </c>
      <c r="F427">
        <v>20167.9447848216</v>
      </c>
      <c r="G427">
        <v>19429.198681937502</v>
      </c>
      <c r="H427">
        <v>29935.2604197615</v>
      </c>
      <c r="I427">
        <v>23345.704957999998</v>
      </c>
      <c r="J427">
        <v>3672.77004688737</v>
      </c>
      <c r="K427">
        <v>3036.9180184789502</v>
      </c>
      <c r="L427">
        <v>2022.2963669102601</v>
      </c>
      <c r="M427">
        <v>17647.418689419501</v>
      </c>
      <c r="N427">
        <v>7057.5480584444904</v>
      </c>
      <c r="O427">
        <v>1902.8391796344299</v>
      </c>
      <c r="P427">
        <v>4205.8852232541904</v>
      </c>
      <c r="Q427">
        <v>15579.474219182601</v>
      </c>
      <c r="R427">
        <v>2333.0147736446802</v>
      </c>
      <c r="S427">
        <v>524.46905035146699</v>
      </c>
      <c r="T427">
        <v>936.37556287370103</v>
      </c>
      <c r="U427">
        <v>128.36056258171499</v>
      </c>
      <c r="V427">
        <v>956.65373641409496</v>
      </c>
      <c r="W427">
        <v>116.73370879981201</v>
      </c>
      <c r="X427">
        <v>495.98001933657599</v>
      </c>
      <c r="Y427">
        <v>1218.0107666922599</v>
      </c>
      <c r="Z427">
        <v>149.50506635477399</v>
      </c>
      <c r="AA427">
        <v>1132.34232092701</v>
      </c>
      <c r="AB427">
        <v>1364.7465761363201</v>
      </c>
      <c r="AC427">
        <v>363.72081811336398</v>
      </c>
      <c r="AD427">
        <v>1740.0821450189601</v>
      </c>
      <c r="AE427">
        <v>264.55050443010998</v>
      </c>
      <c r="AF427">
        <v>315.08503985050498</v>
      </c>
      <c r="AG427">
        <v>1144.2425543238601</v>
      </c>
    </row>
    <row r="428" spans="1:33" x14ac:dyDescent="0.25">
      <c r="A428" s="1">
        <v>44479</v>
      </c>
      <c r="B428">
        <v>16779.487617819901</v>
      </c>
      <c r="C428">
        <v>14304.9202061546</v>
      </c>
      <c r="D428">
        <v>15154.739073258001</v>
      </c>
      <c r="E428">
        <v>17245.819722196899</v>
      </c>
      <c r="F428">
        <v>19665.7598588935</v>
      </c>
      <c r="G428">
        <v>19248.313609212699</v>
      </c>
      <c r="H428">
        <v>30131.4836340314</v>
      </c>
      <c r="I428">
        <v>23209.549456748398</v>
      </c>
      <c r="J428">
        <v>3634.51728743073</v>
      </c>
      <c r="K428">
        <v>3083.0360165515999</v>
      </c>
      <c r="L428">
        <v>1968.0495823071601</v>
      </c>
      <c r="M428">
        <v>17429.873113256599</v>
      </c>
      <c r="N428">
        <v>7046.5351752307097</v>
      </c>
      <c r="O428">
        <v>1793.0508334491101</v>
      </c>
      <c r="P428">
        <v>4121.2485949858901</v>
      </c>
      <c r="Q428">
        <v>15399.503226638701</v>
      </c>
      <c r="R428">
        <v>2242.9536931519601</v>
      </c>
      <c r="S428">
        <v>523.41313425136104</v>
      </c>
      <c r="T428">
        <v>1027.4046208259099</v>
      </c>
      <c r="U428">
        <v>117.716557107284</v>
      </c>
      <c r="V428">
        <v>1104.58743763653</v>
      </c>
      <c r="W428">
        <v>127.59867456480301</v>
      </c>
      <c r="X428">
        <v>605.14342675066405</v>
      </c>
      <c r="Y428">
        <v>1219.18104424849</v>
      </c>
      <c r="Z428">
        <v>149.467747351269</v>
      </c>
      <c r="AA428">
        <v>1129.52830365611</v>
      </c>
      <c r="AB428">
        <v>1371.9651766464401</v>
      </c>
      <c r="AC428">
        <v>355.54383582949799</v>
      </c>
      <c r="AD428">
        <v>1706.67276694712</v>
      </c>
      <c r="AE428">
        <v>261.14263219149802</v>
      </c>
      <c r="AF428">
        <v>318.25769605555598</v>
      </c>
      <c r="AG428">
        <v>1158.8635272414001</v>
      </c>
    </row>
    <row r="429" spans="1:33" x14ac:dyDescent="0.25">
      <c r="A429" s="1">
        <v>44480</v>
      </c>
      <c r="B429">
        <v>16824.497357671698</v>
      </c>
      <c r="C429">
        <v>14699.674481841001</v>
      </c>
      <c r="D429">
        <v>15048.633903407999</v>
      </c>
      <c r="E429">
        <v>17030.921952663899</v>
      </c>
      <c r="F429">
        <v>19538.9007286956</v>
      </c>
      <c r="G429">
        <v>18222.632551930001</v>
      </c>
      <c r="H429">
        <v>29640.037673573901</v>
      </c>
      <c r="I429">
        <v>23112.778427681598</v>
      </c>
      <c r="J429">
        <v>3612.4911542742698</v>
      </c>
      <c r="K429">
        <v>3095.6830529061699</v>
      </c>
      <c r="L429">
        <v>1828.7332966814299</v>
      </c>
      <c r="M429">
        <v>15941.330834226699</v>
      </c>
      <c r="N429">
        <v>5474.9662816233904</v>
      </c>
      <c r="O429">
        <v>1915.0181448744499</v>
      </c>
      <c r="P429">
        <v>3845.89071433254</v>
      </c>
      <c r="Q429">
        <v>14122.737144607199</v>
      </c>
      <c r="R429">
        <v>2242.5978473393302</v>
      </c>
      <c r="S429">
        <v>520.91667367057903</v>
      </c>
      <c r="T429">
        <v>783.67890250512596</v>
      </c>
      <c r="U429">
        <v>126.69002463283501</v>
      </c>
      <c r="V429">
        <v>522.88415495197705</v>
      </c>
      <c r="W429">
        <v>126.152091253409</v>
      </c>
      <c r="X429">
        <v>208.495887076293</v>
      </c>
      <c r="Y429">
        <v>1263.76348302106</v>
      </c>
      <c r="Z429">
        <v>154.609646929419</v>
      </c>
      <c r="AA429">
        <v>1125.4756669265601</v>
      </c>
      <c r="AB429">
        <v>1371.18147811055</v>
      </c>
      <c r="AC429">
        <v>354.38320513702598</v>
      </c>
      <c r="AD429">
        <v>1588.15537950569</v>
      </c>
      <c r="AE429">
        <v>353.48666162779199</v>
      </c>
      <c r="AF429">
        <v>320.58528925622102</v>
      </c>
      <c r="AG429">
        <v>1182.21798634988</v>
      </c>
    </row>
    <row r="430" spans="1:33" x14ac:dyDescent="0.25">
      <c r="A430" s="1">
        <v>44481</v>
      </c>
      <c r="B430">
        <v>16864.080799883101</v>
      </c>
      <c r="C430">
        <v>14740.9184828569</v>
      </c>
      <c r="D430">
        <v>15148.5620383061</v>
      </c>
      <c r="E430">
        <v>17532.252561485901</v>
      </c>
      <c r="F430">
        <v>18786.416631495202</v>
      </c>
      <c r="G430">
        <v>17318.560891848501</v>
      </c>
      <c r="H430">
        <v>29285.991270040999</v>
      </c>
      <c r="I430">
        <v>21969.49835147</v>
      </c>
      <c r="J430">
        <v>3458.2057683017401</v>
      </c>
      <c r="K430">
        <v>3074.45191145738</v>
      </c>
      <c r="L430">
        <v>1765.0972208045</v>
      </c>
      <c r="M430">
        <v>15214.8362395888</v>
      </c>
      <c r="N430">
        <v>5323.6610569034501</v>
      </c>
      <c r="O430">
        <v>1897.2212231918199</v>
      </c>
      <c r="P430">
        <v>3781.4530578205499</v>
      </c>
      <c r="Q430">
        <v>13461.771858365801</v>
      </c>
      <c r="R430">
        <v>2205.8739447072999</v>
      </c>
      <c r="S430">
        <v>524.87044851393603</v>
      </c>
      <c r="T430">
        <v>839.33251291315696</v>
      </c>
      <c r="U430">
        <v>127.81324102444501</v>
      </c>
      <c r="V430">
        <v>594.735354347358</v>
      </c>
      <c r="W430">
        <v>124.988843415917</v>
      </c>
      <c r="X430">
        <v>289.77654619039998</v>
      </c>
      <c r="Y430">
        <v>1203.8131961633701</v>
      </c>
      <c r="Z430">
        <v>175.225981803726</v>
      </c>
      <c r="AA430">
        <v>1125.03466581474</v>
      </c>
      <c r="AB430">
        <v>1375.44925880445</v>
      </c>
      <c r="AC430">
        <v>357.10815019151897</v>
      </c>
      <c r="AD430">
        <v>1585.93129096639</v>
      </c>
      <c r="AE430">
        <v>353.83422973744501</v>
      </c>
      <c r="AF430">
        <v>325.61402742924901</v>
      </c>
      <c r="AG430">
        <v>1203.72336986903</v>
      </c>
    </row>
    <row r="431" spans="1:33" x14ac:dyDescent="0.25">
      <c r="A431" s="1">
        <v>44482</v>
      </c>
      <c r="B431">
        <v>17154.673482475398</v>
      </c>
      <c r="C431">
        <v>13609.945230564101</v>
      </c>
      <c r="D431">
        <v>15124.790717429099</v>
      </c>
      <c r="E431">
        <v>17789.562446214899</v>
      </c>
      <c r="F431">
        <v>18591.989085399699</v>
      </c>
      <c r="G431">
        <v>18203.211467198598</v>
      </c>
      <c r="H431">
        <v>30546.782706350299</v>
      </c>
      <c r="I431">
        <v>21753.160434202699</v>
      </c>
      <c r="J431">
        <v>3428.9447053726799</v>
      </c>
      <c r="K431">
        <v>3089.2296900586998</v>
      </c>
      <c r="L431">
        <v>1858.3920323760001</v>
      </c>
      <c r="M431">
        <v>16564.786858498999</v>
      </c>
      <c r="N431">
        <v>6679.8253464824702</v>
      </c>
      <c r="O431">
        <v>1963.78743566056</v>
      </c>
      <c r="P431">
        <v>3833.80806899663</v>
      </c>
      <c r="Q431">
        <v>14387.247910669401</v>
      </c>
      <c r="R431">
        <v>2293.5748105544899</v>
      </c>
      <c r="S431">
        <v>524.62345608840701</v>
      </c>
      <c r="T431">
        <v>909.06704540181101</v>
      </c>
      <c r="U431">
        <v>128.61435631357099</v>
      </c>
      <c r="V431">
        <v>843.79396287750103</v>
      </c>
      <c r="W431">
        <v>122.33963493282501</v>
      </c>
      <c r="X431">
        <v>317.172330744916</v>
      </c>
      <c r="Y431">
        <v>1251.0108383362999</v>
      </c>
      <c r="Z431">
        <v>184.724351024024</v>
      </c>
      <c r="AA431">
        <v>1116.3094554962599</v>
      </c>
      <c r="AB431">
        <v>1397.0908558149299</v>
      </c>
      <c r="AC431">
        <v>353.11240810467302</v>
      </c>
      <c r="AD431">
        <v>1650.1211735449101</v>
      </c>
      <c r="AE431">
        <v>362.38274081628401</v>
      </c>
      <c r="AF431">
        <v>330.280928410375</v>
      </c>
      <c r="AG431">
        <v>1232.31610808611</v>
      </c>
    </row>
    <row r="432" spans="1:33" x14ac:dyDescent="0.25">
      <c r="A432" s="1">
        <v>44483</v>
      </c>
      <c r="B432">
        <v>17405.272215661302</v>
      </c>
      <c r="C432">
        <v>14062.1677365791</v>
      </c>
      <c r="D432">
        <v>14993.593903203</v>
      </c>
      <c r="E432">
        <v>17540.519586251299</v>
      </c>
      <c r="F432">
        <v>18720.433083986802</v>
      </c>
      <c r="G432">
        <v>18153.845739878099</v>
      </c>
      <c r="H432">
        <v>29564.075108699701</v>
      </c>
      <c r="I432">
        <v>21733.600363964</v>
      </c>
      <c r="J432">
        <v>3398.6153723317002</v>
      </c>
      <c r="K432">
        <v>3065.20631259022</v>
      </c>
      <c r="L432">
        <v>1880.2987057818</v>
      </c>
      <c r="M432">
        <v>16221.2008420252</v>
      </c>
      <c r="N432">
        <v>6011.7066646892499</v>
      </c>
      <c r="O432">
        <v>1906.1423774273701</v>
      </c>
      <c r="P432">
        <v>3753.0536506020899</v>
      </c>
      <c r="Q432">
        <v>14011.986343618501</v>
      </c>
      <c r="R432">
        <v>2238.3606347038099</v>
      </c>
      <c r="S432">
        <v>523.51005144064698</v>
      </c>
      <c r="T432">
        <v>775.61455839946404</v>
      </c>
      <c r="U432">
        <v>128.50995048978601</v>
      </c>
      <c r="V432">
        <v>585.388480089165</v>
      </c>
      <c r="W432">
        <v>123.420657499684</v>
      </c>
      <c r="X432">
        <v>218.46928214950299</v>
      </c>
      <c r="Y432">
        <v>1279.99092824128</v>
      </c>
      <c r="Z432">
        <v>172.19444596846799</v>
      </c>
      <c r="AA432">
        <v>1132.93790505678</v>
      </c>
      <c r="AB432">
        <v>1439.1795227505299</v>
      </c>
      <c r="AC432">
        <v>351.31894037313498</v>
      </c>
      <c r="AD432">
        <v>1640.6102099219399</v>
      </c>
      <c r="AE432">
        <v>362.64177387321803</v>
      </c>
      <c r="AF432">
        <v>333.79723711158999</v>
      </c>
      <c r="AG432">
        <v>1255.8109892442701</v>
      </c>
    </row>
    <row r="433" spans="1:33" x14ac:dyDescent="0.25">
      <c r="A433" s="1">
        <v>44484</v>
      </c>
      <c r="B433">
        <v>17354.900214994799</v>
      </c>
      <c r="C433">
        <v>13705.3191119155</v>
      </c>
      <c r="D433">
        <v>14730.8746487107</v>
      </c>
      <c r="E433">
        <v>17361.111786627302</v>
      </c>
      <c r="F433">
        <v>18707.1208779564</v>
      </c>
      <c r="G433">
        <v>18025.483214551601</v>
      </c>
      <c r="H433">
        <v>29134.401457120101</v>
      </c>
      <c r="I433">
        <v>21734.758834268301</v>
      </c>
      <c r="J433">
        <v>3370.2958106491501</v>
      </c>
      <c r="K433">
        <v>3069.04814865148</v>
      </c>
      <c r="L433">
        <v>1894.34829241941</v>
      </c>
      <c r="M433">
        <v>16078.383331454899</v>
      </c>
      <c r="N433">
        <v>5739.5071742418204</v>
      </c>
      <c r="O433">
        <v>1850.06511384332</v>
      </c>
      <c r="P433">
        <v>3714.9596547557198</v>
      </c>
      <c r="Q433">
        <v>13807.4478418982</v>
      </c>
      <c r="R433">
        <v>2206.3878464450299</v>
      </c>
      <c r="S433">
        <v>522.00207191792094</v>
      </c>
      <c r="T433">
        <v>706.25134418527796</v>
      </c>
      <c r="U433">
        <v>125.801234228089</v>
      </c>
      <c r="V433">
        <v>658.19667556900504</v>
      </c>
      <c r="W433">
        <v>123.713341347992</v>
      </c>
      <c r="X433">
        <v>289.71381938193798</v>
      </c>
      <c r="Y433">
        <v>1293.8431758579</v>
      </c>
      <c r="Z433">
        <v>157.59233837763</v>
      </c>
      <c r="AA433">
        <v>1141.3651361810701</v>
      </c>
      <c r="AB433">
        <v>1448.5920675125401</v>
      </c>
      <c r="AC433">
        <v>359.67642451260201</v>
      </c>
      <c r="AD433">
        <v>1650.26736189094</v>
      </c>
      <c r="AE433">
        <v>349.389585885099</v>
      </c>
      <c r="AF433">
        <v>337.845074040236</v>
      </c>
      <c r="AG433">
        <v>1256.5218394553001</v>
      </c>
    </row>
    <row r="434" spans="1:33" x14ac:dyDescent="0.25">
      <c r="A434" s="1">
        <v>44485</v>
      </c>
      <c r="B434">
        <v>17218.8259153492</v>
      </c>
      <c r="C434">
        <v>13144.742499379199</v>
      </c>
      <c r="D434">
        <v>14610.552613879199</v>
      </c>
      <c r="E434">
        <v>17324.414084042</v>
      </c>
      <c r="F434">
        <v>19023.8509935652</v>
      </c>
      <c r="G434">
        <v>18571.657664749298</v>
      </c>
      <c r="H434">
        <v>29602.820101299199</v>
      </c>
      <c r="I434">
        <v>21812.169437132601</v>
      </c>
      <c r="J434">
        <v>3370.3363804906699</v>
      </c>
      <c r="K434">
        <v>3075.45162419077</v>
      </c>
      <c r="L434">
        <v>1906.64207892734</v>
      </c>
      <c r="M434">
        <v>16630.330846517001</v>
      </c>
      <c r="N434">
        <v>6156.4049503948099</v>
      </c>
      <c r="O434">
        <v>1788.5384589308301</v>
      </c>
      <c r="P434">
        <v>3769.2791609313099</v>
      </c>
      <c r="Q434">
        <v>14437.9580086844</v>
      </c>
      <c r="R434">
        <v>2188.6868724788501</v>
      </c>
      <c r="S434">
        <v>518.539824038809</v>
      </c>
      <c r="T434">
        <v>769.799277728378</v>
      </c>
      <c r="U434">
        <v>123.620562146984</v>
      </c>
      <c r="V434">
        <v>848.40395680397603</v>
      </c>
      <c r="W434">
        <v>120.54850976632601</v>
      </c>
      <c r="X434">
        <v>448.65590149976998</v>
      </c>
      <c r="Y434">
        <v>1342.3872703499001</v>
      </c>
      <c r="Z434">
        <v>140.194094815239</v>
      </c>
      <c r="AA434">
        <v>1141.01999852011</v>
      </c>
      <c r="AB434">
        <v>1467.90268236363</v>
      </c>
      <c r="AC434">
        <v>364.60623625862502</v>
      </c>
      <c r="AD434">
        <v>1654.6026095976899</v>
      </c>
      <c r="AE434">
        <v>346.65089916474699</v>
      </c>
      <c r="AF434">
        <v>339.77239947288803</v>
      </c>
      <c r="AG434">
        <v>1252.3845659336801</v>
      </c>
    </row>
    <row r="435" spans="1:33" x14ac:dyDescent="0.25">
      <c r="A435" s="1">
        <v>44486</v>
      </c>
      <c r="B435">
        <v>17175.4073400663</v>
      </c>
      <c r="C435">
        <v>13574.763046058401</v>
      </c>
      <c r="D435">
        <v>14573.262187873601</v>
      </c>
      <c r="E435">
        <v>17523.9065194328</v>
      </c>
      <c r="F435">
        <v>20029.255596236198</v>
      </c>
      <c r="G435">
        <v>20223.458981014799</v>
      </c>
      <c r="H435">
        <v>31997.536721168399</v>
      </c>
      <c r="I435">
        <v>21968.930837074699</v>
      </c>
      <c r="J435">
        <v>3448.0199895483001</v>
      </c>
      <c r="K435">
        <v>3029.0675865277799</v>
      </c>
      <c r="L435">
        <v>2014.9745974115799</v>
      </c>
      <c r="M435">
        <v>18357.994362729201</v>
      </c>
      <c r="N435">
        <v>7719.3401048041296</v>
      </c>
      <c r="O435">
        <v>2064.1345116997099</v>
      </c>
      <c r="P435">
        <v>4103.2188704275004</v>
      </c>
      <c r="Q435">
        <v>16358.2727185481</v>
      </c>
      <c r="R435">
        <v>2386.0294935644301</v>
      </c>
      <c r="S435">
        <v>512.56152188936301</v>
      </c>
      <c r="T435">
        <v>1099.4814080961</v>
      </c>
      <c r="U435">
        <v>121.256565206891</v>
      </c>
      <c r="V435">
        <v>1255.5991476891099</v>
      </c>
      <c r="W435">
        <v>123.209138269018</v>
      </c>
      <c r="X435">
        <v>728.10970327382097</v>
      </c>
      <c r="Y435">
        <v>1413.7181484601599</v>
      </c>
      <c r="Z435">
        <v>141.132072211447</v>
      </c>
      <c r="AA435">
        <v>1130.1975198278201</v>
      </c>
      <c r="AB435">
        <v>1477.6503279308799</v>
      </c>
      <c r="AC435">
        <v>365.502481800125</v>
      </c>
      <c r="AD435">
        <v>1753.72499912171</v>
      </c>
      <c r="AE435">
        <v>340.26310632686801</v>
      </c>
      <c r="AF435">
        <v>339.57653292952699</v>
      </c>
      <c r="AG435">
        <v>1248.2163701291099</v>
      </c>
    </row>
    <row r="436" spans="1:33" x14ac:dyDescent="0.25">
      <c r="A436" s="1">
        <v>44487</v>
      </c>
      <c r="B436">
        <v>17204.7085599938</v>
      </c>
      <c r="C436">
        <v>15437.0703264206</v>
      </c>
      <c r="D436">
        <v>14137.1650880775</v>
      </c>
      <c r="E436">
        <v>17351.092792144402</v>
      </c>
      <c r="F436">
        <v>20692.8316676307</v>
      </c>
      <c r="G436">
        <v>19730.7699506516</v>
      </c>
      <c r="H436">
        <v>31279.144616267102</v>
      </c>
      <c r="I436">
        <v>22240.610973549199</v>
      </c>
      <c r="J436">
        <v>3496.3205330927799</v>
      </c>
      <c r="K436">
        <v>2957.6292116251402</v>
      </c>
      <c r="L436">
        <v>2007.91456895755</v>
      </c>
      <c r="M436">
        <v>17894.738370051</v>
      </c>
      <c r="N436">
        <v>7802.4787143512103</v>
      </c>
      <c r="O436">
        <v>1966.4359659367999</v>
      </c>
      <c r="P436">
        <v>4091.89065318029</v>
      </c>
      <c r="Q436">
        <v>15935.0675050513</v>
      </c>
      <c r="R436">
        <v>2345.0579211034801</v>
      </c>
      <c r="S436">
        <v>509.44693902803499</v>
      </c>
      <c r="T436">
        <v>1134.91065945728</v>
      </c>
      <c r="U436">
        <v>122.253509903855</v>
      </c>
      <c r="V436">
        <v>1023.4492880205599</v>
      </c>
      <c r="W436">
        <v>122.081387805525</v>
      </c>
      <c r="X436">
        <v>500.84539391729197</v>
      </c>
      <c r="Y436">
        <v>1333.94090334674</v>
      </c>
      <c r="Z436">
        <v>143.26075661698201</v>
      </c>
      <c r="AA436">
        <v>1171.38575334144</v>
      </c>
      <c r="AB436">
        <v>1466.78550569002</v>
      </c>
      <c r="AC436">
        <v>366.57228843531902</v>
      </c>
      <c r="AD436">
        <v>1712.3837139396701</v>
      </c>
      <c r="AE436">
        <v>237.60668033684999</v>
      </c>
      <c r="AF436">
        <v>340.870996177942</v>
      </c>
      <c r="AG436">
        <v>1244.9216562210499</v>
      </c>
    </row>
    <row r="437" spans="1:33" x14ac:dyDescent="0.25">
      <c r="A437" s="1">
        <v>44488</v>
      </c>
      <c r="B437">
        <v>16859.3000556765</v>
      </c>
      <c r="C437">
        <v>14773.240794780801</v>
      </c>
      <c r="D437">
        <v>14087.258326417201</v>
      </c>
      <c r="E437">
        <v>17022.4963965313</v>
      </c>
      <c r="F437">
        <v>20044.3786969051</v>
      </c>
      <c r="G437">
        <v>19220.950135168099</v>
      </c>
      <c r="H437">
        <v>30139.288643519099</v>
      </c>
      <c r="I437">
        <v>22689.477898427202</v>
      </c>
      <c r="J437">
        <v>3489.4062364445699</v>
      </c>
      <c r="K437">
        <v>2985.95698754359</v>
      </c>
      <c r="L437">
        <v>1886.34381854454</v>
      </c>
      <c r="M437">
        <v>17320.6182353779</v>
      </c>
      <c r="N437">
        <v>6871.7979214044499</v>
      </c>
      <c r="O437">
        <v>1820.2563139476399</v>
      </c>
      <c r="P437">
        <v>3907.03575350766</v>
      </c>
      <c r="Q437">
        <v>15124.1691927232</v>
      </c>
      <c r="R437">
        <v>2166.57078554484</v>
      </c>
      <c r="S437">
        <v>507.24603218608399</v>
      </c>
      <c r="T437">
        <v>883.00374237311098</v>
      </c>
      <c r="U437">
        <v>123.269981870273</v>
      </c>
      <c r="V437">
        <v>725.31125461919396</v>
      </c>
      <c r="W437">
        <v>123.511572150964</v>
      </c>
      <c r="X437">
        <v>296.411336419912</v>
      </c>
      <c r="Y437">
        <v>1158.69374069689</v>
      </c>
      <c r="Z437">
        <v>144.86261254523899</v>
      </c>
      <c r="AA437">
        <v>1185.10086191041</v>
      </c>
      <c r="AB437">
        <v>1405.85587659352</v>
      </c>
      <c r="AC437">
        <v>363.68187465962802</v>
      </c>
      <c r="AD437">
        <v>1628.0411836589999</v>
      </c>
      <c r="AE437">
        <v>186.180877123486</v>
      </c>
      <c r="AF437">
        <v>344.63331068313499</v>
      </c>
      <c r="AG437">
        <v>1242.2376174650101</v>
      </c>
    </row>
    <row r="438" spans="1:33" x14ac:dyDescent="0.25">
      <c r="A438" s="1">
        <v>44489</v>
      </c>
      <c r="B438">
        <v>16661.214749905401</v>
      </c>
      <c r="C438">
        <v>14020.144208142399</v>
      </c>
      <c r="D438">
        <v>14356.8416164427</v>
      </c>
      <c r="E438">
        <v>16944.968626515099</v>
      </c>
      <c r="F438">
        <v>20283.103095121802</v>
      </c>
      <c r="G438">
        <v>19889.112352024698</v>
      </c>
      <c r="H438">
        <v>30448.6269013042</v>
      </c>
      <c r="I438">
        <v>22834.8932123587</v>
      </c>
      <c r="J438">
        <v>3529.7806375703199</v>
      </c>
      <c r="K438">
        <v>2999.4919998118698</v>
      </c>
      <c r="L438">
        <v>1914.1741642966699</v>
      </c>
      <c r="M438">
        <v>17908.859447610001</v>
      </c>
      <c r="N438">
        <v>7359.4935044310396</v>
      </c>
      <c r="O438">
        <v>1922.8156671894301</v>
      </c>
      <c r="P438">
        <v>4038.28252257844</v>
      </c>
      <c r="Q438">
        <v>15887.582623807701</v>
      </c>
      <c r="R438">
        <v>2234.0988150512699</v>
      </c>
      <c r="S438">
        <v>501.21486630112702</v>
      </c>
      <c r="T438">
        <v>914.84139271742197</v>
      </c>
      <c r="U438">
        <v>123.08011859899401</v>
      </c>
      <c r="V438">
        <v>833.86176152114797</v>
      </c>
      <c r="W438">
        <v>123.58396080276</v>
      </c>
      <c r="X438">
        <v>355.22350169025799</v>
      </c>
      <c r="Y438">
        <v>1140.33340255243</v>
      </c>
      <c r="Z438">
        <v>146.83411007418499</v>
      </c>
      <c r="AA438">
        <v>1165.4910948004799</v>
      </c>
      <c r="AB438">
        <v>1395.06872901661</v>
      </c>
      <c r="AC438">
        <v>353.17483089996603</v>
      </c>
      <c r="AD438">
        <v>1648.1126310203899</v>
      </c>
      <c r="AE438">
        <v>233.549321726187</v>
      </c>
      <c r="AF438">
        <v>346.25156395064801</v>
      </c>
      <c r="AG438">
        <v>1245.51941706548</v>
      </c>
    </row>
    <row r="439" spans="1:33" x14ac:dyDescent="0.25">
      <c r="A439" s="1">
        <v>44490</v>
      </c>
      <c r="B439">
        <v>16471.398748572301</v>
      </c>
      <c r="C439">
        <v>14238.2431947312</v>
      </c>
      <c r="D439">
        <v>14469.984567080999</v>
      </c>
      <c r="E439">
        <v>16688.965100300698</v>
      </c>
      <c r="F439">
        <v>20090.613840212402</v>
      </c>
      <c r="G439">
        <v>19576.5825848432</v>
      </c>
      <c r="H439">
        <v>30119.101810276799</v>
      </c>
      <c r="I439">
        <v>22865.252175756701</v>
      </c>
      <c r="J439">
        <v>3506.0055637527998</v>
      </c>
      <c r="K439">
        <v>3010.3847590667701</v>
      </c>
      <c r="L439">
        <v>1874.00376467712</v>
      </c>
      <c r="M439">
        <v>17669.029351174901</v>
      </c>
      <c r="N439">
        <v>6908.0987041463804</v>
      </c>
      <c r="O439">
        <v>1861.18074575638</v>
      </c>
      <c r="P439">
        <v>3951.1745770175598</v>
      </c>
      <c r="Q439">
        <v>15548.8186835985</v>
      </c>
      <c r="R439">
        <v>2170.4288496478098</v>
      </c>
      <c r="S439">
        <v>499.31292706494997</v>
      </c>
      <c r="T439">
        <v>854.31764557273505</v>
      </c>
      <c r="U439">
        <v>123.584636529569</v>
      </c>
      <c r="V439">
        <v>727.70304423902496</v>
      </c>
      <c r="W439">
        <v>123.962015891504</v>
      </c>
      <c r="X439">
        <v>308.14743063245601</v>
      </c>
      <c r="Y439">
        <v>1060.46556153285</v>
      </c>
      <c r="Z439">
        <v>150.849952614584</v>
      </c>
      <c r="AA439">
        <v>1167.98820651504</v>
      </c>
      <c r="AB439">
        <v>1341.76536294056</v>
      </c>
      <c r="AC439">
        <v>316.86055932670899</v>
      </c>
      <c r="AD439">
        <v>1622.6131769654801</v>
      </c>
      <c r="AE439">
        <v>212.72989996075299</v>
      </c>
      <c r="AF439">
        <v>348.76882969805001</v>
      </c>
      <c r="AG439">
        <v>1251.1316252742299</v>
      </c>
    </row>
    <row r="440" spans="1:33" x14ac:dyDescent="0.25">
      <c r="A440" s="1">
        <v>44491</v>
      </c>
      <c r="B440">
        <v>16320.147677667001</v>
      </c>
      <c r="C440">
        <v>14116.757154299199</v>
      </c>
      <c r="D440">
        <v>14523.782962139299</v>
      </c>
      <c r="E440">
        <v>16688.885205378399</v>
      </c>
      <c r="F440">
        <v>20249.559757312702</v>
      </c>
      <c r="G440">
        <v>19827.142405158102</v>
      </c>
      <c r="H440">
        <v>30784.446327102101</v>
      </c>
      <c r="I440">
        <v>22908.814463519</v>
      </c>
      <c r="J440">
        <v>3510.0438310524301</v>
      </c>
      <c r="K440">
        <v>3008.8409604388498</v>
      </c>
      <c r="L440">
        <v>1899.2079311770301</v>
      </c>
      <c r="M440">
        <v>18012.921540607502</v>
      </c>
      <c r="N440">
        <v>7276.7648172671597</v>
      </c>
      <c r="O440">
        <v>1897.6480294548501</v>
      </c>
      <c r="P440">
        <v>3986.8574363031198</v>
      </c>
      <c r="Q440">
        <v>15855.283850124901</v>
      </c>
      <c r="R440">
        <v>2223.9411041122798</v>
      </c>
      <c r="S440">
        <v>497.99741252290499</v>
      </c>
      <c r="T440">
        <v>900.31188449835997</v>
      </c>
      <c r="U440">
        <v>123.886728576319</v>
      </c>
      <c r="V440">
        <v>808.69619185455304</v>
      </c>
      <c r="W440">
        <v>124.012965955803</v>
      </c>
      <c r="X440">
        <v>361.94548797680397</v>
      </c>
      <c r="Y440">
        <v>1043.4530739639799</v>
      </c>
      <c r="Z440">
        <v>146.64521036638399</v>
      </c>
      <c r="AA440">
        <v>1155.6001779099699</v>
      </c>
      <c r="AB440">
        <v>1330.04828327018</v>
      </c>
      <c r="AC440">
        <v>309.48707212299598</v>
      </c>
      <c r="AD440">
        <v>1642.63792825732</v>
      </c>
      <c r="AE440">
        <v>163.08236223653299</v>
      </c>
      <c r="AF440">
        <v>351.21078340190502</v>
      </c>
      <c r="AG440">
        <v>1256.9385050063299</v>
      </c>
    </row>
    <row r="441" spans="1:33" x14ac:dyDescent="0.25">
      <c r="A441" s="1">
        <v>44492</v>
      </c>
      <c r="B441">
        <v>16322.545102481001</v>
      </c>
      <c r="C441">
        <v>14678.5860108339</v>
      </c>
      <c r="D441">
        <v>14456.8625539204</v>
      </c>
      <c r="E441">
        <v>16623.5119734625</v>
      </c>
      <c r="F441">
        <v>19693.219967027901</v>
      </c>
      <c r="G441">
        <v>18994.983038822302</v>
      </c>
      <c r="H441">
        <v>29950.6903541518</v>
      </c>
      <c r="I441">
        <v>22959.486843249801</v>
      </c>
      <c r="J441">
        <v>3419.3488891207498</v>
      </c>
      <c r="K441">
        <v>2988.8954279499799</v>
      </c>
      <c r="L441">
        <v>1813.86506074832</v>
      </c>
      <c r="M441">
        <v>17370.809307244199</v>
      </c>
      <c r="N441">
        <v>6664.9519004591702</v>
      </c>
      <c r="O441">
        <v>1628.6449206321099</v>
      </c>
      <c r="P441">
        <v>3745.63313743443</v>
      </c>
      <c r="Q441">
        <v>15112.464029700501</v>
      </c>
      <c r="R441">
        <v>2062.2549423588298</v>
      </c>
      <c r="S441">
        <v>499.17039857949197</v>
      </c>
      <c r="T441">
        <v>822.33233948908901</v>
      </c>
      <c r="U441">
        <v>124.39608569825999</v>
      </c>
      <c r="V441">
        <v>711.83936848973497</v>
      </c>
      <c r="W441">
        <v>121.655702280786</v>
      </c>
      <c r="X441">
        <v>334.37547960622499</v>
      </c>
      <c r="Y441">
        <v>831.58334669033502</v>
      </c>
      <c r="Z441">
        <v>143.638306685977</v>
      </c>
      <c r="AA441">
        <v>1163.54153270335</v>
      </c>
      <c r="AB441">
        <v>1191.33958284653</v>
      </c>
      <c r="AC441">
        <v>305.45990339786198</v>
      </c>
      <c r="AD441">
        <v>1555.4994735948801</v>
      </c>
      <c r="AE441">
        <v>157.659293085375</v>
      </c>
      <c r="AF441">
        <v>358.94118436859202</v>
      </c>
      <c r="AG441">
        <v>1237.5600968746101</v>
      </c>
    </row>
    <row r="442" spans="1:33" x14ac:dyDescent="0.25">
      <c r="A442" s="1">
        <v>44493</v>
      </c>
      <c r="B442">
        <v>16096.8746312772</v>
      </c>
      <c r="C442">
        <v>14397.4603758053</v>
      </c>
      <c r="D442">
        <v>14779.845774834699</v>
      </c>
      <c r="E442">
        <v>17652.319526261199</v>
      </c>
      <c r="F442">
        <v>20053.388615518099</v>
      </c>
      <c r="G442">
        <v>20711.6240603935</v>
      </c>
      <c r="H442">
        <v>32434.297961402699</v>
      </c>
      <c r="I442">
        <v>22755.958940223201</v>
      </c>
      <c r="J442">
        <v>3341.3468600790502</v>
      </c>
      <c r="K442">
        <v>2994.17594971883</v>
      </c>
      <c r="L442">
        <v>1883.7444772869601</v>
      </c>
      <c r="M442">
        <v>19536.058885749</v>
      </c>
      <c r="N442">
        <v>9408.1464389420107</v>
      </c>
      <c r="O442">
        <v>1701.74864738561</v>
      </c>
      <c r="P442">
        <v>4281.4478698292596</v>
      </c>
      <c r="Q442">
        <v>16791.652845235101</v>
      </c>
      <c r="R442">
        <v>2212.0966942067898</v>
      </c>
      <c r="S442">
        <v>493.527319799032</v>
      </c>
      <c r="T442">
        <v>1804.47616874857</v>
      </c>
      <c r="U442">
        <v>124.77093803168501</v>
      </c>
      <c r="V442">
        <v>1570.4557679147799</v>
      </c>
      <c r="W442">
        <v>140.19701016162099</v>
      </c>
      <c r="X442">
        <v>838.57086790847495</v>
      </c>
      <c r="Y442">
        <v>833.02396369548103</v>
      </c>
      <c r="Z442">
        <v>181.993964571313</v>
      </c>
      <c r="AA442">
        <v>1145.8159972859701</v>
      </c>
      <c r="AB442">
        <v>1141.3606259779399</v>
      </c>
      <c r="AC442">
        <v>335.10574079643101</v>
      </c>
      <c r="AD442">
        <v>1684.5737819501901</v>
      </c>
      <c r="AE442">
        <v>142.86886388642299</v>
      </c>
      <c r="AF442">
        <v>375.53375409368698</v>
      </c>
      <c r="AG442">
        <v>1108.3000241710899</v>
      </c>
    </row>
    <row r="443" spans="1:33" x14ac:dyDescent="0.25">
      <c r="A443" s="1">
        <v>44494</v>
      </c>
      <c r="B443">
        <v>15770.599037122</v>
      </c>
      <c r="C443">
        <v>14703.100377061401</v>
      </c>
      <c r="D443">
        <v>14082.6814105382</v>
      </c>
      <c r="E443">
        <v>16012.4040586766</v>
      </c>
      <c r="F443">
        <v>19783.204161163099</v>
      </c>
      <c r="G443">
        <v>17229.439047681299</v>
      </c>
      <c r="H443">
        <v>28853.076798636401</v>
      </c>
      <c r="I443">
        <v>22422.168073467099</v>
      </c>
      <c r="J443">
        <v>3070.4952678192099</v>
      </c>
      <c r="K443">
        <v>2912.29675309715</v>
      </c>
      <c r="L443">
        <v>1497.3374806253701</v>
      </c>
      <c r="M443">
        <v>15601.079545532701</v>
      </c>
      <c r="N443">
        <v>5101.2621976518003</v>
      </c>
      <c r="O443">
        <v>863.96370262913194</v>
      </c>
      <c r="P443">
        <v>3053.74741625762</v>
      </c>
      <c r="Q443">
        <v>13110.0287638841</v>
      </c>
      <c r="R443">
        <v>1557.2666194830599</v>
      </c>
      <c r="S443">
        <v>468.95504571388301</v>
      </c>
      <c r="T443">
        <v>602.03330329159201</v>
      </c>
      <c r="U443">
        <v>146.03775425882</v>
      </c>
      <c r="V443">
        <v>140.063388836256</v>
      </c>
      <c r="W443">
        <v>153.974520971218</v>
      </c>
      <c r="X443">
        <v>140.07449715053201</v>
      </c>
      <c r="Y443">
        <v>550.94761670130697</v>
      </c>
      <c r="Z443">
        <v>212.77464932196699</v>
      </c>
      <c r="AA443">
        <v>1156.07511602563</v>
      </c>
      <c r="AB443">
        <v>915.07327910748495</v>
      </c>
      <c r="AC443">
        <v>350.28829496419303</v>
      </c>
      <c r="AD443">
        <v>1322.54074042046</v>
      </c>
      <c r="AE443">
        <v>154.290698180525</v>
      </c>
      <c r="AF443">
        <v>366.53353032020499</v>
      </c>
      <c r="AG443">
        <v>925.48182736715205</v>
      </c>
    </row>
    <row r="444" spans="1:33" x14ac:dyDescent="0.25">
      <c r="A444" s="1">
        <v>44495</v>
      </c>
      <c r="B444">
        <v>15795.687168905801</v>
      </c>
      <c r="C444">
        <v>12052.1256663485</v>
      </c>
      <c r="D444">
        <v>13989.6244011405</v>
      </c>
      <c r="E444">
        <v>15644.9729631311</v>
      </c>
      <c r="F444">
        <v>14565.056605317401</v>
      </c>
      <c r="G444">
        <v>11459.960198332699</v>
      </c>
      <c r="H444">
        <v>24376.269792011401</v>
      </c>
      <c r="I444">
        <v>22128.637629472199</v>
      </c>
      <c r="J444">
        <v>2648.1948843136602</v>
      </c>
      <c r="K444">
        <v>2871.7585466413998</v>
      </c>
      <c r="L444">
        <v>1269.1792168842601</v>
      </c>
      <c r="M444">
        <v>9798.2313431679304</v>
      </c>
      <c r="N444">
        <v>1494.8366282680199</v>
      </c>
      <c r="O444">
        <v>659.20750458189298</v>
      </c>
      <c r="P444">
        <v>1974.6979420454099</v>
      </c>
      <c r="Q444">
        <v>7088.3081065153601</v>
      </c>
      <c r="R444">
        <v>984.09690666639494</v>
      </c>
      <c r="S444">
        <v>449.50335002978397</v>
      </c>
      <c r="T444">
        <v>366.153652298314</v>
      </c>
      <c r="U444">
        <v>153.19292664414601</v>
      </c>
      <c r="V444">
        <v>152.847336656083</v>
      </c>
      <c r="W444">
        <v>131.88977099424699</v>
      </c>
      <c r="X444">
        <v>152.158084458198</v>
      </c>
      <c r="Y444">
        <v>535.94820914152399</v>
      </c>
      <c r="Z444">
        <v>231.46309672833701</v>
      </c>
      <c r="AA444">
        <v>1094.08462814564</v>
      </c>
      <c r="AB444">
        <v>805.904312525465</v>
      </c>
      <c r="AC444">
        <v>495.98302384297699</v>
      </c>
      <c r="AD444">
        <v>1129.35323325227</v>
      </c>
      <c r="AE444">
        <v>163.079940457898</v>
      </c>
      <c r="AF444">
        <v>405.19339479432398</v>
      </c>
      <c r="AG444">
        <v>953.01688415873605</v>
      </c>
    </row>
    <row r="445" spans="1:33" x14ac:dyDescent="0.25">
      <c r="A445" s="1">
        <v>44496</v>
      </c>
      <c r="B445">
        <v>15796.774496808999</v>
      </c>
      <c r="C445">
        <v>6174.5498888676402</v>
      </c>
      <c r="D445">
        <v>14156.513073087101</v>
      </c>
      <c r="E445">
        <v>15404.177497266999</v>
      </c>
      <c r="F445">
        <v>10210.461239444599</v>
      </c>
      <c r="G445">
        <v>6989.3100672419596</v>
      </c>
      <c r="H445">
        <v>20619.041708397999</v>
      </c>
      <c r="I445">
        <v>21471.453724896401</v>
      </c>
      <c r="J445">
        <v>2414.2254302220699</v>
      </c>
      <c r="K445">
        <v>2748.8432390951798</v>
      </c>
      <c r="L445">
        <v>1097.01836424156</v>
      </c>
      <c r="M445">
        <v>5688.8887317415602</v>
      </c>
      <c r="N445">
        <v>612.22738733969504</v>
      </c>
      <c r="O445">
        <v>612.30928637010095</v>
      </c>
      <c r="P445">
        <v>1480.5125678773099</v>
      </c>
      <c r="Q445">
        <v>3349.8025488154899</v>
      </c>
      <c r="R445">
        <v>881.28806189513796</v>
      </c>
      <c r="S445">
        <v>420.263513670875</v>
      </c>
      <c r="T445">
        <v>285.504519855735</v>
      </c>
      <c r="U445">
        <v>154.37705672180101</v>
      </c>
      <c r="V445">
        <v>130.69709754635201</v>
      </c>
      <c r="W445">
        <v>134.32077830526899</v>
      </c>
      <c r="X445">
        <v>130.61476611072899</v>
      </c>
      <c r="Y445">
        <v>655.45353802678096</v>
      </c>
      <c r="Z445">
        <v>218.305844717594</v>
      </c>
      <c r="AA445">
        <v>978.27269039078897</v>
      </c>
      <c r="AB445">
        <v>880.30543141007502</v>
      </c>
      <c r="AC445">
        <v>370.06471669109101</v>
      </c>
      <c r="AD445">
        <v>974.30205986516705</v>
      </c>
      <c r="AE445">
        <v>199.9396358299</v>
      </c>
      <c r="AF445">
        <v>457.29640147823</v>
      </c>
      <c r="AG445">
        <v>1046.2996184439201</v>
      </c>
    </row>
    <row r="446" spans="1:33" x14ac:dyDescent="0.25">
      <c r="A446" s="1">
        <v>44497</v>
      </c>
      <c r="B446">
        <v>15777.8355470973</v>
      </c>
      <c r="C446">
        <v>3066.8180324342202</v>
      </c>
      <c r="D446">
        <v>13336.614250638901</v>
      </c>
      <c r="E446">
        <v>15197.9828130189</v>
      </c>
      <c r="F446">
        <v>7457.6565392087796</v>
      </c>
      <c r="G446">
        <v>4469.8266394853399</v>
      </c>
      <c r="H446">
        <v>18574.797102702702</v>
      </c>
      <c r="I446">
        <v>19919.7064508687</v>
      </c>
      <c r="J446">
        <v>2205.22326877144</v>
      </c>
      <c r="K446">
        <v>2610.6916081437098</v>
      </c>
      <c r="L446">
        <v>958.08186616464502</v>
      </c>
      <c r="M446">
        <v>3712.0495546038601</v>
      </c>
      <c r="N446">
        <v>358.293690374378</v>
      </c>
      <c r="O446">
        <v>565.95952215516502</v>
      </c>
      <c r="P446">
        <v>1286.8999500125301</v>
      </c>
      <c r="Q446">
        <v>2109.8323112694202</v>
      </c>
      <c r="R446">
        <v>811.68654399089405</v>
      </c>
      <c r="S446">
        <v>424.83969434255602</v>
      </c>
      <c r="T446">
        <v>266.20713946267801</v>
      </c>
      <c r="U446">
        <v>162.62497240234299</v>
      </c>
      <c r="V446">
        <v>139.75089928610601</v>
      </c>
      <c r="W446">
        <v>128.146017049758</v>
      </c>
      <c r="X446">
        <v>139.70213702682699</v>
      </c>
      <c r="Y446">
        <v>687.99585370175305</v>
      </c>
      <c r="Z446">
        <v>240.00438582194801</v>
      </c>
      <c r="AA446">
        <v>861.25039097890203</v>
      </c>
      <c r="AB446">
        <v>1018.9517141221201</v>
      </c>
      <c r="AC446">
        <v>359.56072038747999</v>
      </c>
      <c r="AD446">
        <v>846.59137296759002</v>
      </c>
      <c r="AE446">
        <v>234.548209636948</v>
      </c>
      <c r="AF446">
        <v>513.26919738817105</v>
      </c>
      <c r="AG446">
        <v>1003.691991075</v>
      </c>
    </row>
    <row r="447" spans="1:33" x14ac:dyDescent="0.25">
      <c r="A447" s="1">
        <v>44498</v>
      </c>
      <c r="B447">
        <v>15289.973632396001</v>
      </c>
      <c r="C447">
        <v>1783.56634359852</v>
      </c>
      <c r="D447">
        <v>11785.967024801101</v>
      </c>
      <c r="E447">
        <v>14852.932506148099</v>
      </c>
      <c r="F447">
        <v>6197.9551957699296</v>
      </c>
      <c r="G447">
        <v>4136.2557554342802</v>
      </c>
      <c r="H447">
        <v>19107.507272826901</v>
      </c>
      <c r="I447">
        <v>17894.050149477</v>
      </c>
      <c r="J447">
        <v>2034.9244712040199</v>
      </c>
      <c r="K447">
        <v>2441.5914853444101</v>
      </c>
      <c r="L447">
        <v>877.81782555356006</v>
      </c>
      <c r="M447">
        <v>3316.6903248079002</v>
      </c>
      <c r="N447">
        <v>327.44355194403698</v>
      </c>
      <c r="O447">
        <v>586.22659403372995</v>
      </c>
      <c r="P447">
        <v>1162.7346752154101</v>
      </c>
      <c r="Q447">
        <v>1971.3960736419399</v>
      </c>
      <c r="R447">
        <v>817.37478482025006</v>
      </c>
      <c r="S447">
        <v>418.86973481470102</v>
      </c>
      <c r="T447">
        <v>245.773377402585</v>
      </c>
      <c r="U447">
        <v>163.425599481164</v>
      </c>
      <c r="V447">
        <v>120.759600661977</v>
      </c>
      <c r="W447">
        <v>109.286304456824</v>
      </c>
      <c r="X447">
        <v>119.819174209672</v>
      </c>
      <c r="Y447">
        <v>676.92241995692495</v>
      </c>
      <c r="Z447">
        <v>226.05726492316199</v>
      </c>
      <c r="AA447">
        <v>816.16009960726205</v>
      </c>
      <c r="AB447">
        <v>1167.3710440907701</v>
      </c>
      <c r="AC447">
        <v>365.405536646055</v>
      </c>
      <c r="AD447">
        <v>775.25085805107904</v>
      </c>
      <c r="AE447">
        <v>233.463138956303</v>
      </c>
      <c r="AF447">
        <v>491.81890955308199</v>
      </c>
      <c r="AG447">
        <v>984.21887724762303</v>
      </c>
    </row>
    <row r="448" spans="1:33" x14ac:dyDescent="0.25">
      <c r="A448" s="1">
        <v>44499</v>
      </c>
      <c r="B448">
        <v>14681.2701157007</v>
      </c>
      <c r="C448">
        <v>1577.14349657153</v>
      </c>
      <c r="D448">
        <v>10078.5004184801</v>
      </c>
      <c r="E448">
        <v>14275.4862776957</v>
      </c>
      <c r="F448">
        <v>5863.2670255927496</v>
      </c>
      <c r="G448">
        <v>4603.2945359760597</v>
      </c>
      <c r="H448">
        <v>19807.3351874209</v>
      </c>
      <c r="I448">
        <v>16050.800464023499</v>
      </c>
      <c r="J448">
        <v>1893.69771637998</v>
      </c>
      <c r="K448">
        <v>2264.76281686005</v>
      </c>
      <c r="L448">
        <v>860.80734925062904</v>
      </c>
      <c r="M448">
        <v>3572.71139670919</v>
      </c>
      <c r="N448">
        <v>301.62850463016099</v>
      </c>
      <c r="O448">
        <v>683.46843484355702</v>
      </c>
      <c r="P448">
        <v>1053.2920694925699</v>
      </c>
      <c r="Q448">
        <v>2173.1924721425798</v>
      </c>
      <c r="R448">
        <v>872.56306523766398</v>
      </c>
      <c r="S448">
        <v>418.77315438162702</v>
      </c>
      <c r="T448">
        <v>223.239370680581</v>
      </c>
      <c r="U448">
        <v>173.33593111748601</v>
      </c>
      <c r="V448">
        <v>108.68663945898901</v>
      </c>
      <c r="W448">
        <v>117.931317653498</v>
      </c>
      <c r="X448">
        <v>108.428583104833</v>
      </c>
      <c r="Y448">
        <v>720.58047865362403</v>
      </c>
      <c r="Z448">
        <v>211.50221575210699</v>
      </c>
      <c r="AA448">
        <v>779.15508257937597</v>
      </c>
      <c r="AB448">
        <v>1173.55598743817</v>
      </c>
      <c r="AC448">
        <v>367.661439188381</v>
      </c>
      <c r="AD448">
        <v>751.93447873637399</v>
      </c>
      <c r="AE448">
        <v>247.08484432253999</v>
      </c>
      <c r="AF448">
        <v>469.24576501644901</v>
      </c>
      <c r="AG448">
        <v>975.71260521308795</v>
      </c>
    </row>
    <row r="449" spans="1:33" x14ac:dyDescent="0.25">
      <c r="A449" s="1">
        <v>44500</v>
      </c>
      <c r="B449">
        <v>14039.3865823298</v>
      </c>
      <c r="C449">
        <v>1973.9732448740201</v>
      </c>
      <c r="D449">
        <v>8151.4693862731201</v>
      </c>
      <c r="E449">
        <v>13533.464314525099</v>
      </c>
      <c r="F449">
        <v>6009.7902300487003</v>
      </c>
      <c r="G449">
        <v>4868.5194483075202</v>
      </c>
      <c r="H449">
        <v>18969.161391293601</v>
      </c>
      <c r="I449">
        <v>13110.979829255701</v>
      </c>
      <c r="J449">
        <v>1763.6540383883801</v>
      </c>
      <c r="K449">
        <v>2137.93608596376</v>
      </c>
      <c r="L449">
        <v>875.90714993191204</v>
      </c>
      <c r="M449">
        <v>3782.0600921735299</v>
      </c>
      <c r="N449">
        <v>293.99727830302902</v>
      </c>
      <c r="O449">
        <v>710.04718181601197</v>
      </c>
      <c r="P449">
        <v>1039.7520738462599</v>
      </c>
      <c r="Q449">
        <v>2221.4206228971102</v>
      </c>
      <c r="R449">
        <v>885.69559302479104</v>
      </c>
      <c r="S449">
        <v>418.98447512425599</v>
      </c>
      <c r="T449">
        <v>211.83708803423599</v>
      </c>
      <c r="U449">
        <v>181.288833470642</v>
      </c>
      <c r="V449">
        <v>120.71855567182899</v>
      </c>
      <c r="W449">
        <v>134.34113899006201</v>
      </c>
      <c r="X449">
        <v>117.44578679403099</v>
      </c>
      <c r="Y449">
        <v>627.44426962360103</v>
      </c>
      <c r="Z449">
        <v>200.529875913099</v>
      </c>
      <c r="AA449">
        <v>704.375550820694</v>
      </c>
      <c r="AB449">
        <v>1096.5795041398001</v>
      </c>
      <c r="AC449">
        <v>366.04053818065199</v>
      </c>
      <c r="AD449">
        <v>747.74450084883404</v>
      </c>
      <c r="AE449">
        <v>223.92600142916299</v>
      </c>
      <c r="AF449">
        <v>449.35974129491001</v>
      </c>
      <c r="AG449">
        <v>906.23187678788304</v>
      </c>
    </row>
    <row r="450" spans="1:33" x14ac:dyDescent="0.25">
      <c r="A450" s="1">
        <v>44501</v>
      </c>
      <c r="B450">
        <v>13192.4439269046</v>
      </c>
      <c r="C450">
        <v>2085.4878793159201</v>
      </c>
      <c r="D450">
        <v>6799.3096841566703</v>
      </c>
      <c r="E450">
        <v>12465.4936054106</v>
      </c>
      <c r="F450">
        <v>6685.4931573763697</v>
      </c>
      <c r="G450">
        <v>6096.6094596211897</v>
      </c>
      <c r="H450">
        <v>19801.104127273698</v>
      </c>
      <c r="I450">
        <v>11431.4621288127</v>
      </c>
      <c r="J450">
        <v>1598.03573671764</v>
      </c>
      <c r="K450">
        <v>1992.58923997087</v>
      </c>
      <c r="L450">
        <v>878.97648853738701</v>
      </c>
      <c r="M450">
        <v>4865.38039748542</v>
      </c>
      <c r="N450">
        <v>405.41259355926297</v>
      </c>
      <c r="O450">
        <v>764.15969563860097</v>
      </c>
      <c r="P450">
        <v>1052.9735328670399</v>
      </c>
      <c r="Q450">
        <v>3043.9680458723701</v>
      </c>
      <c r="R450">
        <v>889.62723606274096</v>
      </c>
      <c r="S450">
        <v>420.51067269474902</v>
      </c>
      <c r="T450">
        <v>204.881999996438</v>
      </c>
      <c r="U450">
        <v>222.98636266482501</v>
      </c>
      <c r="V450">
        <v>139.45313797505301</v>
      </c>
      <c r="W450">
        <v>158.75506337914399</v>
      </c>
      <c r="X450">
        <v>128.76783951060099</v>
      </c>
      <c r="Y450">
        <v>577.46495764123404</v>
      </c>
      <c r="Z450">
        <v>189.25553184529801</v>
      </c>
      <c r="AA450">
        <v>640.54529222773397</v>
      </c>
      <c r="AB450">
        <v>991.951667103413</v>
      </c>
      <c r="AC450">
        <v>368.92552498367399</v>
      </c>
      <c r="AD450">
        <v>766.17979696685404</v>
      </c>
      <c r="AE450">
        <v>197.890553174785</v>
      </c>
      <c r="AF450">
        <v>424.54301730483098</v>
      </c>
      <c r="AG450">
        <v>800.37123948226201</v>
      </c>
    </row>
    <row r="451" spans="1:33" x14ac:dyDescent="0.25">
      <c r="A451" s="1">
        <v>44502</v>
      </c>
      <c r="B451">
        <v>12227.9192516035</v>
      </c>
      <c r="C451">
        <v>2808.1440472774202</v>
      </c>
      <c r="D451">
        <v>5522.5001229902</v>
      </c>
      <c r="E451">
        <v>11499.977582334401</v>
      </c>
      <c r="F451">
        <v>7717.0239001699301</v>
      </c>
      <c r="G451">
        <v>6891.4807424746004</v>
      </c>
      <c r="H451">
        <v>19689.183916576399</v>
      </c>
      <c r="I451">
        <v>11012.0052490779</v>
      </c>
      <c r="J451">
        <v>1512.0047586149899</v>
      </c>
      <c r="K451">
        <v>1865.3561431353501</v>
      </c>
      <c r="L451">
        <v>875.16728662661706</v>
      </c>
      <c r="M451">
        <v>5497.5342531386796</v>
      </c>
      <c r="N451">
        <v>532.48749933879105</v>
      </c>
      <c r="O451">
        <v>751.82644860959704</v>
      </c>
      <c r="P451">
        <v>1014.08821060734</v>
      </c>
      <c r="Q451">
        <v>3689.4052555630001</v>
      </c>
      <c r="R451">
        <v>873.93540742695097</v>
      </c>
      <c r="S451">
        <v>418.667971543926</v>
      </c>
      <c r="T451">
        <v>204.551705132026</v>
      </c>
      <c r="U451">
        <v>220.61911798645801</v>
      </c>
      <c r="V451">
        <v>159.49587371899401</v>
      </c>
      <c r="W451">
        <v>162.579329469322</v>
      </c>
      <c r="X451">
        <v>149.82837312886599</v>
      </c>
      <c r="Y451">
        <v>565.47791551483704</v>
      </c>
      <c r="Z451">
        <v>175.40230333801799</v>
      </c>
      <c r="AA451">
        <v>608.25782536657005</v>
      </c>
      <c r="AB451">
        <v>886.47029742785196</v>
      </c>
      <c r="AC451">
        <v>358.43490011953202</v>
      </c>
      <c r="AD451">
        <v>768.32558559170297</v>
      </c>
      <c r="AE451">
        <v>212.29916376060399</v>
      </c>
      <c r="AF451">
        <v>402.02690382134301</v>
      </c>
      <c r="AG451">
        <v>718.57669496994799</v>
      </c>
    </row>
    <row r="452" spans="1:33" x14ac:dyDescent="0.25">
      <c r="A452" s="1">
        <v>44503</v>
      </c>
      <c r="B452">
        <v>10851.4173002607</v>
      </c>
      <c r="C452">
        <v>3265.8704704779798</v>
      </c>
      <c r="D452">
        <v>4946.2585207844804</v>
      </c>
      <c r="E452">
        <v>10256.660885860199</v>
      </c>
      <c r="F452">
        <v>8426.7048026069697</v>
      </c>
      <c r="G452">
        <v>8135.82661366093</v>
      </c>
      <c r="H452">
        <v>20605.133973248401</v>
      </c>
      <c r="I452">
        <v>11048.2637094809</v>
      </c>
      <c r="J452">
        <v>1434.6218249157801</v>
      </c>
      <c r="K452">
        <v>1756.09104502119</v>
      </c>
      <c r="L452">
        <v>858.59849114714802</v>
      </c>
      <c r="M452">
        <v>6557.0145919504803</v>
      </c>
      <c r="N452">
        <v>827.346076684428</v>
      </c>
      <c r="O452">
        <v>768.38473201775298</v>
      </c>
      <c r="P452">
        <v>992.64626503203499</v>
      </c>
      <c r="Q452">
        <v>4704.0847014737601</v>
      </c>
      <c r="R452">
        <v>866.551901519681</v>
      </c>
      <c r="S452">
        <v>415.21259759547701</v>
      </c>
      <c r="T452">
        <v>207.54031395586</v>
      </c>
      <c r="U452">
        <v>211.02715917475899</v>
      </c>
      <c r="V452">
        <v>181.43501201190199</v>
      </c>
      <c r="W452">
        <v>160.11570201259701</v>
      </c>
      <c r="X452">
        <v>165.396704476824</v>
      </c>
      <c r="Y452">
        <v>631.63978187176201</v>
      </c>
      <c r="Z452">
        <v>172.81497965885001</v>
      </c>
      <c r="AA452">
        <v>598.39796008793803</v>
      </c>
      <c r="AB452">
        <v>879.61138562443602</v>
      </c>
      <c r="AC452">
        <v>344.65661140837199</v>
      </c>
      <c r="AD452">
        <v>758.86110215889903</v>
      </c>
      <c r="AE452">
        <v>258.656957756797</v>
      </c>
      <c r="AF452">
        <v>387.24587430973901</v>
      </c>
      <c r="AG452">
        <v>677.12159664626904</v>
      </c>
    </row>
    <row r="453" spans="1:33" x14ac:dyDescent="0.25">
      <c r="A453" s="1">
        <v>44504</v>
      </c>
      <c r="B453">
        <v>9766.5481226193006</v>
      </c>
      <c r="C453">
        <v>4084.3812868108198</v>
      </c>
      <c r="D453">
        <v>4696.8656367845497</v>
      </c>
      <c r="E453">
        <v>9258.6569878860901</v>
      </c>
      <c r="F453">
        <v>9561.7359386828903</v>
      </c>
      <c r="G453">
        <v>9444.2095323042704</v>
      </c>
      <c r="H453">
        <v>21816.911551459601</v>
      </c>
      <c r="I453">
        <v>11369.049164116799</v>
      </c>
      <c r="J453">
        <v>1361.54550024216</v>
      </c>
      <c r="K453">
        <v>1663.7662755118199</v>
      </c>
      <c r="L453">
        <v>856.15283354146095</v>
      </c>
      <c r="M453">
        <v>7829.2357734834804</v>
      </c>
      <c r="N453">
        <v>1353.4281743460799</v>
      </c>
      <c r="O453">
        <v>782.684593110793</v>
      </c>
      <c r="P453">
        <v>1000.62739112101</v>
      </c>
      <c r="Q453">
        <v>5871.9492872709998</v>
      </c>
      <c r="R453">
        <v>862.23649251979703</v>
      </c>
      <c r="S453">
        <v>408.20762370846802</v>
      </c>
      <c r="T453">
        <v>217.92607804758401</v>
      </c>
      <c r="U453">
        <v>218.118558586766</v>
      </c>
      <c r="V453">
        <v>204.08245549779099</v>
      </c>
      <c r="W453">
        <v>163.425936790321</v>
      </c>
      <c r="X453">
        <v>172.92378790138099</v>
      </c>
      <c r="Y453">
        <v>691.88256210932002</v>
      </c>
      <c r="Z453">
        <v>173.08948211126901</v>
      </c>
      <c r="AA453">
        <v>609.65563422623495</v>
      </c>
      <c r="AB453">
        <v>860.12538007129206</v>
      </c>
      <c r="AC453">
        <v>349.08542827909099</v>
      </c>
      <c r="AD453">
        <v>759.37933742745895</v>
      </c>
      <c r="AE453">
        <v>276.40756091786602</v>
      </c>
      <c r="AF453">
        <v>382.98737839774299</v>
      </c>
      <c r="AG453">
        <v>668.857587397673</v>
      </c>
    </row>
    <row r="454" spans="1:33" x14ac:dyDescent="0.25">
      <c r="A454" s="1">
        <v>44505</v>
      </c>
      <c r="B454">
        <v>8994.2905144572705</v>
      </c>
      <c r="C454">
        <v>4863.5597507660495</v>
      </c>
      <c r="D454">
        <v>4525.0976810346301</v>
      </c>
      <c r="E454">
        <v>8580.5199519447306</v>
      </c>
      <c r="F454">
        <v>10015.373221699299</v>
      </c>
      <c r="G454">
        <v>9778.6425183967895</v>
      </c>
      <c r="H454">
        <v>22093.1936935021</v>
      </c>
      <c r="I454">
        <v>11842.1496583314</v>
      </c>
      <c r="J454">
        <v>1318.9790627028999</v>
      </c>
      <c r="K454">
        <v>1565.69114395876</v>
      </c>
      <c r="L454">
        <v>852.98118040497195</v>
      </c>
      <c r="M454">
        <v>8214.6488273677805</v>
      </c>
      <c r="N454">
        <v>1622.1424568227601</v>
      </c>
      <c r="O454">
        <v>757.90949928554403</v>
      </c>
      <c r="P454">
        <v>1017.46277390313</v>
      </c>
      <c r="Q454">
        <v>6345.0344541796003</v>
      </c>
      <c r="R454">
        <v>845.11328474344998</v>
      </c>
      <c r="S454">
        <v>400.59612353655501</v>
      </c>
      <c r="T454">
        <v>236.32214919770101</v>
      </c>
      <c r="U454">
        <v>191.508576438321</v>
      </c>
      <c r="V454">
        <v>233.90125688195701</v>
      </c>
      <c r="W454">
        <v>158.719255141063</v>
      </c>
      <c r="X454">
        <v>186.28247072107601</v>
      </c>
      <c r="Y454">
        <v>674.46380820215199</v>
      </c>
      <c r="Z454">
        <v>183.24483677498699</v>
      </c>
      <c r="AA454">
        <v>613.63445401688</v>
      </c>
      <c r="AB454">
        <v>843.35870153744895</v>
      </c>
      <c r="AC454">
        <v>368.09741274904201</v>
      </c>
      <c r="AD454">
        <v>751.22009402091101</v>
      </c>
      <c r="AE454">
        <v>326.806205422902</v>
      </c>
      <c r="AF454">
        <v>379.22504958105202</v>
      </c>
      <c r="AG454">
        <v>669.12164522155899</v>
      </c>
    </row>
    <row r="455" spans="1:33" x14ac:dyDescent="0.25">
      <c r="A455" s="1">
        <v>44506</v>
      </c>
      <c r="B455">
        <v>8269.4651009584504</v>
      </c>
      <c r="C455">
        <v>5364.2952372031395</v>
      </c>
      <c r="D455">
        <v>4549.8157783750303</v>
      </c>
      <c r="E455">
        <v>8126.7690507983198</v>
      </c>
      <c r="F455">
        <v>10448.598130923399</v>
      </c>
      <c r="G455">
        <v>10016.867286644499</v>
      </c>
      <c r="H455">
        <v>22001.8568352416</v>
      </c>
      <c r="I455">
        <v>12299.5271452661</v>
      </c>
      <c r="J455">
        <v>1283.55508642173</v>
      </c>
      <c r="K455">
        <v>1496.8144673378599</v>
      </c>
      <c r="L455">
        <v>857.33109987146202</v>
      </c>
      <c r="M455">
        <v>8513.6720572821505</v>
      </c>
      <c r="N455">
        <v>1848.8073911752799</v>
      </c>
      <c r="O455">
        <v>708.83266685341005</v>
      </c>
      <c r="P455">
        <v>1051.36269615826</v>
      </c>
      <c r="Q455">
        <v>6739.4650511155596</v>
      </c>
      <c r="R455">
        <v>831.45203095687805</v>
      </c>
      <c r="S455">
        <v>393.53778541807401</v>
      </c>
      <c r="T455">
        <v>256.61644815227203</v>
      </c>
      <c r="U455">
        <v>163.02546706681099</v>
      </c>
      <c r="V455">
        <v>269.23564400498401</v>
      </c>
      <c r="W455">
        <v>170.51210030835301</v>
      </c>
      <c r="X455">
        <v>202.19167333512101</v>
      </c>
      <c r="Y455">
        <v>608.09428153779402</v>
      </c>
      <c r="Z455">
        <v>211.14507489229501</v>
      </c>
      <c r="AA455">
        <v>602.71302221134704</v>
      </c>
      <c r="AB455">
        <v>822.549652164858</v>
      </c>
      <c r="AC455">
        <v>379.416889880025</v>
      </c>
      <c r="AD455">
        <v>738.00315577840399</v>
      </c>
      <c r="AE455">
        <v>382.57350877664697</v>
      </c>
      <c r="AF455">
        <v>377.519881521863</v>
      </c>
      <c r="AG455">
        <v>667.08316098827902</v>
      </c>
    </row>
    <row r="456" spans="1:33" x14ac:dyDescent="0.25">
      <c r="A456" s="1">
        <v>44507</v>
      </c>
      <c r="B456">
        <v>7789.3849128335396</v>
      </c>
      <c r="C456">
        <v>5691.8264484430802</v>
      </c>
      <c r="D456">
        <v>4774.9045507027504</v>
      </c>
      <c r="E456">
        <v>8019.0324453212097</v>
      </c>
      <c r="F456">
        <v>10514.7775860157</v>
      </c>
      <c r="G456">
        <v>10174.179164483399</v>
      </c>
      <c r="H456">
        <v>22268.342708314602</v>
      </c>
      <c r="I456">
        <v>12628.330731132</v>
      </c>
      <c r="J456">
        <v>1249.5293706923601</v>
      </c>
      <c r="K456">
        <v>1435.21537448809</v>
      </c>
      <c r="L456">
        <v>833.17792502383895</v>
      </c>
      <c r="M456">
        <v>8738.1048838084298</v>
      </c>
      <c r="N456">
        <v>2112.2829508710101</v>
      </c>
      <c r="O456">
        <v>687.202919039628</v>
      </c>
      <c r="P456">
        <v>1119.4382546121401</v>
      </c>
      <c r="Q456">
        <v>7010.1562173551602</v>
      </c>
      <c r="R456">
        <v>817.56845836556795</v>
      </c>
      <c r="S456">
        <v>388.77344834514099</v>
      </c>
      <c r="T456">
        <v>285.03119602465699</v>
      </c>
      <c r="U456">
        <v>173.79841974534199</v>
      </c>
      <c r="V456">
        <v>308.009655813628</v>
      </c>
      <c r="W456">
        <v>165.92794876881601</v>
      </c>
      <c r="X456">
        <v>220.42162230703099</v>
      </c>
      <c r="Y456">
        <v>625.44240414557896</v>
      </c>
      <c r="Z456">
        <v>224.477520539164</v>
      </c>
      <c r="AA456">
        <v>597.77836232715401</v>
      </c>
      <c r="AB456">
        <v>825.69322581408903</v>
      </c>
      <c r="AC456">
        <v>389.88257274529298</v>
      </c>
      <c r="AD456">
        <v>725.89674212628404</v>
      </c>
      <c r="AE456">
        <v>437.400031699556</v>
      </c>
      <c r="AF456">
        <v>374.48796524478701</v>
      </c>
      <c r="AG456">
        <v>654.24552636806698</v>
      </c>
    </row>
    <row r="457" spans="1:33" x14ac:dyDescent="0.25">
      <c r="A457" s="1">
        <v>44508</v>
      </c>
      <c r="B457">
        <v>7522.47725167312</v>
      </c>
      <c r="C457">
        <v>6317.2954989867003</v>
      </c>
      <c r="D457">
        <v>5144.1213426390696</v>
      </c>
      <c r="E457">
        <v>8086.9693432740796</v>
      </c>
      <c r="F457">
        <v>11028.0946596788</v>
      </c>
      <c r="G457">
        <v>10876.6489934695</v>
      </c>
      <c r="H457">
        <v>22857.478166012799</v>
      </c>
      <c r="I457">
        <v>12926.264857763401</v>
      </c>
      <c r="J457">
        <v>1220.1072899670801</v>
      </c>
      <c r="K457">
        <v>1413.2705678494499</v>
      </c>
      <c r="L457">
        <v>818.56475861014803</v>
      </c>
      <c r="M457">
        <v>9573.5555402318696</v>
      </c>
      <c r="N457">
        <v>2646.1049215678299</v>
      </c>
      <c r="O457">
        <v>689.02441356141401</v>
      </c>
      <c r="P457">
        <v>1256.39464155517</v>
      </c>
      <c r="Q457">
        <v>7693.3965306349</v>
      </c>
      <c r="R457">
        <v>828.78656803460001</v>
      </c>
      <c r="S457">
        <v>381.73371758667099</v>
      </c>
      <c r="T457">
        <v>344.97028860043901</v>
      </c>
      <c r="U457">
        <v>167.59580872738101</v>
      </c>
      <c r="V457">
        <v>393.914703825701</v>
      </c>
      <c r="W457">
        <v>164.666517430353</v>
      </c>
      <c r="X457">
        <v>266.29253055509298</v>
      </c>
      <c r="Y457">
        <v>672.62400259849005</v>
      </c>
      <c r="Z457">
        <v>209.18582738991901</v>
      </c>
      <c r="AA457">
        <v>599.16672439591503</v>
      </c>
      <c r="AB457">
        <v>819.95824220526094</v>
      </c>
      <c r="AC457">
        <v>415.13211807198599</v>
      </c>
      <c r="AD457">
        <v>726.59469300772696</v>
      </c>
      <c r="AE457">
        <v>489.03418351632598</v>
      </c>
      <c r="AF457">
        <v>371.381071274161</v>
      </c>
      <c r="AG457">
        <v>649.74775183684199</v>
      </c>
    </row>
    <row r="458" spans="1:33" x14ac:dyDescent="0.25">
      <c r="A458" s="1">
        <v>44509</v>
      </c>
      <c r="B458">
        <v>7417.6201418762803</v>
      </c>
      <c r="C458">
        <v>6875.2751896810396</v>
      </c>
      <c r="D458">
        <v>5240.8548933545799</v>
      </c>
      <c r="E458">
        <v>8015.68002053283</v>
      </c>
      <c r="F458">
        <v>12308.1118166672</v>
      </c>
      <c r="G458">
        <v>12348.069239808099</v>
      </c>
      <c r="H458">
        <v>24409.478461430601</v>
      </c>
      <c r="I458">
        <v>13501.6827520811</v>
      </c>
      <c r="J458">
        <v>1222.8211283701501</v>
      </c>
      <c r="K458">
        <v>1356.0782441474701</v>
      </c>
      <c r="L458">
        <v>826.50048012911498</v>
      </c>
      <c r="M458">
        <v>11065.174400771401</v>
      </c>
      <c r="N458">
        <v>3392.7177969986301</v>
      </c>
      <c r="O458">
        <v>705.69574345995795</v>
      </c>
      <c r="P458">
        <v>1462.0757580603599</v>
      </c>
      <c r="Q458">
        <v>8733.0231966237807</v>
      </c>
      <c r="R458">
        <v>859.58420141810598</v>
      </c>
      <c r="S458">
        <v>356.96171915301699</v>
      </c>
      <c r="T458">
        <v>385.84376422435798</v>
      </c>
      <c r="U458">
        <v>164.145539462915</v>
      </c>
      <c r="V458">
        <v>458.92355184672903</v>
      </c>
      <c r="W458">
        <v>163.04883472453</v>
      </c>
      <c r="X458">
        <v>292.78178099257502</v>
      </c>
      <c r="Y458">
        <v>657.05000455940797</v>
      </c>
      <c r="Z458">
        <v>204.30242059834799</v>
      </c>
      <c r="AA458">
        <v>607.95796341011703</v>
      </c>
      <c r="AB458">
        <v>796.66832624593701</v>
      </c>
      <c r="AC458">
        <v>435.82947101270997</v>
      </c>
      <c r="AD458">
        <v>749.13119162839098</v>
      </c>
      <c r="AE458">
        <v>541.07856317816697</v>
      </c>
      <c r="AF458">
        <v>369.676774811168</v>
      </c>
      <c r="AG458">
        <v>655.35248976032801</v>
      </c>
    </row>
    <row r="459" spans="1:33" x14ac:dyDescent="0.25">
      <c r="A459" s="1">
        <v>44510</v>
      </c>
      <c r="B459">
        <v>7492.8724347012203</v>
      </c>
      <c r="C459">
        <v>7743.88720493857</v>
      </c>
      <c r="D459">
        <v>5426.9752783854201</v>
      </c>
      <c r="E459">
        <v>7687.4382235249604</v>
      </c>
      <c r="F459">
        <v>12074.749925150099</v>
      </c>
      <c r="G459">
        <v>11197.101191355399</v>
      </c>
      <c r="H459">
        <v>22517.482457522401</v>
      </c>
      <c r="I459">
        <v>13733.4866157705</v>
      </c>
      <c r="J459">
        <v>1259.6722572875799</v>
      </c>
      <c r="K459">
        <v>1335.8202881048601</v>
      </c>
      <c r="L459">
        <v>814.59262283150895</v>
      </c>
      <c r="M459">
        <v>9790.0806438392992</v>
      </c>
      <c r="N459">
        <v>2528.5805895233998</v>
      </c>
      <c r="O459">
        <v>631.33493338696405</v>
      </c>
      <c r="P459">
        <v>1397.9135801510499</v>
      </c>
      <c r="Q459">
        <v>7766.5487985434202</v>
      </c>
      <c r="R459">
        <v>824.41235825012302</v>
      </c>
      <c r="S459">
        <v>363.508417696685</v>
      </c>
      <c r="T459">
        <v>311.48047560348101</v>
      </c>
      <c r="U459">
        <v>163.22058504057699</v>
      </c>
      <c r="V459">
        <v>318.27545829101501</v>
      </c>
      <c r="W459">
        <v>163.542205709462</v>
      </c>
      <c r="X459">
        <v>207.685645313463</v>
      </c>
      <c r="Y459">
        <v>564.72814198660296</v>
      </c>
      <c r="Z459">
        <v>180.49860080486499</v>
      </c>
      <c r="AA459">
        <v>603.567462994685</v>
      </c>
      <c r="AB459">
        <v>720.34388374185198</v>
      </c>
      <c r="AC459">
        <v>459.93420560496401</v>
      </c>
      <c r="AD459">
        <v>711.89033495767103</v>
      </c>
      <c r="AE459">
        <v>528.06521983711502</v>
      </c>
      <c r="AF459">
        <v>369.373349012559</v>
      </c>
      <c r="AG459">
        <v>649.74650358447695</v>
      </c>
    </row>
    <row r="460" spans="1:33" x14ac:dyDescent="0.25">
      <c r="A460" s="1">
        <v>44511</v>
      </c>
      <c r="B460">
        <v>7403.3137031824899</v>
      </c>
      <c r="C460">
        <v>7652.4612220884301</v>
      </c>
      <c r="D460">
        <v>5750.1172476314096</v>
      </c>
      <c r="E460">
        <v>7731.7882550636596</v>
      </c>
      <c r="F460">
        <v>11640.17831415</v>
      </c>
      <c r="G460">
        <v>10563.0507941579</v>
      </c>
      <c r="H460">
        <v>21935.643574612099</v>
      </c>
      <c r="I460">
        <v>13746.115797082701</v>
      </c>
      <c r="J460">
        <v>1279.9367859407801</v>
      </c>
      <c r="K460">
        <v>1325.1157696361699</v>
      </c>
      <c r="L460">
        <v>790.71005402434901</v>
      </c>
      <c r="M460">
        <v>9109.3427763161308</v>
      </c>
      <c r="N460">
        <v>2241.1596030329702</v>
      </c>
      <c r="O460">
        <v>603.51292059086404</v>
      </c>
      <c r="P460">
        <v>1380.1473431051299</v>
      </c>
      <c r="Q460">
        <v>7148.0559270994399</v>
      </c>
      <c r="R460">
        <v>803.32398061221897</v>
      </c>
      <c r="S460">
        <v>361.94909644941401</v>
      </c>
      <c r="T460">
        <v>286.81964884255098</v>
      </c>
      <c r="U460">
        <v>164.75838285994001</v>
      </c>
      <c r="V460">
        <v>294.10846571331399</v>
      </c>
      <c r="W460">
        <v>164.87336234398001</v>
      </c>
      <c r="X460">
        <v>198.832788352748</v>
      </c>
      <c r="Y460">
        <v>549.03382583055804</v>
      </c>
      <c r="Z460">
        <v>176.684478217454</v>
      </c>
      <c r="AA460">
        <v>584.86698838753898</v>
      </c>
      <c r="AB460">
        <v>728.48369951548898</v>
      </c>
      <c r="AC460">
        <v>483.17042181433698</v>
      </c>
      <c r="AD460">
        <v>685.40397679201703</v>
      </c>
      <c r="AE460">
        <v>452.447459113908</v>
      </c>
      <c r="AF460">
        <v>368.429105188775</v>
      </c>
      <c r="AG460">
        <v>647.96846769991998</v>
      </c>
    </row>
    <row r="461" spans="1:33" x14ac:dyDescent="0.25">
      <c r="A461" s="1">
        <v>44512</v>
      </c>
      <c r="B461">
        <v>7377.2680310466703</v>
      </c>
      <c r="C461">
        <v>7419.0368855042097</v>
      </c>
      <c r="D461">
        <v>6143.5338044546897</v>
      </c>
      <c r="E461">
        <v>8027.8427393081602</v>
      </c>
      <c r="F461">
        <v>11543.8396853508</v>
      </c>
      <c r="G461">
        <v>10667.212556123201</v>
      </c>
      <c r="H461">
        <v>22157.234732519999</v>
      </c>
      <c r="I461">
        <v>13775.2997114598</v>
      </c>
      <c r="J461">
        <v>1296.92018832901</v>
      </c>
      <c r="K461">
        <v>1323.6322265154799</v>
      </c>
      <c r="L461">
        <v>779.52330690721794</v>
      </c>
      <c r="M461">
        <v>9194.6078607726395</v>
      </c>
      <c r="N461">
        <v>2127.4089432710698</v>
      </c>
      <c r="O461">
        <v>589.94174677413298</v>
      </c>
      <c r="P461">
        <v>1421.23404875459</v>
      </c>
      <c r="Q461">
        <v>7184.6098374989697</v>
      </c>
      <c r="R461">
        <v>807.75299451783496</v>
      </c>
      <c r="S461">
        <v>355.62060578874201</v>
      </c>
      <c r="T461">
        <v>276.06874321921902</v>
      </c>
      <c r="U461">
        <v>167.80192146486999</v>
      </c>
      <c r="V461">
        <v>264.97402092249399</v>
      </c>
      <c r="W461">
        <v>171.47237167263</v>
      </c>
      <c r="X461">
        <v>188.334276521627</v>
      </c>
      <c r="Y461">
        <v>591.53439463205905</v>
      </c>
      <c r="Z461">
        <v>176.74874152055199</v>
      </c>
      <c r="AA461">
        <v>587.536615400306</v>
      </c>
      <c r="AB461">
        <v>722.36651486383801</v>
      </c>
      <c r="AC461">
        <v>476.22881382442301</v>
      </c>
      <c r="AD461">
        <v>674.36148409814598</v>
      </c>
      <c r="AE461">
        <v>442.65560298312602</v>
      </c>
      <c r="AF461">
        <v>369.00575093014999</v>
      </c>
      <c r="AG461">
        <v>630.15116855365397</v>
      </c>
    </row>
    <row r="462" spans="1:33" x14ac:dyDescent="0.25">
      <c r="A462" s="1">
        <v>44513</v>
      </c>
      <c r="B462">
        <v>7610.6026315115196</v>
      </c>
      <c r="C462">
        <v>7339.6076385096403</v>
      </c>
      <c r="D462">
        <v>6509.5333953599002</v>
      </c>
      <c r="E462">
        <v>8360.0937321910296</v>
      </c>
      <c r="F462">
        <v>11623.1764647748</v>
      </c>
      <c r="G462">
        <v>10798.4969384127</v>
      </c>
      <c r="H462">
        <v>22519.147513273099</v>
      </c>
      <c r="I462">
        <v>13831.703731673701</v>
      </c>
      <c r="J462">
        <v>1319.41954728822</v>
      </c>
      <c r="K462">
        <v>1312.1401569658599</v>
      </c>
      <c r="L462">
        <v>773.78535923009701</v>
      </c>
      <c r="M462">
        <v>9317.2567359002896</v>
      </c>
      <c r="N462">
        <v>2008.98779225506</v>
      </c>
      <c r="O462">
        <v>596.62421626308696</v>
      </c>
      <c r="P462">
        <v>1484.40000846932</v>
      </c>
      <c r="Q462">
        <v>7202.9038417154597</v>
      </c>
      <c r="R462">
        <v>814.47590888895604</v>
      </c>
      <c r="S462">
        <v>349.73348688645399</v>
      </c>
      <c r="T462">
        <v>261.78414251405502</v>
      </c>
      <c r="U462">
        <v>172.26586984677701</v>
      </c>
      <c r="V462">
        <v>217.85109860468</v>
      </c>
      <c r="W462">
        <v>163.55994749016401</v>
      </c>
      <c r="X462">
        <v>176.63371265092101</v>
      </c>
      <c r="Y462">
        <v>562.112851530282</v>
      </c>
      <c r="Z462">
        <v>173.23106282552899</v>
      </c>
      <c r="AA462">
        <v>584.68233993067804</v>
      </c>
      <c r="AB462">
        <v>731.45447000541697</v>
      </c>
      <c r="AC462">
        <v>469.84000137600799</v>
      </c>
      <c r="AD462">
        <v>665.73132085830105</v>
      </c>
      <c r="AE462">
        <v>443.48617176747001</v>
      </c>
      <c r="AF462">
        <v>370.00587389920298</v>
      </c>
      <c r="AG462">
        <v>625.03251608172604</v>
      </c>
    </row>
    <row r="463" spans="1:33" x14ac:dyDescent="0.25">
      <c r="A463" s="1">
        <v>44514</v>
      </c>
      <c r="B463">
        <v>8095.7136632211495</v>
      </c>
      <c r="C463">
        <v>7313.4926075592202</v>
      </c>
      <c r="D463">
        <v>6844.6433284177701</v>
      </c>
      <c r="E463">
        <v>8760.2195399040502</v>
      </c>
      <c r="F463">
        <v>11889.0960847858</v>
      </c>
      <c r="G463">
        <v>11092.774692139699</v>
      </c>
      <c r="H463">
        <v>22759.488436815998</v>
      </c>
      <c r="I463">
        <v>13961.469207378201</v>
      </c>
      <c r="J463">
        <v>1351.7002893210299</v>
      </c>
      <c r="K463">
        <v>1315.57854676482</v>
      </c>
      <c r="L463">
        <v>791.88866740799597</v>
      </c>
      <c r="M463">
        <v>9600.4338993600704</v>
      </c>
      <c r="N463">
        <v>1940.50091689141</v>
      </c>
      <c r="O463">
        <v>705.79952438482098</v>
      </c>
      <c r="P463">
        <v>1566.6611603450999</v>
      </c>
      <c r="Q463">
        <v>7306.5307389798099</v>
      </c>
      <c r="R463">
        <v>879.31403666298002</v>
      </c>
      <c r="S463">
        <v>341.81094305147599</v>
      </c>
      <c r="T463">
        <v>247.91894481147301</v>
      </c>
      <c r="U463">
        <v>173.25845604512301</v>
      </c>
      <c r="V463">
        <v>201.118777321132</v>
      </c>
      <c r="W463">
        <v>166.52352760008</v>
      </c>
      <c r="X463">
        <v>173.38477595169601</v>
      </c>
      <c r="Y463">
        <v>575.46019644360501</v>
      </c>
      <c r="Z463">
        <v>171.62003706746299</v>
      </c>
      <c r="AA463">
        <v>582.80462834876801</v>
      </c>
      <c r="AB463">
        <v>719.87385777293196</v>
      </c>
      <c r="AC463">
        <v>471.17295908325099</v>
      </c>
      <c r="AD463">
        <v>680.71283780800104</v>
      </c>
      <c r="AE463">
        <v>454.80224683126897</v>
      </c>
      <c r="AF463">
        <v>371.08772490441203</v>
      </c>
      <c r="AG463">
        <v>619.963754205236</v>
      </c>
    </row>
    <row r="464" spans="1:33" x14ac:dyDescent="0.25">
      <c r="A464" s="1">
        <v>44515</v>
      </c>
      <c r="B464">
        <v>8670.5371936663705</v>
      </c>
      <c r="C464">
        <v>7295.9897919360201</v>
      </c>
      <c r="D464">
        <v>7455.3767770930199</v>
      </c>
      <c r="E464">
        <v>9395.3626479094801</v>
      </c>
      <c r="F464">
        <v>12453.1789395208</v>
      </c>
      <c r="G464">
        <v>12205.736502866601</v>
      </c>
      <c r="H464">
        <v>24422.379614174301</v>
      </c>
      <c r="I464">
        <v>14213.934648222899</v>
      </c>
      <c r="J464">
        <v>1410.2142197722701</v>
      </c>
      <c r="K464">
        <v>1315.8905909694899</v>
      </c>
      <c r="L464">
        <v>847.28782728693898</v>
      </c>
      <c r="M464">
        <v>10492.731505243801</v>
      </c>
      <c r="N464">
        <v>2230.8347853408</v>
      </c>
      <c r="O464">
        <v>829.14578169677895</v>
      </c>
      <c r="P464">
        <v>1708.7069419198101</v>
      </c>
      <c r="Q464">
        <v>8336.6800397350707</v>
      </c>
      <c r="R464">
        <v>975.86968309908298</v>
      </c>
      <c r="S464">
        <v>330.94273756931</v>
      </c>
      <c r="T464">
        <v>245.86991804924401</v>
      </c>
      <c r="U464">
        <v>176.58039642444899</v>
      </c>
      <c r="V464">
        <v>229.49166417912099</v>
      </c>
      <c r="W464">
        <v>160.925418642957</v>
      </c>
      <c r="X464">
        <v>174.818364997283</v>
      </c>
      <c r="Y464">
        <v>613.78256816259204</v>
      </c>
      <c r="Z464">
        <v>172.20179333060199</v>
      </c>
      <c r="AA464">
        <v>583.10015883212395</v>
      </c>
      <c r="AB464">
        <v>710.28398452435295</v>
      </c>
      <c r="AC464">
        <v>478.54454667620399</v>
      </c>
      <c r="AD464">
        <v>729.55689785198604</v>
      </c>
      <c r="AE464">
        <v>482.10709959467903</v>
      </c>
      <c r="AF464">
        <v>372.69394428520002</v>
      </c>
      <c r="AG464">
        <v>615.970544431706</v>
      </c>
    </row>
    <row r="465" spans="1:33" x14ac:dyDescent="0.25">
      <c r="A465" s="1">
        <v>44516</v>
      </c>
      <c r="B465">
        <v>9233.7968239982492</v>
      </c>
      <c r="C465">
        <v>7300.0422201063902</v>
      </c>
      <c r="D465">
        <v>7954.3792852860797</v>
      </c>
      <c r="E465">
        <v>9896.7923389057196</v>
      </c>
      <c r="F465">
        <v>13463.3568804884</v>
      </c>
      <c r="G465">
        <v>13138.9852206874</v>
      </c>
      <c r="H465">
        <v>25270.391889030801</v>
      </c>
      <c r="I465">
        <v>14608.950725291799</v>
      </c>
      <c r="J465">
        <v>1481.5961246014101</v>
      </c>
      <c r="K465">
        <v>1314.8538920491801</v>
      </c>
      <c r="L465">
        <v>915.27760758037505</v>
      </c>
      <c r="M465">
        <v>11342.898216183299</v>
      </c>
      <c r="N465">
        <v>2619.7355337376998</v>
      </c>
      <c r="O465">
        <v>928.326121863053</v>
      </c>
      <c r="P465">
        <v>1858.4479345273701</v>
      </c>
      <c r="Q465">
        <v>9269.4511681188196</v>
      </c>
      <c r="R465">
        <v>1067.04757487706</v>
      </c>
      <c r="S465">
        <v>321.65764440317002</v>
      </c>
      <c r="T465">
        <v>250.606161801415</v>
      </c>
      <c r="U465">
        <v>174.881377180003</v>
      </c>
      <c r="V465">
        <v>242.63019444850599</v>
      </c>
      <c r="W465">
        <v>154.00545075963299</v>
      </c>
      <c r="X465">
        <v>179.93317882503601</v>
      </c>
      <c r="Y465">
        <v>619.48402364242395</v>
      </c>
      <c r="Z465">
        <v>173.161142000274</v>
      </c>
      <c r="AA465">
        <v>578.30973673750395</v>
      </c>
      <c r="AB465">
        <v>718.44906055308195</v>
      </c>
      <c r="AC465">
        <v>478.35272505578001</v>
      </c>
      <c r="AD465">
        <v>786.89015856578101</v>
      </c>
      <c r="AE465">
        <v>490.49818302879601</v>
      </c>
      <c r="AF465">
        <v>375.63195131884299</v>
      </c>
      <c r="AG465">
        <v>613.48437808604501</v>
      </c>
    </row>
    <row r="466" spans="1:33" x14ac:dyDescent="0.25">
      <c r="A466" s="1">
        <v>44517</v>
      </c>
      <c r="B466">
        <v>9649.5130025038598</v>
      </c>
      <c r="C466">
        <v>7403.8974238277096</v>
      </c>
      <c r="D466">
        <v>8472.9128948976104</v>
      </c>
      <c r="E466">
        <v>10424.9213565309</v>
      </c>
      <c r="F466">
        <v>14148.619458901399</v>
      </c>
      <c r="G466">
        <v>13925.6010700447</v>
      </c>
      <c r="H466">
        <v>25768.8756181116</v>
      </c>
      <c r="I466">
        <v>15192.9598376555</v>
      </c>
      <c r="J466">
        <v>1546.8941851253501</v>
      </c>
      <c r="K466">
        <v>1339.6769166069801</v>
      </c>
      <c r="L466">
        <v>957.64731230652205</v>
      </c>
      <c r="M466">
        <v>12097.683097160199</v>
      </c>
      <c r="N466">
        <v>3104.1770334242301</v>
      </c>
      <c r="O466">
        <v>974.62371895439003</v>
      </c>
      <c r="P466">
        <v>1975.9309304600099</v>
      </c>
      <c r="Q466">
        <v>10015.1663674312</v>
      </c>
      <c r="R466">
        <v>1123.7626971157599</v>
      </c>
      <c r="S466">
        <v>314.30932945766398</v>
      </c>
      <c r="T466">
        <v>272.12439858762002</v>
      </c>
      <c r="U466">
        <v>176.83690835300101</v>
      </c>
      <c r="V466">
        <v>279.950281277432</v>
      </c>
      <c r="W466">
        <v>153.95455521605501</v>
      </c>
      <c r="X466">
        <v>184.91267245499901</v>
      </c>
      <c r="Y466">
        <v>613.75957084771198</v>
      </c>
      <c r="Z466">
        <v>174.12790108554</v>
      </c>
      <c r="AA466">
        <v>581.13713204177895</v>
      </c>
      <c r="AB466">
        <v>715.91696679403503</v>
      </c>
      <c r="AC466">
        <v>474.889478632661</v>
      </c>
      <c r="AD466">
        <v>831.614770280632</v>
      </c>
      <c r="AE466">
        <v>501.92867630229199</v>
      </c>
      <c r="AF466">
        <v>377.86771056585502</v>
      </c>
      <c r="AG466">
        <v>611.96062808349802</v>
      </c>
    </row>
    <row r="467" spans="1:33" x14ac:dyDescent="0.25">
      <c r="A467" s="1">
        <v>44518</v>
      </c>
      <c r="B467">
        <v>10065.9904653785</v>
      </c>
      <c r="C467">
        <v>7611.2193294077597</v>
      </c>
      <c r="D467">
        <v>9003.1360722602003</v>
      </c>
      <c r="E467">
        <v>11036.9305650676</v>
      </c>
      <c r="F467">
        <v>14685.971836054199</v>
      </c>
      <c r="G467">
        <v>14616.098624500701</v>
      </c>
      <c r="H467">
        <v>26612.201306721301</v>
      </c>
      <c r="I467">
        <v>15818.0498716233</v>
      </c>
      <c r="J467">
        <v>1618.99804370318</v>
      </c>
      <c r="K467">
        <v>1363.6804213699199</v>
      </c>
      <c r="L467">
        <v>997.22983016285798</v>
      </c>
      <c r="M467">
        <v>12769.014749247001</v>
      </c>
      <c r="N467">
        <v>3731.5525985617401</v>
      </c>
      <c r="O467">
        <v>1028.2721328427101</v>
      </c>
      <c r="P467">
        <v>2109.5580192474799</v>
      </c>
      <c r="Q467">
        <v>10758.646617942701</v>
      </c>
      <c r="R467">
        <v>1172.3969964202599</v>
      </c>
      <c r="S467">
        <v>306.50785391320602</v>
      </c>
      <c r="T467">
        <v>328.68724374016301</v>
      </c>
      <c r="U467">
        <v>176.914325513948</v>
      </c>
      <c r="V467">
        <v>360.22178870127101</v>
      </c>
      <c r="W467">
        <v>145.467666380558</v>
      </c>
      <c r="X467">
        <v>212.923888062446</v>
      </c>
      <c r="Y467">
        <v>622.01791789096501</v>
      </c>
      <c r="Z467">
        <v>175.45568583640599</v>
      </c>
      <c r="AA467">
        <v>581.50240172034796</v>
      </c>
      <c r="AB467">
        <v>702.15199039296101</v>
      </c>
      <c r="AC467">
        <v>473.09543145039402</v>
      </c>
      <c r="AD467">
        <v>870.39696459834295</v>
      </c>
      <c r="AE467">
        <v>518.63920049439298</v>
      </c>
      <c r="AF467">
        <v>380.48217624274201</v>
      </c>
      <c r="AG467">
        <v>612.73111359124005</v>
      </c>
    </row>
    <row r="468" spans="1:33" x14ac:dyDescent="0.25">
      <c r="A468" s="1">
        <v>44519</v>
      </c>
      <c r="B468">
        <v>10507.403048163</v>
      </c>
      <c r="C468">
        <v>7879.3194181804902</v>
      </c>
      <c r="D468">
        <v>9441.3801495613407</v>
      </c>
      <c r="E468">
        <v>11598.4920982801</v>
      </c>
      <c r="F468">
        <v>15274.5266920666</v>
      </c>
      <c r="G468">
        <v>15074.1987501027</v>
      </c>
      <c r="H468">
        <v>27105.044271044801</v>
      </c>
      <c r="I468">
        <v>16355.6463754878</v>
      </c>
      <c r="J468">
        <v>1684.9783033558101</v>
      </c>
      <c r="K468">
        <v>1383.43529037902</v>
      </c>
      <c r="L468">
        <v>1041.38231541556</v>
      </c>
      <c r="M468">
        <v>13352.2571582092</v>
      </c>
      <c r="N468">
        <v>4323.6189966678703</v>
      </c>
      <c r="O468">
        <v>1062.7776638484099</v>
      </c>
      <c r="P468">
        <v>2244.96137410133</v>
      </c>
      <c r="Q468">
        <v>11382.113980079699</v>
      </c>
      <c r="R468">
        <v>1224.10552912871</v>
      </c>
      <c r="S468">
        <v>300.13151331650602</v>
      </c>
      <c r="T468">
        <v>403.89425231230001</v>
      </c>
      <c r="U468">
        <v>161.15412857183799</v>
      </c>
      <c r="V468">
        <v>459.17639178920399</v>
      </c>
      <c r="W468">
        <v>146.99066445818201</v>
      </c>
      <c r="X468">
        <v>257.20948115857499</v>
      </c>
      <c r="Y468">
        <v>630.96293348887696</v>
      </c>
      <c r="Z468">
        <v>176.137644018895</v>
      </c>
      <c r="AA468">
        <v>579.79584230147498</v>
      </c>
      <c r="AB468">
        <v>694.48884746488704</v>
      </c>
      <c r="AC468">
        <v>472.29542930330803</v>
      </c>
      <c r="AD468">
        <v>907.40396013066299</v>
      </c>
      <c r="AE468">
        <v>527.20934746967703</v>
      </c>
      <c r="AF468">
        <v>383.15035391132</v>
      </c>
      <c r="AG468">
        <v>614.16715331908597</v>
      </c>
    </row>
    <row r="469" spans="1:33" x14ac:dyDescent="0.25">
      <c r="A469" s="1">
        <v>44520</v>
      </c>
      <c r="B469">
        <v>10831.641023702399</v>
      </c>
      <c r="C469">
        <v>8354.4959366860203</v>
      </c>
      <c r="D469">
        <v>9538.5383094649296</v>
      </c>
      <c r="E469">
        <v>11858.3270555943</v>
      </c>
      <c r="F469">
        <v>15379.915577760699</v>
      </c>
      <c r="G469">
        <v>14782.394324728801</v>
      </c>
      <c r="H469">
        <v>26416.3818225178</v>
      </c>
      <c r="I469">
        <v>16875.2091231005</v>
      </c>
      <c r="J469">
        <v>1720.6616561348201</v>
      </c>
      <c r="K469">
        <v>1398.8290409179201</v>
      </c>
      <c r="L469">
        <v>1041.5024069833401</v>
      </c>
      <c r="M469">
        <v>13168.8851265585</v>
      </c>
      <c r="N469">
        <v>4262.6059142712502</v>
      </c>
      <c r="O469">
        <v>1024.65732486256</v>
      </c>
      <c r="P469">
        <v>2235.3500488059299</v>
      </c>
      <c r="Q469">
        <v>11157.638734362899</v>
      </c>
      <c r="R469">
        <v>1215.6407834593299</v>
      </c>
      <c r="S469">
        <v>298.197515853364</v>
      </c>
      <c r="T469">
        <v>433.72249713955699</v>
      </c>
      <c r="U469">
        <v>147.805222591925</v>
      </c>
      <c r="V469">
        <v>515.00436205882704</v>
      </c>
      <c r="W469">
        <v>159.91017158823701</v>
      </c>
      <c r="X469">
        <v>288.78204145485802</v>
      </c>
      <c r="Y469">
        <v>620.35861000487296</v>
      </c>
      <c r="Z469">
        <v>175.10654542735099</v>
      </c>
      <c r="AA469">
        <v>578.23942882889196</v>
      </c>
      <c r="AB469">
        <v>684.60192202264295</v>
      </c>
      <c r="AC469">
        <v>473.899091603508</v>
      </c>
      <c r="AD469">
        <v>900.36884595715401</v>
      </c>
      <c r="AE469">
        <v>539.57469658111404</v>
      </c>
      <c r="AF469">
        <v>383.85605539027301</v>
      </c>
      <c r="AG469">
        <v>615.52142848628603</v>
      </c>
    </row>
    <row r="470" spans="1:33" x14ac:dyDescent="0.25">
      <c r="A470" s="1">
        <v>44521</v>
      </c>
      <c r="B470">
        <v>11059.2489252</v>
      </c>
      <c r="C470">
        <v>8838.1954492757195</v>
      </c>
      <c r="D470">
        <v>9756.9979656621108</v>
      </c>
      <c r="E470">
        <v>12079.782034694699</v>
      </c>
      <c r="F470">
        <v>15191.120669481301</v>
      </c>
      <c r="G470">
        <v>14633.1448390614</v>
      </c>
      <c r="H470">
        <v>25810.183742011999</v>
      </c>
      <c r="I470">
        <v>17157.810663562301</v>
      </c>
      <c r="J470">
        <v>1741.1154529426899</v>
      </c>
      <c r="K470">
        <v>1426.1159957698401</v>
      </c>
      <c r="L470">
        <v>1025.9050043386701</v>
      </c>
      <c r="M470">
        <v>13098.699536209</v>
      </c>
      <c r="N470">
        <v>4273.8273771824297</v>
      </c>
      <c r="O470">
        <v>953.80247744763506</v>
      </c>
      <c r="P470">
        <v>2222.8452744664401</v>
      </c>
      <c r="Q470">
        <v>10903.129145348499</v>
      </c>
      <c r="R470">
        <v>1182.5498369565</v>
      </c>
      <c r="S470">
        <v>296.212310338446</v>
      </c>
      <c r="T470">
        <v>445.100620311081</v>
      </c>
      <c r="U470">
        <v>159.91142120369199</v>
      </c>
      <c r="V470">
        <v>528.36580683662498</v>
      </c>
      <c r="W470">
        <v>160.71132989963499</v>
      </c>
      <c r="X470">
        <v>291.99102151409301</v>
      </c>
      <c r="Y470">
        <v>622.96902762580601</v>
      </c>
      <c r="Z470">
        <v>174.454775538511</v>
      </c>
      <c r="AA470">
        <v>578.43239521298506</v>
      </c>
      <c r="AB470">
        <v>680.98279426854197</v>
      </c>
      <c r="AC470">
        <v>475.970198099659</v>
      </c>
      <c r="AD470">
        <v>883.260044294164</v>
      </c>
      <c r="AE470">
        <v>542.96272688599697</v>
      </c>
      <c r="AF470">
        <v>384.34657788513601</v>
      </c>
      <c r="AG470">
        <v>617.10521093156001</v>
      </c>
    </row>
    <row r="471" spans="1:33" x14ac:dyDescent="0.25">
      <c r="A471" s="1">
        <v>44522</v>
      </c>
      <c r="B471">
        <v>11389.1848976361</v>
      </c>
      <c r="C471">
        <v>9364.7530569059309</v>
      </c>
      <c r="D471">
        <v>10299.5230664685</v>
      </c>
      <c r="E471">
        <v>12742.187028771899</v>
      </c>
      <c r="F471">
        <v>15130.6254536204</v>
      </c>
      <c r="G471">
        <v>15237.526798639399</v>
      </c>
      <c r="H471">
        <v>26951.2863477873</v>
      </c>
      <c r="I471">
        <v>17367.4656288732</v>
      </c>
      <c r="J471">
        <v>1780.05022351001</v>
      </c>
      <c r="K471">
        <v>1467.4043868465101</v>
      </c>
      <c r="L471">
        <v>1051.1729032037099</v>
      </c>
      <c r="M471">
        <v>13692.115508867601</v>
      </c>
      <c r="N471">
        <v>4848.0464229486897</v>
      </c>
      <c r="O471">
        <v>969.92810644494705</v>
      </c>
      <c r="P471">
        <v>2391.8408371820901</v>
      </c>
      <c r="Q471">
        <v>11538.240265021899</v>
      </c>
      <c r="R471">
        <v>1219.5620989331201</v>
      </c>
      <c r="S471">
        <v>292.18226825744102</v>
      </c>
      <c r="T471">
        <v>559.934188470599</v>
      </c>
      <c r="U471">
        <v>160.96086119379399</v>
      </c>
      <c r="V471">
        <v>707.44052373951104</v>
      </c>
      <c r="W471">
        <v>161.071160326908</v>
      </c>
      <c r="X471">
        <v>413.29093182978698</v>
      </c>
      <c r="Y471">
        <v>635.71260779281704</v>
      </c>
      <c r="Z471">
        <v>174.811269266138</v>
      </c>
      <c r="AA471">
        <v>578.12760147753602</v>
      </c>
      <c r="AB471">
        <v>681.70207253522801</v>
      </c>
      <c r="AC471">
        <v>475.879270618036</v>
      </c>
      <c r="AD471">
        <v>915.251963265271</v>
      </c>
      <c r="AE471">
        <v>557.84453241718404</v>
      </c>
      <c r="AF471">
        <v>386.58959100763599</v>
      </c>
      <c r="AG471">
        <v>618.57052178022695</v>
      </c>
    </row>
    <row r="472" spans="1:33" x14ac:dyDescent="0.25">
      <c r="A472" s="1">
        <v>44523</v>
      </c>
      <c r="B472">
        <v>11812.1576925923</v>
      </c>
      <c r="C472">
        <v>9836.1187601637703</v>
      </c>
      <c r="D472">
        <v>10662.9085525025</v>
      </c>
      <c r="E472">
        <v>13180.244173605</v>
      </c>
      <c r="F472">
        <v>15717.515899944399</v>
      </c>
      <c r="G472">
        <v>15801.0785458604</v>
      </c>
      <c r="H472">
        <v>27924.778627968601</v>
      </c>
      <c r="I472">
        <v>17576.9740454526</v>
      </c>
      <c r="J472">
        <v>1836.81989589669</v>
      </c>
      <c r="K472">
        <v>1483.98528069644</v>
      </c>
      <c r="L472">
        <v>1081.22468702735</v>
      </c>
      <c r="M472">
        <v>14287.550613129401</v>
      </c>
      <c r="N472">
        <v>5283.1188874842501</v>
      </c>
      <c r="O472">
        <v>1066.49983812646</v>
      </c>
      <c r="P472">
        <v>2517.5356312335098</v>
      </c>
      <c r="Q472">
        <v>12053.7076029869</v>
      </c>
      <c r="R472">
        <v>1310.21949676538</v>
      </c>
      <c r="S472">
        <v>287.40393644867999</v>
      </c>
      <c r="T472">
        <v>638.69485083913105</v>
      </c>
      <c r="U472">
        <v>162.90386829203501</v>
      </c>
      <c r="V472">
        <v>780.18903800808505</v>
      </c>
      <c r="W472">
        <v>161.02149278958899</v>
      </c>
      <c r="X472">
        <v>449.60084700868498</v>
      </c>
      <c r="Y472">
        <v>647.74192398424998</v>
      </c>
      <c r="Z472">
        <v>176.48974326730499</v>
      </c>
      <c r="AA472">
        <v>581.05383647894905</v>
      </c>
      <c r="AB472">
        <v>696.18844786578302</v>
      </c>
      <c r="AC472">
        <v>476.23258655282802</v>
      </c>
      <c r="AD472">
        <v>940.40817395104705</v>
      </c>
      <c r="AE472">
        <v>578.52327778168399</v>
      </c>
      <c r="AF472">
        <v>389.019437124528</v>
      </c>
      <c r="AG472">
        <v>618.52767517724806</v>
      </c>
    </row>
    <row r="473" spans="1:33" x14ac:dyDescent="0.25">
      <c r="A473" s="1">
        <v>44524</v>
      </c>
      <c r="B473">
        <v>12062.060412516899</v>
      </c>
      <c r="C473">
        <v>10361.238794663201</v>
      </c>
      <c r="D473">
        <v>10578.7808523536</v>
      </c>
      <c r="E473">
        <v>13158.958495425401</v>
      </c>
      <c r="F473">
        <v>15762.1072975556</v>
      </c>
      <c r="G473">
        <v>15184.1835637773</v>
      </c>
      <c r="H473">
        <v>27186.400265046999</v>
      </c>
      <c r="I473">
        <v>18053.109403725499</v>
      </c>
      <c r="J473">
        <v>1840.8630507211501</v>
      </c>
      <c r="K473">
        <v>1494.3785075314599</v>
      </c>
      <c r="L473">
        <v>1061.91661778804</v>
      </c>
      <c r="M473">
        <v>13664.017188714901</v>
      </c>
      <c r="N473">
        <v>4784.5261705255698</v>
      </c>
      <c r="O473">
        <v>1052.59227450613</v>
      </c>
      <c r="P473">
        <v>2507.4143532002399</v>
      </c>
      <c r="Q473">
        <v>11542.424143318</v>
      </c>
      <c r="R473">
        <v>1297.18096201511</v>
      </c>
      <c r="S473">
        <v>283.94067662494098</v>
      </c>
      <c r="T473">
        <v>562.05166350994205</v>
      </c>
      <c r="U473">
        <v>163.44352956105101</v>
      </c>
      <c r="V473">
        <v>479.10677827299298</v>
      </c>
      <c r="W473">
        <v>168.872939859181</v>
      </c>
      <c r="X473">
        <v>212.70665412651701</v>
      </c>
      <c r="Y473">
        <v>643.07720495865703</v>
      </c>
      <c r="Z473">
        <v>179.84278905498701</v>
      </c>
      <c r="AA473">
        <v>588.61415462620403</v>
      </c>
      <c r="AB473">
        <v>694.13606684518595</v>
      </c>
      <c r="AC473">
        <v>478.20618676548702</v>
      </c>
      <c r="AD473">
        <v>927.19003213013104</v>
      </c>
      <c r="AE473">
        <v>594.202771580648</v>
      </c>
      <c r="AF473">
        <v>388.64575184525199</v>
      </c>
      <c r="AG473">
        <v>620.34687416389295</v>
      </c>
    </row>
    <row r="474" spans="1:33" x14ac:dyDescent="0.25">
      <c r="A474" s="1">
        <v>44525</v>
      </c>
      <c r="B474">
        <v>12277.908083833199</v>
      </c>
      <c r="C474">
        <v>10890.2681391964</v>
      </c>
      <c r="D474">
        <v>10500.985102431299</v>
      </c>
      <c r="E474">
        <v>13063.629818058</v>
      </c>
      <c r="F474">
        <v>15183.160190983101</v>
      </c>
      <c r="G474">
        <v>14727.158803515</v>
      </c>
      <c r="H474">
        <v>26633.245487837601</v>
      </c>
      <c r="I474">
        <v>18157.008400806601</v>
      </c>
      <c r="J474">
        <v>1835.8237437304399</v>
      </c>
      <c r="K474">
        <v>1537.0088392502601</v>
      </c>
      <c r="L474">
        <v>1051.36593252287</v>
      </c>
      <c r="M474">
        <v>13148.2447533636</v>
      </c>
      <c r="N474">
        <v>4194.2914021892402</v>
      </c>
      <c r="O474">
        <v>1011.8510299404001</v>
      </c>
      <c r="P474">
        <v>2375.37410513642</v>
      </c>
      <c r="Q474">
        <v>10875.5917458114</v>
      </c>
      <c r="R474">
        <v>1252.0933576534801</v>
      </c>
      <c r="S474">
        <v>285.95366034075602</v>
      </c>
      <c r="T474">
        <v>454.94336739569798</v>
      </c>
      <c r="U474">
        <v>163.53919437502699</v>
      </c>
      <c r="V474">
        <v>407.708246375182</v>
      </c>
      <c r="W474">
        <v>171.13128311720101</v>
      </c>
      <c r="X474">
        <v>198.42285999538399</v>
      </c>
      <c r="Y474">
        <v>630.83585192288297</v>
      </c>
      <c r="Z474">
        <v>178.02375739089999</v>
      </c>
      <c r="AA474">
        <v>595.45483920881804</v>
      </c>
      <c r="AB474">
        <v>678.28596008953605</v>
      </c>
      <c r="AC474">
        <v>479.60881023458597</v>
      </c>
      <c r="AD474">
        <v>917.26346813388898</v>
      </c>
      <c r="AE474">
        <v>585.39111194253405</v>
      </c>
      <c r="AF474">
        <v>388.7289910188</v>
      </c>
      <c r="AG474">
        <v>624.15997909367195</v>
      </c>
    </row>
    <row r="475" spans="1:33" x14ac:dyDescent="0.25">
      <c r="A475" s="1">
        <v>44526</v>
      </c>
      <c r="B475">
        <v>12634.1735123424</v>
      </c>
      <c r="C475">
        <v>11209.3408175652</v>
      </c>
      <c r="D475">
        <v>10845.9809372745</v>
      </c>
      <c r="E475">
        <v>13391.141539500701</v>
      </c>
      <c r="F475">
        <v>14972.1644599721</v>
      </c>
      <c r="G475">
        <v>14816.515857988899</v>
      </c>
      <c r="H475">
        <v>27282.027273942502</v>
      </c>
      <c r="I475">
        <v>18051.698908809802</v>
      </c>
      <c r="J475">
        <v>1846.51677000922</v>
      </c>
      <c r="K475">
        <v>1558.52664517834</v>
      </c>
      <c r="L475">
        <v>1061.31538919639</v>
      </c>
      <c r="M475">
        <v>13206.580705967401</v>
      </c>
      <c r="N475">
        <v>4137.6388874104696</v>
      </c>
      <c r="O475">
        <v>1021.16970690392</v>
      </c>
      <c r="P475">
        <v>2365.3706530818199</v>
      </c>
      <c r="Q475">
        <v>10862.2997538708</v>
      </c>
      <c r="R475">
        <v>1252.9523268257401</v>
      </c>
      <c r="S475">
        <v>283.96963172647497</v>
      </c>
      <c r="T475">
        <v>445.81493642470599</v>
      </c>
      <c r="U475">
        <v>167.85728865435499</v>
      </c>
      <c r="V475">
        <v>513.91176860413498</v>
      </c>
      <c r="W475">
        <v>170.19597471491301</v>
      </c>
      <c r="X475">
        <v>273.24430318322197</v>
      </c>
      <c r="Y475">
        <v>636.29478250099703</v>
      </c>
      <c r="Z475">
        <v>172.79185481030001</v>
      </c>
      <c r="AA475">
        <v>600.25457040495598</v>
      </c>
      <c r="AB475">
        <v>686.94553201390795</v>
      </c>
      <c r="AC475">
        <v>482.29086569236</v>
      </c>
      <c r="AD475">
        <v>925.20143646047302</v>
      </c>
      <c r="AE475">
        <v>589.90898782471595</v>
      </c>
      <c r="AF475">
        <v>389.55400654190299</v>
      </c>
      <c r="AG475">
        <v>630.22249876419903</v>
      </c>
    </row>
    <row r="476" spans="1:33" x14ac:dyDescent="0.25">
      <c r="A476" s="1">
        <v>44527</v>
      </c>
      <c r="B476">
        <v>13129.845382137701</v>
      </c>
      <c r="C476">
        <v>11248.654933940499</v>
      </c>
      <c r="D476">
        <v>11195.562049757</v>
      </c>
      <c r="E476">
        <v>13634.840425693699</v>
      </c>
      <c r="F476">
        <v>15498.5918155934</v>
      </c>
      <c r="G476">
        <v>15296.540117987901</v>
      </c>
      <c r="H476">
        <v>27676.280606268701</v>
      </c>
      <c r="I476">
        <v>18041.091827187101</v>
      </c>
      <c r="J476">
        <v>1865.87402186551</v>
      </c>
      <c r="K476">
        <v>1577.5106858326001</v>
      </c>
      <c r="L476">
        <v>1064.27404845863</v>
      </c>
      <c r="M476">
        <v>13423.284712922599</v>
      </c>
      <c r="N476">
        <v>4168.2292228586603</v>
      </c>
      <c r="O476">
        <v>1029.69445060782</v>
      </c>
      <c r="P476">
        <v>2364.62732067364</v>
      </c>
      <c r="Q476">
        <v>11319.8651091665</v>
      </c>
      <c r="R476">
        <v>1255.85781789983</v>
      </c>
      <c r="S476">
        <v>280.40932422876199</v>
      </c>
      <c r="T476">
        <v>453.66610492341601</v>
      </c>
      <c r="U476">
        <v>171.41839105992199</v>
      </c>
      <c r="V476">
        <v>562.08666923603096</v>
      </c>
      <c r="W476">
        <v>175.990144276878</v>
      </c>
      <c r="X476">
        <v>333.82391681094202</v>
      </c>
      <c r="Y476">
        <v>643.65302351867604</v>
      </c>
      <c r="Z476">
        <v>166.32286988039601</v>
      </c>
      <c r="AA476">
        <v>604.053593178906</v>
      </c>
      <c r="AB476">
        <v>696.54209899487603</v>
      </c>
      <c r="AC476">
        <v>487.60439238780401</v>
      </c>
      <c r="AD476">
        <v>920.84021216722795</v>
      </c>
      <c r="AE476">
        <v>588.67494592125195</v>
      </c>
      <c r="AF476">
        <v>390.51635657021097</v>
      </c>
      <c r="AG476">
        <v>637.49071038002501</v>
      </c>
    </row>
    <row r="477" spans="1:33" x14ac:dyDescent="0.25">
      <c r="A477" s="1">
        <v>44528</v>
      </c>
      <c r="B477">
        <v>13459.2507337678</v>
      </c>
      <c r="C477">
        <v>11184.9123733829</v>
      </c>
      <c r="D477">
        <v>11200.1970738404</v>
      </c>
      <c r="E477">
        <v>13584.328858373699</v>
      </c>
      <c r="F477">
        <v>15742.343391255499</v>
      </c>
      <c r="G477">
        <v>15109.983394627099</v>
      </c>
      <c r="H477">
        <v>26966.804322504198</v>
      </c>
      <c r="I477">
        <v>18119.020863308298</v>
      </c>
      <c r="J477">
        <v>1860.0027478117199</v>
      </c>
      <c r="K477">
        <v>1597.23258468681</v>
      </c>
      <c r="L477">
        <v>1039.19096180216</v>
      </c>
      <c r="M477">
        <v>13242.617534969</v>
      </c>
      <c r="N477">
        <v>3907.2306441864098</v>
      </c>
      <c r="O477">
        <v>945.20926184952395</v>
      </c>
      <c r="P477">
        <v>2290.3265757991699</v>
      </c>
      <c r="Q477">
        <v>11125.0500886098</v>
      </c>
      <c r="R477">
        <v>1211.01211616624</v>
      </c>
      <c r="S477">
        <v>279.46317146001002</v>
      </c>
      <c r="T477">
        <v>432.48823369981</v>
      </c>
      <c r="U477">
        <v>174.79173324327499</v>
      </c>
      <c r="V477">
        <v>503.66603719174998</v>
      </c>
      <c r="W477">
        <v>172.46994139582401</v>
      </c>
      <c r="X477">
        <v>299.38533659817398</v>
      </c>
      <c r="Y477">
        <v>631.49338795362701</v>
      </c>
      <c r="Z477">
        <v>163.23092083228099</v>
      </c>
      <c r="AA477">
        <v>613.57674273648297</v>
      </c>
      <c r="AB477">
        <v>697.85979813956203</v>
      </c>
      <c r="AC477">
        <v>500.62873458881199</v>
      </c>
      <c r="AD477">
        <v>897.54051720400105</v>
      </c>
      <c r="AE477">
        <v>600.30971001011903</v>
      </c>
      <c r="AF477">
        <v>391.660753505228</v>
      </c>
      <c r="AG477">
        <v>642.050335842398</v>
      </c>
    </row>
    <row r="478" spans="1:33" x14ac:dyDescent="0.25">
      <c r="A478" s="1">
        <v>44529</v>
      </c>
      <c r="B478">
        <v>13819.185306707301</v>
      </c>
      <c r="C478">
        <v>11106.1691295537</v>
      </c>
      <c r="D478">
        <v>11467.492337526401</v>
      </c>
      <c r="E478">
        <v>13856.4812132322</v>
      </c>
      <c r="F478">
        <v>15990.727103875601</v>
      </c>
      <c r="G478">
        <v>15540.535549214999</v>
      </c>
      <c r="H478">
        <v>27510.495716864199</v>
      </c>
      <c r="I478">
        <v>18259.287680432601</v>
      </c>
      <c r="J478">
        <v>1883.4779488583399</v>
      </c>
      <c r="K478">
        <v>1618.6381600917</v>
      </c>
      <c r="L478">
        <v>1035.81716530473</v>
      </c>
      <c r="M478">
        <v>13553.326398540899</v>
      </c>
      <c r="N478">
        <v>4165.0333261886099</v>
      </c>
      <c r="O478">
        <v>952.47523415090495</v>
      </c>
      <c r="P478">
        <v>2325.7678223132398</v>
      </c>
      <c r="Q478">
        <v>11401.2519234259</v>
      </c>
      <c r="R478">
        <v>1206.16078248806</v>
      </c>
      <c r="S478">
        <v>278.232914518342</v>
      </c>
      <c r="T478">
        <v>461.17295892485998</v>
      </c>
      <c r="U478">
        <v>173.487826217405</v>
      </c>
      <c r="V478">
        <v>553.92086455326501</v>
      </c>
      <c r="W478">
        <v>176.89800276760599</v>
      </c>
      <c r="X478">
        <v>327.54337050446702</v>
      </c>
      <c r="Y478">
        <v>639.96313453289702</v>
      </c>
      <c r="Z478">
        <v>163.02109683725701</v>
      </c>
      <c r="AA478">
        <v>621.58286505143599</v>
      </c>
      <c r="AB478">
        <v>709.98155532685905</v>
      </c>
      <c r="AC478">
        <v>511.50863242024002</v>
      </c>
      <c r="AD478">
        <v>896.61662940402903</v>
      </c>
      <c r="AE478">
        <v>607.84178023238906</v>
      </c>
      <c r="AF478">
        <v>393.11983567362699</v>
      </c>
      <c r="AG478">
        <v>643.56779187391703</v>
      </c>
    </row>
    <row r="479" spans="1:33" x14ac:dyDescent="0.25">
      <c r="A479" s="1">
        <v>44530</v>
      </c>
      <c r="B479">
        <v>14101.827445365299</v>
      </c>
      <c r="C479">
        <v>11537.027225731401</v>
      </c>
      <c r="D479">
        <v>10915.0250668482</v>
      </c>
      <c r="E479">
        <v>14085.4363786087</v>
      </c>
      <c r="F479">
        <v>16585.7377596732</v>
      </c>
      <c r="G479">
        <v>16202.7773266729</v>
      </c>
      <c r="H479">
        <v>27874.853724443401</v>
      </c>
      <c r="I479">
        <v>18506.3858177359</v>
      </c>
      <c r="J479">
        <v>1932.87179959936</v>
      </c>
      <c r="K479">
        <v>1637.7213770448</v>
      </c>
      <c r="L479">
        <v>1056.8054014647901</v>
      </c>
      <c r="M479">
        <v>14221.5368203292</v>
      </c>
      <c r="N479">
        <v>4742.5915536910597</v>
      </c>
      <c r="O479">
        <v>1012.68045961883</v>
      </c>
      <c r="P479">
        <v>2450.3037608077202</v>
      </c>
      <c r="Q479">
        <v>12006.497994769799</v>
      </c>
      <c r="R479">
        <v>1249.8448542021199</v>
      </c>
      <c r="S479">
        <v>276.74847790594299</v>
      </c>
      <c r="T479">
        <v>535.59401126382204</v>
      </c>
      <c r="U479">
        <v>176.22276023619801</v>
      </c>
      <c r="V479">
        <v>631.434592995191</v>
      </c>
      <c r="W479">
        <v>177.925597246488</v>
      </c>
      <c r="X479">
        <v>365.33473941359603</v>
      </c>
      <c r="Y479">
        <v>661.06734873985704</v>
      </c>
      <c r="Z479">
        <v>164.08780866928601</v>
      </c>
      <c r="AA479">
        <v>628.48476492339796</v>
      </c>
      <c r="AB479">
        <v>726.3845119412</v>
      </c>
      <c r="AC479">
        <v>518.87042857797496</v>
      </c>
      <c r="AD479">
        <v>915.41577117605198</v>
      </c>
      <c r="AE479">
        <v>614.42964641399305</v>
      </c>
      <c r="AF479">
        <v>394.78350444241102</v>
      </c>
      <c r="AG479">
        <v>643.82107659491101</v>
      </c>
    </row>
    <row r="480" spans="1:33" x14ac:dyDescent="0.25">
      <c r="A480" s="1">
        <v>44531</v>
      </c>
      <c r="B480">
        <v>13955.674623884701</v>
      </c>
      <c r="C480">
        <v>11434.324803007799</v>
      </c>
      <c r="D480">
        <v>10562.77796999</v>
      </c>
      <c r="E480">
        <v>14005.631936809799</v>
      </c>
      <c r="F480">
        <v>17172.037504067401</v>
      </c>
      <c r="G480">
        <v>16733.606765146498</v>
      </c>
      <c r="H480">
        <v>27941.618124193301</v>
      </c>
      <c r="I480">
        <v>18924.083153310901</v>
      </c>
      <c r="J480">
        <v>1998.9299604514399</v>
      </c>
      <c r="K480">
        <v>1659.96325141036</v>
      </c>
      <c r="L480">
        <v>1083.33599859584</v>
      </c>
      <c r="M480">
        <v>14786.2687135177</v>
      </c>
      <c r="N480">
        <v>5192.6973348323299</v>
      </c>
      <c r="O480">
        <v>1101.49812089938</v>
      </c>
      <c r="P480">
        <v>2584.5280619906898</v>
      </c>
      <c r="Q480">
        <v>12622.502813889299</v>
      </c>
      <c r="R480">
        <v>1303.7384035489999</v>
      </c>
      <c r="S480">
        <v>276.085215760952</v>
      </c>
      <c r="T480">
        <v>606.99341775428604</v>
      </c>
      <c r="U480">
        <v>177.51446893838499</v>
      </c>
      <c r="V480">
        <v>664.24606696426395</v>
      </c>
      <c r="W480">
        <v>171.431907263537</v>
      </c>
      <c r="X480">
        <v>337.36094629476798</v>
      </c>
      <c r="Y480">
        <v>669.09484180448396</v>
      </c>
      <c r="Z480">
        <v>165.78004554461799</v>
      </c>
      <c r="AA480">
        <v>636.27330766107605</v>
      </c>
      <c r="AB480">
        <v>737.06877876394196</v>
      </c>
      <c r="AC480">
        <v>525.25850667156806</v>
      </c>
      <c r="AD480">
        <v>936.84509839452801</v>
      </c>
      <c r="AE480">
        <v>594.128631063375</v>
      </c>
      <c r="AF480">
        <v>396.676440514636</v>
      </c>
      <c r="AG480">
        <v>645.63195155533595</v>
      </c>
    </row>
    <row r="481" spans="1:33" x14ac:dyDescent="0.25">
      <c r="A481" s="1">
        <v>44532</v>
      </c>
      <c r="B481">
        <v>13621.3082515322</v>
      </c>
      <c r="C481">
        <v>11717.4408909989</v>
      </c>
      <c r="D481">
        <v>10792.111757013499</v>
      </c>
      <c r="E481">
        <v>13827.182294162199</v>
      </c>
      <c r="F481">
        <v>17832.9815726792</v>
      </c>
      <c r="G481">
        <v>17989.604658839598</v>
      </c>
      <c r="H481">
        <v>28911.098865736301</v>
      </c>
      <c r="I481">
        <v>19467.476822765999</v>
      </c>
      <c r="J481">
        <v>2108.59134451203</v>
      </c>
      <c r="K481">
        <v>1687.3166028853</v>
      </c>
      <c r="L481">
        <v>1154.48033427719</v>
      </c>
      <c r="M481">
        <v>15953.686730490799</v>
      </c>
      <c r="N481">
        <v>6197.2020736751901</v>
      </c>
      <c r="O481">
        <v>1233.5369780215699</v>
      </c>
      <c r="P481">
        <v>2917.0309693137401</v>
      </c>
      <c r="Q481">
        <v>13934.7330587264</v>
      </c>
      <c r="R481">
        <v>1427.01326897955</v>
      </c>
      <c r="S481">
        <v>275.89952576269297</v>
      </c>
      <c r="T481">
        <v>801.78890281870304</v>
      </c>
      <c r="U481">
        <v>177.559461333092</v>
      </c>
      <c r="V481">
        <v>893.54253890888504</v>
      </c>
      <c r="W481">
        <v>169.40722071291501</v>
      </c>
      <c r="X481">
        <v>480.12902242399298</v>
      </c>
      <c r="Y481">
        <v>686.99941553618498</v>
      </c>
      <c r="Z481">
        <v>172.38818343855399</v>
      </c>
      <c r="AA481">
        <v>640.80606802106797</v>
      </c>
      <c r="AB481">
        <v>745.32408690871102</v>
      </c>
      <c r="AC481">
        <v>527.33500133230098</v>
      </c>
      <c r="AD481">
        <v>1008.14451802659</v>
      </c>
      <c r="AE481">
        <v>562.69317547453602</v>
      </c>
      <c r="AF481">
        <v>398.95846287099198</v>
      </c>
      <c r="AG481">
        <v>652.04971662365699</v>
      </c>
    </row>
    <row r="482" spans="1:33" x14ac:dyDescent="0.25">
      <c r="A482" s="1">
        <v>44533</v>
      </c>
      <c r="B482">
        <v>13232.569746270799</v>
      </c>
      <c r="C482">
        <v>12704.1599860307</v>
      </c>
      <c r="D482">
        <v>11037.4956106927</v>
      </c>
      <c r="E482">
        <v>13744.090398643501</v>
      </c>
      <c r="F482">
        <v>18932.873454009899</v>
      </c>
      <c r="G482">
        <v>19215.4909092542</v>
      </c>
      <c r="H482">
        <v>30412.6777894718</v>
      </c>
      <c r="I482">
        <v>19973.215324659901</v>
      </c>
      <c r="J482">
        <v>2280.2299746457502</v>
      </c>
      <c r="K482">
        <v>1726.85832616885</v>
      </c>
      <c r="L482">
        <v>1265.27859740597</v>
      </c>
      <c r="M482">
        <v>17240.513550160202</v>
      </c>
      <c r="N482">
        <v>7517.4371741505302</v>
      </c>
      <c r="O482">
        <v>1388.4805052977699</v>
      </c>
      <c r="P482">
        <v>3374.97646671744</v>
      </c>
      <c r="Q482">
        <v>15323.3162437438</v>
      </c>
      <c r="R482">
        <v>1591.7237368460501</v>
      </c>
      <c r="S482">
        <v>278.62816298727</v>
      </c>
      <c r="T482">
        <v>1167.8120955576101</v>
      </c>
      <c r="U482">
        <v>177.361709552793</v>
      </c>
      <c r="V482">
        <v>1235.58724220267</v>
      </c>
      <c r="W482">
        <v>168.947535324906</v>
      </c>
      <c r="X482">
        <v>673.68930705211005</v>
      </c>
      <c r="Y482">
        <v>699.86443613313702</v>
      </c>
      <c r="Z482">
        <v>185.44068736857199</v>
      </c>
      <c r="AA482">
        <v>647.75619795396005</v>
      </c>
      <c r="AB482">
        <v>747.19485895015703</v>
      </c>
      <c r="AC482">
        <v>527.27375549239298</v>
      </c>
      <c r="AD482">
        <v>1108.82207379079</v>
      </c>
      <c r="AE482">
        <v>556.44638347091495</v>
      </c>
      <c r="AF482">
        <v>401.83310516594298</v>
      </c>
      <c r="AG482">
        <v>662.20396841058005</v>
      </c>
    </row>
    <row r="483" spans="1:33" x14ac:dyDescent="0.25">
      <c r="A483" s="1">
        <v>44534</v>
      </c>
      <c r="B483">
        <v>13005.4059606313</v>
      </c>
      <c r="C483">
        <v>14160.6218923919</v>
      </c>
      <c r="D483">
        <v>11344.9229273972</v>
      </c>
      <c r="E483">
        <v>13705.497794815799</v>
      </c>
      <c r="F483">
        <v>19474.868154314201</v>
      </c>
      <c r="G483">
        <v>19120.4186222383</v>
      </c>
      <c r="H483">
        <v>30121.5170198712</v>
      </c>
      <c r="I483">
        <v>20693.488261995499</v>
      </c>
      <c r="J483">
        <v>2381.75226909919</v>
      </c>
      <c r="K483">
        <v>1773.4165276133399</v>
      </c>
      <c r="L483">
        <v>1313.2869137847899</v>
      </c>
      <c r="M483">
        <v>17349.102408600302</v>
      </c>
      <c r="N483">
        <v>7810.8263129484503</v>
      </c>
      <c r="O483">
        <v>1434.3477816746499</v>
      </c>
      <c r="P483">
        <v>3520.6691666810402</v>
      </c>
      <c r="Q483">
        <v>15471.453001242</v>
      </c>
      <c r="R483">
        <v>1640.2664594334101</v>
      </c>
      <c r="S483">
        <v>283.84108646899102</v>
      </c>
      <c r="T483">
        <v>1258.71859659134</v>
      </c>
      <c r="U483">
        <v>177.329571564742</v>
      </c>
      <c r="V483">
        <v>1215.88043177175</v>
      </c>
      <c r="W483">
        <v>170.158247754787</v>
      </c>
      <c r="X483">
        <v>627.37897045031195</v>
      </c>
      <c r="Y483">
        <v>701.55217922704196</v>
      </c>
      <c r="Z483">
        <v>196.26451538987899</v>
      </c>
      <c r="AA483">
        <v>660.627461745083</v>
      </c>
      <c r="AB483">
        <v>747.20954651488296</v>
      </c>
      <c r="AC483">
        <v>532.66883091767397</v>
      </c>
      <c r="AD483">
        <v>1146.12125290578</v>
      </c>
      <c r="AE483">
        <v>551.63858223840998</v>
      </c>
      <c r="AF483">
        <v>404.35664231031097</v>
      </c>
      <c r="AG483">
        <v>669.73246246156396</v>
      </c>
    </row>
    <row r="484" spans="1:33" x14ac:dyDescent="0.25">
      <c r="A484" s="1">
        <v>44535</v>
      </c>
      <c r="B484">
        <v>12743.2470359828</v>
      </c>
      <c r="C484">
        <v>14081.6240054717</v>
      </c>
      <c r="D484">
        <v>11820.669632610699</v>
      </c>
      <c r="E484">
        <v>13664.446118976501</v>
      </c>
      <c r="F484">
        <v>18897.7044926536</v>
      </c>
      <c r="G484">
        <v>18311.231023956901</v>
      </c>
      <c r="H484">
        <v>29070.591856901701</v>
      </c>
      <c r="I484">
        <v>21214.991896970801</v>
      </c>
      <c r="J484">
        <v>2405.11175499416</v>
      </c>
      <c r="K484">
        <v>1835.0683540800901</v>
      </c>
      <c r="L484">
        <v>1291.5324910868101</v>
      </c>
      <c r="M484">
        <v>16599.818802220099</v>
      </c>
      <c r="N484">
        <v>7094.1690723741203</v>
      </c>
      <c r="O484">
        <v>1351.9023665478601</v>
      </c>
      <c r="P484">
        <v>3406.3372013808898</v>
      </c>
      <c r="Q484">
        <v>14637.357285018399</v>
      </c>
      <c r="R484">
        <v>1578.59699921942</v>
      </c>
      <c r="S484">
        <v>289.76196129341503</v>
      </c>
      <c r="T484">
        <v>1121.30203988981</v>
      </c>
      <c r="U484">
        <v>176.788098118286</v>
      </c>
      <c r="V484">
        <v>1062.8264772689299</v>
      </c>
      <c r="W484">
        <v>164.773472424293</v>
      </c>
      <c r="X484">
        <v>556.39557014479203</v>
      </c>
      <c r="Y484">
        <v>678.51849597844603</v>
      </c>
      <c r="Z484">
        <v>207.076276345313</v>
      </c>
      <c r="AA484">
        <v>670.66705633606796</v>
      </c>
      <c r="AB484">
        <v>731.29406948391295</v>
      </c>
      <c r="AC484">
        <v>537.480555058547</v>
      </c>
      <c r="AD484">
        <v>1127.8246352175499</v>
      </c>
      <c r="AE484">
        <v>560.98762383228404</v>
      </c>
      <c r="AF484">
        <v>406.369365814812</v>
      </c>
      <c r="AG484">
        <v>676.50667871749499</v>
      </c>
    </row>
    <row r="485" spans="1:33" x14ac:dyDescent="0.25">
      <c r="A485" s="1">
        <v>44536</v>
      </c>
      <c r="B485">
        <v>12784.795829450701</v>
      </c>
      <c r="C485">
        <v>13226.365945613101</v>
      </c>
      <c r="D485">
        <v>12415.469076106599</v>
      </c>
      <c r="E485">
        <v>13953.209107954801</v>
      </c>
      <c r="F485">
        <v>18389.1762442668</v>
      </c>
      <c r="G485">
        <v>17996.480805492502</v>
      </c>
      <c r="H485">
        <v>28784.504392584</v>
      </c>
      <c r="I485">
        <v>21237.225413618999</v>
      </c>
      <c r="J485">
        <v>2428.4926879703098</v>
      </c>
      <c r="K485">
        <v>1889.9434279999</v>
      </c>
      <c r="L485">
        <v>1298.13442841348</v>
      </c>
      <c r="M485">
        <v>16315.4299336687</v>
      </c>
      <c r="N485">
        <v>6793.5470323467698</v>
      </c>
      <c r="O485">
        <v>1320.44839516874</v>
      </c>
      <c r="P485">
        <v>3383.8043043606399</v>
      </c>
      <c r="Q485">
        <v>14211.136391591799</v>
      </c>
      <c r="R485">
        <v>1567.8963917317201</v>
      </c>
      <c r="S485">
        <v>297.75714142927598</v>
      </c>
      <c r="T485">
        <v>1091.6239765606099</v>
      </c>
      <c r="U485">
        <v>175.120520829051</v>
      </c>
      <c r="V485">
        <v>1060.8622645979599</v>
      </c>
      <c r="W485">
        <v>166.36010235381499</v>
      </c>
      <c r="X485">
        <v>559.00014617843703</v>
      </c>
      <c r="Y485">
        <v>673.128533370421</v>
      </c>
      <c r="Z485">
        <v>219.48686864318</v>
      </c>
      <c r="AA485">
        <v>676.97581230553305</v>
      </c>
      <c r="AB485">
        <v>724.46807154711496</v>
      </c>
      <c r="AC485">
        <v>532.31246614911197</v>
      </c>
      <c r="AD485">
        <v>1136.1345426983601</v>
      </c>
      <c r="AE485">
        <v>577.20421122820096</v>
      </c>
      <c r="AF485">
        <v>409.26118005883302</v>
      </c>
      <c r="AG485">
        <v>685.87940832893003</v>
      </c>
    </row>
    <row r="486" spans="1:33" x14ac:dyDescent="0.25">
      <c r="A486" s="1">
        <v>44537</v>
      </c>
      <c r="B486">
        <v>13030.3006719118</v>
      </c>
      <c r="C486">
        <v>13068.913390292701</v>
      </c>
      <c r="D486">
        <v>12844.7579613786</v>
      </c>
      <c r="E486">
        <v>14362.806477183</v>
      </c>
      <c r="F486">
        <v>18475.230610559502</v>
      </c>
      <c r="G486">
        <v>18263.7777018167</v>
      </c>
      <c r="H486">
        <v>29136.562182986701</v>
      </c>
      <c r="I486">
        <v>21250.873980119301</v>
      </c>
      <c r="J486">
        <v>2467.7001771721898</v>
      </c>
      <c r="K486">
        <v>1929.3040169221399</v>
      </c>
      <c r="L486">
        <v>1338.1809978280501</v>
      </c>
      <c r="M486">
        <v>16583.243747520799</v>
      </c>
      <c r="N486">
        <v>6944.41588232097</v>
      </c>
      <c r="O486">
        <v>1367.71559523777</v>
      </c>
      <c r="P486">
        <v>3481.51098215711</v>
      </c>
      <c r="Q486">
        <v>14391.6612074358</v>
      </c>
      <c r="R486">
        <v>1624.4136628245701</v>
      </c>
      <c r="S486">
        <v>306.414945012077</v>
      </c>
      <c r="T486">
        <v>1141.9724590385299</v>
      </c>
      <c r="U486">
        <v>174.14549692325701</v>
      </c>
      <c r="V486">
        <v>1148.27920759837</v>
      </c>
      <c r="W486">
        <v>170.527906017351</v>
      </c>
      <c r="X486">
        <v>592.66621999319295</v>
      </c>
      <c r="Y486">
        <v>686.41633487414697</v>
      </c>
      <c r="Z486">
        <v>232.64883554801801</v>
      </c>
      <c r="AA486">
        <v>680.39137965106295</v>
      </c>
      <c r="AB486">
        <v>728.80033482921704</v>
      </c>
      <c r="AC486">
        <v>523.20461299584099</v>
      </c>
      <c r="AD486">
        <v>1166.0051471582301</v>
      </c>
      <c r="AE486">
        <v>581.40002915094306</v>
      </c>
      <c r="AF486">
        <v>411.39244467812102</v>
      </c>
      <c r="AG486">
        <v>698.14176040024097</v>
      </c>
    </row>
    <row r="487" spans="1:33" x14ac:dyDescent="0.25">
      <c r="A487" s="1">
        <v>44538</v>
      </c>
      <c r="B487">
        <v>13334.8750102702</v>
      </c>
      <c r="C487">
        <v>13325.481505968401</v>
      </c>
      <c r="D487">
        <v>13009.1625819661</v>
      </c>
      <c r="E487">
        <v>14606.208596189899</v>
      </c>
      <c r="F487">
        <v>18599.4202211868</v>
      </c>
      <c r="G487">
        <v>18368.1260342686</v>
      </c>
      <c r="H487">
        <v>29581.4138789875</v>
      </c>
      <c r="I487">
        <v>21341.834270875799</v>
      </c>
      <c r="J487">
        <v>2504.2142981566899</v>
      </c>
      <c r="K487">
        <v>1974.90806563258</v>
      </c>
      <c r="L487">
        <v>1364.95484091395</v>
      </c>
      <c r="M487">
        <v>16697.387903303701</v>
      </c>
      <c r="N487">
        <v>6967.5304190537399</v>
      </c>
      <c r="O487">
        <v>1401.0609331846999</v>
      </c>
      <c r="P487">
        <v>3513.7860985561001</v>
      </c>
      <c r="Q487">
        <v>14418.6379730672</v>
      </c>
      <c r="R487">
        <v>1666.26035247801</v>
      </c>
      <c r="S487">
        <v>316.64108032086301</v>
      </c>
      <c r="T487">
        <v>1118.99850005401</v>
      </c>
      <c r="U487">
        <v>173.34105847642101</v>
      </c>
      <c r="V487">
        <v>1108.11145762039</v>
      </c>
      <c r="W487">
        <v>167.95117528487199</v>
      </c>
      <c r="X487">
        <v>530.33380513139502</v>
      </c>
      <c r="Y487">
        <v>687.18320547818803</v>
      </c>
      <c r="Z487">
        <v>234.402266469392</v>
      </c>
      <c r="AA487">
        <v>686.15509524528704</v>
      </c>
      <c r="AB487">
        <v>732.26324213517</v>
      </c>
      <c r="AC487">
        <v>513.61918518319601</v>
      </c>
      <c r="AD487">
        <v>1184.1257384517901</v>
      </c>
      <c r="AE487">
        <v>575.25418294398696</v>
      </c>
      <c r="AF487">
        <v>413.57729235209001</v>
      </c>
      <c r="AG487">
        <v>708.98235805884497</v>
      </c>
    </row>
    <row r="488" spans="1:33" x14ac:dyDescent="0.25">
      <c r="A488" s="1">
        <v>44539</v>
      </c>
      <c r="B488">
        <v>13578.062330278301</v>
      </c>
      <c r="C488">
        <v>13538.292101257101</v>
      </c>
      <c r="D488">
        <v>12936.462089301</v>
      </c>
      <c r="E488">
        <v>14350.924017567801</v>
      </c>
      <c r="F488">
        <v>18657.398547991601</v>
      </c>
      <c r="G488">
        <v>18051.947294723599</v>
      </c>
      <c r="H488">
        <v>29295.815669381798</v>
      </c>
      <c r="I488">
        <v>21359.803728056999</v>
      </c>
      <c r="J488">
        <v>2509.0202650449201</v>
      </c>
      <c r="K488">
        <v>2003.8086568302001</v>
      </c>
      <c r="L488">
        <v>1352.4039544591201</v>
      </c>
      <c r="M488">
        <v>16184.7848319156</v>
      </c>
      <c r="N488">
        <v>6348.73217666654</v>
      </c>
      <c r="O488">
        <v>1402.4402117990701</v>
      </c>
      <c r="P488">
        <v>3325.88628039677</v>
      </c>
      <c r="Q488">
        <v>13982.0301044472</v>
      </c>
      <c r="R488">
        <v>1658.89553294551</v>
      </c>
      <c r="S488">
        <v>325.31230206045399</v>
      </c>
      <c r="T488">
        <v>940.23714844440406</v>
      </c>
      <c r="U488">
        <v>173.723622947481</v>
      </c>
      <c r="V488">
        <v>778.40384594826298</v>
      </c>
      <c r="W488">
        <v>162.90757559408101</v>
      </c>
      <c r="X488">
        <v>323.124106268422</v>
      </c>
      <c r="Y488">
        <v>684.49145916262603</v>
      </c>
      <c r="Z488">
        <v>216.342837207467</v>
      </c>
      <c r="AA488">
        <v>694.21824606555299</v>
      </c>
      <c r="AB488">
        <v>731.462760632141</v>
      </c>
      <c r="AC488">
        <v>505.97882489033702</v>
      </c>
      <c r="AD488">
        <v>1168.97234123405</v>
      </c>
      <c r="AE488">
        <v>566.92144460273801</v>
      </c>
      <c r="AF488">
        <v>416.09135691218103</v>
      </c>
      <c r="AG488">
        <v>719.86089124184002</v>
      </c>
    </row>
    <row r="489" spans="1:33" x14ac:dyDescent="0.25">
      <c r="A489" s="1">
        <v>44540</v>
      </c>
      <c r="B489">
        <v>13680.71681364</v>
      </c>
      <c r="C489">
        <v>13641.149738616001</v>
      </c>
      <c r="D489">
        <v>12928.046790602401</v>
      </c>
      <c r="E489">
        <v>14096.118590014101</v>
      </c>
      <c r="F489">
        <v>17633.786938982899</v>
      </c>
      <c r="G489">
        <v>16518.205128146601</v>
      </c>
      <c r="H489">
        <v>27272.0992258074</v>
      </c>
      <c r="I489">
        <v>21192.216475343899</v>
      </c>
      <c r="J489">
        <v>2413.1485357372799</v>
      </c>
      <c r="K489">
        <v>2010.3284384512999</v>
      </c>
      <c r="L489">
        <v>1266.1120974872199</v>
      </c>
      <c r="M489">
        <v>14634.4105707613</v>
      </c>
      <c r="N489">
        <v>4974.7563067477404</v>
      </c>
      <c r="O489">
        <v>1239.12680658313</v>
      </c>
      <c r="P489">
        <v>2966.9527447589498</v>
      </c>
      <c r="Q489">
        <v>12374.941991333601</v>
      </c>
      <c r="R489">
        <v>1497.9823864371499</v>
      </c>
      <c r="S489">
        <v>328.25267510798699</v>
      </c>
      <c r="T489">
        <v>705.47804866088302</v>
      </c>
      <c r="U489">
        <v>173.49374104702599</v>
      </c>
      <c r="V489">
        <v>534.95725908595796</v>
      </c>
      <c r="W489">
        <v>157.85911029832499</v>
      </c>
      <c r="X489">
        <v>249.68723483760701</v>
      </c>
      <c r="Y489">
        <v>649.75512750116695</v>
      </c>
      <c r="Z489">
        <v>202.254777808515</v>
      </c>
      <c r="AA489">
        <v>704.27702559853401</v>
      </c>
      <c r="AB489">
        <v>708.04836051480504</v>
      </c>
      <c r="AC489">
        <v>507.33233322689199</v>
      </c>
      <c r="AD489">
        <v>1097.86901294839</v>
      </c>
      <c r="AE489">
        <v>581.11105561134798</v>
      </c>
      <c r="AF489">
        <v>420.58168978640401</v>
      </c>
      <c r="AG489">
        <v>726.74157356622197</v>
      </c>
    </row>
    <row r="490" spans="1:33" x14ac:dyDescent="0.25">
      <c r="A490" s="1">
        <v>44541</v>
      </c>
      <c r="B490">
        <v>13803.912862858901</v>
      </c>
      <c r="C490">
        <v>12035.849182292301</v>
      </c>
      <c r="D490">
        <v>13048.8555488327</v>
      </c>
      <c r="E490">
        <v>14222.770878560001</v>
      </c>
      <c r="F490">
        <v>17153.147817602599</v>
      </c>
      <c r="G490">
        <v>16182.3124129603</v>
      </c>
      <c r="H490">
        <v>27105.942193097599</v>
      </c>
      <c r="I490">
        <v>20963.3546785369</v>
      </c>
      <c r="J490">
        <v>2372.8985017648101</v>
      </c>
      <c r="K490">
        <v>2043.4651439901299</v>
      </c>
      <c r="L490">
        <v>1233.3844436501499</v>
      </c>
      <c r="M490">
        <v>14328.417051017501</v>
      </c>
      <c r="N490">
        <v>4638.7938634496904</v>
      </c>
      <c r="O490">
        <v>1196.56429430616</v>
      </c>
      <c r="P490">
        <v>2850.85127996036</v>
      </c>
      <c r="Q490">
        <v>12000.905756672901</v>
      </c>
      <c r="R490">
        <v>1445.5024580668601</v>
      </c>
      <c r="S490">
        <v>337.04937505767299</v>
      </c>
      <c r="T490">
        <v>650.53302191054195</v>
      </c>
      <c r="U490">
        <v>171.09361315668201</v>
      </c>
      <c r="V490">
        <v>547.94570380147297</v>
      </c>
      <c r="W490">
        <v>157.59529444999001</v>
      </c>
      <c r="X490">
        <v>289.95664479941098</v>
      </c>
      <c r="Y490">
        <v>635.33440153460401</v>
      </c>
      <c r="Z490">
        <v>204.73081574367001</v>
      </c>
      <c r="AA490">
        <v>707.10310275943004</v>
      </c>
      <c r="AB490">
        <v>701.96459861166204</v>
      </c>
      <c r="AC490">
        <v>519.240441898732</v>
      </c>
      <c r="AD490">
        <v>1083.48574867205</v>
      </c>
      <c r="AE490">
        <v>581.77913811510598</v>
      </c>
      <c r="AF490">
        <v>426.03564580047902</v>
      </c>
      <c r="AG490">
        <v>734.23376104380498</v>
      </c>
    </row>
    <row r="491" spans="1:33" x14ac:dyDescent="0.25">
      <c r="A491" s="1">
        <v>44542</v>
      </c>
      <c r="B491">
        <v>14016.316311775499</v>
      </c>
      <c r="C491">
        <v>11464.174374013301</v>
      </c>
      <c r="D491">
        <v>13271.263877334301</v>
      </c>
      <c r="E491">
        <v>14897.569070089599</v>
      </c>
      <c r="F491">
        <v>17946.690522136501</v>
      </c>
      <c r="G491">
        <v>18032.0677779453</v>
      </c>
      <c r="H491">
        <v>29368.974698873699</v>
      </c>
      <c r="I491">
        <v>20739.4240677218</v>
      </c>
      <c r="J491">
        <v>2463.09065013809</v>
      </c>
      <c r="K491">
        <v>2085.0623038333001</v>
      </c>
      <c r="L491">
        <v>1322.6899264404799</v>
      </c>
      <c r="M491">
        <v>16300.194048544299</v>
      </c>
      <c r="N491">
        <v>6079.6813192773998</v>
      </c>
      <c r="O491">
        <v>1375.34327779705</v>
      </c>
      <c r="P491">
        <v>3240.5844438594399</v>
      </c>
      <c r="Q491">
        <v>13864.4063355043</v>
      </c>
      <c r="R491">
        <v>1594.5399136866899</v>
      </c>
      <c r="S491">
        <v>355.69073665586097</v>
      </c>
      <c r="T491">
        <v>824.02701084069497</v>
      </c>
      <c r="U491">
        <v>171.037813451452</v>
      </c>
      <c r="V491">
        <v>828.89171687011606</v>
      </c>
      <c r="W491">
        <v>167.585329590399</v>
      </c>
      <c r="X491">
        <v>493.06933805988098</v>
      </c>
      <c r="Y491">
        <v>676.49901947858905</v>
      </c>
      <c r="Z491">
        <v>219.636667935871</v>
      </c>
      <c r="AA491">
        <v>706.72571634750796</v>
      </c>
      <c r="AB491">
        <v>736.36027584072099</v>
      </c>
      <c r="AC491">
        <v>525.42937080458796</v>
      </c>
      <c r="AD491">
        <v>1181.9040095872001</v>
      </c>
      <c r="AE491">
        <v>616.19020430896296</v>
      </c>
      <c r="AF491">
        <v>428.85833478362503</v>
      </c>
      <c r="AG491">
        <v>744.25348066895697</v>
      </c>
    </row>
    <row r="492" spans="1:33" x14ac:dyDescent="0.25">
      <c r="A492" s="1">
        <v>44543</v>
      </c>
      <c r="B492">
        <v>13592.058976787401</v>
      </c>
      <c r="C492">
        <v>12722.202253944</v>
      </c>
      <c r="D492">
        <v>12983.7302754432</v>
      </c>
      <c r="E492">
        <v>14924.265917505099</v>
      </c>
      <c r="F492">
        <v>19107.2861406054</v>
      </c>
      <c r="G492">
        <v>19120.029351194698</v>
      </c>
      <c r="H492">
        <v>30021.771018240001</v>
      </c>
      <c r="I492">
        <v>20815.2841091478</v>
      </c>
      <c r="J492">
        <v>2536.2616084428701</v>
      </c>
      <c r="K492">
        <v>2046.1433209706399</v>
      </c>
      <c r="L492">
        <v>1418.30426494687</v>
      </c>
      <c r="M492">
        <v>17288.659324247401</v>
      </c>
      <c r="N492">
        <v>7039.44728336769</v>
      </c>
      <c r="O492">
        <v>1426.42134944793</v>
      </c>
      <c r="P492">
        <v>3541.55636043602</v>
      </c>
      <c r="Q492">
        <v>14840.7292186002</v>
      </c>
      <c r="R492">
        <v>1720.48492832082</v>
      </c>
      <c r="S492">
        <v>366.17423056791398</v>
      </c>
      <c r="T492">
        <v>985.06940973780195</v>
      </c>
      <c r="U492">
        <v>170.1757211712</v>
      </c>
      <c r="V492">
        <v>866.935988602512</v>
      </c>
      <c r="W492">
        <v>178.12499060272501</v>
      </c>
      <c r="X492">
        <v>476.16614388432401</v>
      </c>
      <c r="Y492">
        <v>686.89420071604798</v>
      </c>
      <c r="Z492">
        <v>231.49398874128599</v>
      </c>
      <c r="AA492">
        <v>721.18225885393099</v>
      </c>
      <c r="AB492">
        <v>757.63492384225106</v>
      </c>
      <c r="AC492">
        <v>532.99577490284503</v>
      </c>
      <c r="AD492">
        <v>1274.52689992663</v>
      </c>
      <c r="AE492">
        <v>606.55615500200201</v>
      </c>
      <c r="AF492">
        <v>439.10155847391098</v>
      </c>
      <c r="AG492">
        <v>763.85704733985597</v>
      </c>
    </row>
    <row r="493" spans="1:33" x14ac:dyDescent="0.25">
      <c r="A493" s="1">
        <v>44544</v>
      </c>
      <c r="B493">
        <v>13178.374238945</v>
      </c>
      <c r="C493">
        <v>13851.6701561069</v>
      </c>
      <c r="D493">
        <v>12350.684780456901</v>
      </c>
      <c r="E493">
        <v>14158.241030695701</v>
      </c>
      <c r="F493">
        <v>18818.677830573499</v>
      </c>
      <c r="G493">
        <v>17200.2857344689</v>
      </c>
      <c r="H493">
        <v>27819.865308451899</v>
      </c>
      <c r="I493">
        <v>20953.145204133802</v>
      </c>
      <c r="J493">
        <v>2455.6770851026199</v>
      </c>
      <c r="K493">
        <v>2039.3670633659699</v>
      </c>
      <c r="L493">
        <v>1364.3985741777401</v>
      </c>
      <c r="M493">
        <v>15066.9674186346</v>
      </c>
      <c r="N493">
        <v>4740.1809379064798</v>
      </c>
      <c r="O493">
        <v>1090.7069604448</v>
      </c>
      <c r="P493">
        <v>3160.6305699086702</v>
      </c>
      <c r="Q493">
        <v>12827.2469491298</v>
      </c>
      <c r="R493">
        <v>1553.6547969212399</v>
      </c>
      <c r="S493">
        <v>353.123906293103</v>
      </c>
      <c r="T493">
        <v>605.12372860219102</v>
      </c>
      <c r="U493">
        <v>170.47987683358599</v>
      </c>
      <c r="V493">
        <v>286.07809387307498</v>
      </c>
      <c r="W493">
        <v>199.81910350995199</v>
      </c>
      <c r="X493">
        <v>179.25695079878099</v>
      </c>
      <c r="Y493">
        <v>667.18214506959305</v>
      </c>
      <c r="Z493">
        <v>238.15606457144</v>
      </c>
      <c r="AA493">
        <v>730.69685799446404</v>
      </c>
      <c r="AB493">
        <v>755.40965504219503</v>
      </c>
      <c r="AC493">
        <v>540.56306260158397</v>
      </c>
      <c r="AD493">
        <v>1165.1830496370501</v>
      </c>
      <c r="AE493">
        <v>535.23668674541398</v>
      </c>
      <c r="AF493">
        <v>451.43623040684599</v>
      </c>
      <c r="AG493">
        <v>800.04178195228303</v>
      </c>
    </row>
    <row r="494" spans="1:33" x14ac:dyDescent="0.25">
      <c r="A494" s="1">
        <v>44545</v>
      </c>
      <c r="B494">
        <v>13100.077907114</v>
      </c>
      <c r="C494">
        <v>11632.9044789854</v>
      </c>
      <c r="D494">
        <v>12340.333521367</v>
      </c>
      <c r="E494">
        <v>13974.934016175601</v>
      </c>
      <c r="F494">
        <v>16634.109116050699</v>
      </c>
      <c r="G494">
        <v>14962.9220320739</v>
      </c>
      <c r="H494">
        <v>26145.253933963701</v>
      </c>
      <c r="I494">
        <v>21244.980016278801</v>
      </c>
      <c r="J494">
        <v>2373.2320195850102</v>
      </c>
      <c r="K494">
        <v>2088.1178990845301</v>
      </c>
      <c r="L494">
        <v>1174.9489097978801</v>
      </c>
      <c r="M494">
        <v>13377.1447355445</v>
      </c>
      <c r="N494">
        <v>2895.8546276850202</v>
      </c>
      <c r="O494">
        <v>813.67748890483597</v>
      </c>
      <c r="P494">
        <v>2715.15168267319</v>
      </c>
      <c r="Q494">
        <v>10626.0240119214</v>
      </c>
      <c r="R494">
        <v>1215.2570616958999</v>
      </c>
      <c r="S494">
        <v>379.19016370763501</v>
      </c>
      <c r="T494">
        <v>421.85873031998602</v>
      </c>
      <c r="U494">
        <v>179.46146878990101</v>
      </c>
      <c r="V494">
        <v>199.71126495115701</v>
      </c>
      <c r="W494">
        <v>186.257111704191</v>
      </c>
      <c r="X494">
        <v>200.953959311787</v>
      </c>
      <c r="Y494">
        <v>698.83507963359796</v>
      </c>
      <c r="Z494">
        <v>247.03152758292299</v>
      </c>
      <c r="AA494">
        <v>735.34802946305399</v>
      </c>
      <c r="AB494">
        <v>806.67659259498805</v>
      </c>
      <c r="AC494">
        <v>564.59366837243795</v>
      </c>
      <c r="AD494">
        <v>1045.8268130807701</v>
      </c>
      <c r="AE494">
        <v>390.55406196324702</v>
      </c>
      <c r="AF494">
        <v>461.28527592582998</v>
      </c>
      <c r="AG494">
        <v>834.98079738585704</v>
      </c>
    </row>
    <row r="495" spans="1:33" x14ac:dyDescent="0.25">
      <c r="A495" s="1">
        <v>44546</v>
      </c>
      <c r="B495">
        <v>12938.025865698901</v>
      </c>
      <c r="C495">
        <v>9512.3534132528202</v>
      </c>
      <c r="D495">
        <v>12519.1810573804</v>
      </c>
      <c r="E495">
        <v>13999.4787195965</v>
      </c>
      <c r="F495">
        <v>16014.4925855447</v>
      </c>
      <c r="G495">
        <v>13306.177093304799</v>
      </c>
      <c r="H495">
        <v>25326.606420997901</v>
      </c>
      <c r="I495">
        <v>20950.703127151399</v>
      </c>
      <c r="J495">
        <v>2358.0137829475598</v>
      </c>
      <c r="K495">
        <v>2045.26560784708</v>
      </c>
      <c r="L495">
        <v>1176.5751133815399</v>
      </c>
      <c r="M495">
        <v>11637.161657972199</v>
      </c>
      <c r="N495">
        <v>1845.8167434511499</v>
      </c>
      <c r="O495">
        <v>760.60285063711797</v>
      </c>
      <c r="P495">
        <v>2516.7623080558501</v>
      </c>
      <c r="Q495">
        <v>8828.1423751401999</v>
      </c>
      <c r="R495">
        <v>1217.83879271108</v>
      </c>
      <c r="S495">
        <v>363.00972980942998</v>
      </c>
      <c r="T495">
        <v>346.33164034435703</v>
      </c>
      <c r="U495">
        <v>195.933327276043</v>
      </c>
      <c r="V495">
        <v>188.56252323547599</v>
      </c>
      <c r="W495">
        <v>173.53496418252701</v>
      </c>
      <c r="X495">
        <v>187.10087275119699</v>
      </c>
      <c r="Y495">
        <v>776.73440885573996</v>
      </c>
      <c r="Z495">
        <v>262.06657258522</v>
      </c>
      <c r="AA495">
        <v>758.65375123614399</v>
      </c>
      <c r="AB495">
        <v>860.62033785093195</v>
      </c>
      <c r="AC495">
        <v>583.74934220575506</v>
      </c>
      <c r="AD495">
        <v>1000.27346741057</v>
      </c>
      <c r="AE495">
        <v>421.513314693491</v>
      </c>
      <c r="AF495">
        <v>488.369195099156</v>
      </c>
      <c r="AG495">
        <v>843.30848747539005</v>
      </c>
    </row>
    <row r="496" spans="1:33" x14ac:dyDescent="0.25">
      <c r="A496" s="1">
        <v>44547</v>
      </c>
      <c r="B496">
        <v>12948.573246243801</v>
      </c>
      <c r="C496">
        <v>6526.2258137101398</v>
      </c>
      <c r="D496">
        <v>12250.6339850933</v>
      </c>
      <c r="E496">
        <v>13711.6293902292</v>
      </c>
      <c r="F496">
        <v>12315.4957107681</v>
      </c>
      <c r="G496">
        <v>9424.4923820825898</v>
      </c>
      <c r="H496">
        <v>22008.911633786302</v>
      </c>
      <c r="I496">
        <v>20190.305460546198</v>
      </c>
      <c r="J496">
        <v>2199.0443861619301</v>
      </c>
      <c r="K496">
        <v>2028.5575533061501</v>
      </c>
      <c r="L496">
        <v>1032.30423540024</v>
      </c>
      <c r="M496">
        <v>8068.1564614399704</v>
      </c>
      <c r="N496">
        <v>799.14209854269996</v>
      </c>
      <c r="O496">
        <v>727.51943925720002</v>
      </c>
      <c r="P496">
        <v>2029.97523178438</v>
      </c>
      <c r="Q496">
        <v>5410.1541945646404</v>
      </c>
      <c r="R496">
        <v>1053.364208342</v>
      </c>
      <c r="S496">
        <v>360.06060003831101</v>
      </c>
      <c r="T496">
        <v>299.424301215274</v>
      </c>
      <c r="U496">
        <v>203.94233069913</v>
      </c>
      <c r="V496">
        <v>174.50454173079899</v>
      </c>
      <c r="W496">
        <v>158.989396638182</v>
      </c>
      <c r="X496">
        <v>174.589554315383</v>
      </c>
      <c r="Y496">
        <v>725.99024238082905</v>
      </c>
      <c r="Z496">
        <v>260.34619665789899</v>
      </c>
      <c r="AA496">
        <v>779.74981430750495</v>
      </c>
      <c r="AB496">
        <v>865.90322730089997</v>
      </c>
      <c r="AC496">
        <v>590.71815124576403</v>
      </c>
      <c r="AD496">
        <v>901.96421595079403</v>
      </c>
      <c r="AE496">
        <v>468.95582000519499</v>
      </c>
      <c r="AF496">
        <v>492.22585042411299</v>
      </c>
      <c r="AG496">
        <v>829.80682725664303</v>
      </c>
    </row>
    <row r="497" spans="1:33" x14ac:dyDescent="0.25">
      <c r="A497" s="1">
        <v>44548</v>
      </c>
      <c r="B497">
        <v>13243.330193748199</v>
      </c>
      <c r="C497">
        <v>4033.7113441213801</v>
      </c>
      <c r="D497">
        <v>11232.5953157313</v>
      </c>
      <c r="E497">
        <v>13593.1885394117</v>
      </c>
      <c r="F497">
        <v>10135.8499461746</v>
      </c>
      <c r="G497">
        <v>7428.4602708389002</v>
      </c>
      <c r="H497">
        <v>20408.038248395998</v>
      </c>
      <c r="I497">
        <v>17853.9351176907</v>
      </c>
      <c r="J497">
        <v>2081.6150512204199</v>
      </c>
      <c r="K497">
        <v>2002.5967765519199</v>
      </c>
      <c r="L497">
        <v>988.50390024275805</v>
      </c>
      <c r="M497">
        <v>6398.9861814972501</v>
      </c>
      <c r="N497">
        <v>615.51937677662204</v>
      </c>
      <c r="O497">
        <v>746.643090866389</v>
      </c>
      <c r="P497">
        <v>1812.4239069289099</v>
      </c>
      <c r="Q497">
        <v>4148.44363537358</v>
      </c>
      <c r="R497">
        <v>1032.77976399302</v>
      </c>
      <c r="S497">
        <v>376.92574475824102</v>
      </c>
      <c r="T497">
        <v>271.67457297794601</v>
      </c>
      <c r="U497">
        <v>221.34751213147501</v>
      </c>
      <c r="V497">
        <v>154.05594618208201</v>
      </c>
      <c r="W497">
        <v>134.41381763954701</v>
      </c>
      <c r="X497">
        <v>153.27561920635901</v>
      </c>
      <c r="Y497">
        <v>692.48503867840805</v>
      </c>
      <c r="Z497">
        <v>252.89372496540099</v>
      </c>
      <c r="AA497">
        <v>793.08728766057004</v>
      </c>
      <c r="AB497">
        <v>864.82712700459899</v>
      </c>
      <c r="AC497">
        <v>583.85514879869299</v>
      </c>
      <c r="AD497">
        <v>861.60765166134399</v>
      </c>
      <c r="AE497">
        <v>486.76332727041699</v>
      </c>
      <c r="AF497">
        <v>497.96186689404902</v>
      </c>
      <c r="AG497">
        <v>843.54177931887102</v>
      </c>
    </row>
    <row r="498" spans="1:33" x14ac:dyDescent="0.25">
      <c r="A498" s="1">
        <v>44549</v>
      </c>
      <c r="B498">
        <v>13341.3305963229</v>
      </c>
      <c r="C498">
        <v>3089.7076934905299</v>
      </c>
      <c r="D498">
        <v>10143.7669681811</v>
      </c>
      <c r="E498">
        <v>13333.8577279578</v>
      </c>
      <c r="F498">
        <v>8976.6947506621691</v>
      </c>
      <c r="G498">
        <v>7491.9146964498104</v>
      </c>
      <c r="H498">
        <v>20936.274110259499</v>
      </c>
      <c r="I498">
        <v>15469.558756773</v>
      </c>
      <c r="J498">
        <v>1921.9711365369001</v>
      </c>
      <c r="K498">
        <v>1938.4337275145999</v>
      </c>
      <c r="L498">
        <v>1025.18671788198</v>
      </c>
      <c r="M498">
        <v>6344.1679145159997</v>
      </c>
      <c r="N498">
        <v>691.91847852497995</v>
      </c>
      <c r="O498">
        <v>840.72571632523295</v>
      </c>
      <c r="P498">
        <v>1765.22243081751</v>
      </c>
      <c r="Q498">
        <v>4231.1718162795296</v>
      </c>
      <c r="R498">
        <v>1095.7788242214101</v>
      </c>
      <c r="S498">
        <v>428.81089642136197</v>
      </c>
      <c r="T498">
        <v>245.955407070788</v>
      </c>
      <c r="U498">
        <v>221.21435862546099</v>
      </c>
      <c r="V498">
        <v>133.320202697783</v>
      </c>
      <c r="W498">
        <v>135.01908187048801</v>
      </c>
      <c r="X498">
        <v>133.164124666639</v>
      </c>
      <c r="Y498">
        <v>626.64835376747703</v>
      </c>
      <c r="Z498">
        <v>245.859353902186</v>
      </c>
      <c r="AA498">
        <v>797.90285151589205</v>
      </c>
      <c r="AB498">
        <v>892.89307382042102</v>
      </c>
      <c r="AC498">
        <v>602.39745156865297</v>
      </c>
      <c r="AD498">
        <v>900.95287737137301</v>
      </c>
      <c r="AE498">
        <v>484.653453305391</v>
      </c>
      <c r="AF498">
        <v>501.43574329972103</v>
      </c>
      <c r="AG498">
        <v>852.92058565736897</v>
      </c>
    </row>
    <row r="499" spans="1:33" x14ac:dyDescent="0.25">
      <c r="A499" s="1">
        <v>44550</v>
      </c>
      <c r="B499">
        <v>13186.538523008099</v>
      </c>
      <c r="C499">
        <v>3066.69577045097</v>
      </c>
      <c r="D499">
        <v>8718.6015539561995</v>
      </c>
      <c r="E499">
        <v>12883.2246516497</v>
      </c>
      <c r="F499">
        <v>8807.9580947417508</v>
      </c>
      <c r="G499">
        <v>7256.4549159579101</v>
      </c>
      <c r="H499">
        <v>20587.220390876799</v>
      </c>
      <c r="I499">
        <v>14501.162130753501</v>
      </c>
      <c r="J499">
        <v>1827.7058728747299</v>
      </c>
      <c r="K499">
        <v>1880.0909083973399</v>
      </c>
      <c r="L499">
        <v>1031.1511713524901</v>
      </c>
      <c r="M499">
        <v>6131.5331313673096</v>
      </c>
      <c r="N499">
        <v>657.65516479018197</v>
      </c>
      <c r="O499">
        <v>843.04869751986303</v>
      </c>
      <c r="P499">
        <v>1601.9767665689301</v>
      </c>
      <c r="Q499">
        <v>3992.2531744641401</v>
      </c>
      <c r="R499">
        <v>1095.1097230867699</v>
      </c>
      <c r="S499">
        <v>444.54738130841997</v>
      </c>
      <c r="T499">
        <v>226.48980602831401</v>
      </c>
      <c r="U499">
        <v>236.49205309390399</v>
      </c>
      <c r="V499">
        <v>136.825022031858</v>
      </c>
      <c r="W499">
        <v>128.05359607921801</v>
      </c>
      <c r="X499">
        <v>136.802702912342</v>
      </c>
      <c r="Y499">
        <v>758.43362597626503</v>
      </c>
      <c r="Z499">
        <v>232.82762927898099</v>
      </c>
      <c r="AA499">
        <v>807.25435086202003</v>
      </c>
      <c r="AB499">
        <v>857.52972842760801</v>
      </c>
      <c r="AC499">
        <v>617.50352341685004</v>
      </c>
      <c r="AD499">
        <v>899.42062703735201</v>
      </c>
      <c r="AE499">
        <v>518.41910165271599</v>
      </c>
      <c r="AF499">
        <v>503.12184277097498</v>
      </c>
      <c r="AG499">
        <v>850.70179443257405</v>
      </c>
    </row>
    <row r="500" spans="1:33" x14ac:dyDescent="0.25">
      <c r="A500" s="1">
        <v>44551</v>
      </c>
      <c r="B500">
        <v>12843.335560490401</v>
      </c>
      <c r="C500">
        <v>3118.9802601046799</v>
      </c>
      <c r="D500">
        <v>7215.3521459609801</v>
      </c>
      <c r="E500">
        <v>12206.263914203701</v>
      </c>
      <c r="F500">
        <v>8026.25879301445</v>
      </c>
      <c r="G500">
        <v>6425.41322304407</v>
      </c>
      <c r="H500">
        <v>19696.998788707398</v>
      </c>
      <c r="I500">
        <v>13571.828216505401</v>
      </c>
      <c r="J500">
        <v>1758.7840608118699</v>
      </c>
      <c r="K500">
        <v>1796.61298951599</v>
      </c>
      <c r="L500">
        <v>971.19553058975498</v>
      </c>
      <c r="M500">
        <v>5404.6897486895105</v>
      </c>
      <c r="N500">
        <v>590.55648691798501</v>
      </c>
      <c r="O500">
        <v>760.25907670470497</v>
      </c>
      <c r="P500">
        <v>1417.9583587679499</v>
      </c>
      <c r="Q500">
        <v>3312.3627163935798</v>
      </c>
      <c r="R500">
        <v>1006.45040198012</v>
      </c>
      <c r="S500">
        <v>454.854033622982</v>
      </c>
      <c r="T500">
        <v>217.77682330566699</v>
      </c>
      <c r="U500">
        <v>249.95991912272399</v>
      </c>
      <c r="V500">
        <v>128.16348124247199</v>
      </c>
      <c r="W500">
        <v>125.53675294685</v>
      </c>
      <c r="X500">
        <v>127.90970977907401</v>
      </c>
      <c r="Y500">
        <v>780.65883050254502</v>
      </c>
      <c r="Z500">
        <v>220.29038936090799</v>
      </c>
      <c r="AA500">
        <v>819.06975816814895</v>
      </c>
      <c r="AB500">
        <v>875.73663422835102</v>
      </c>
      <c r="AC500">
        <v>540.21725863568395</v>
      </c>
      <c r="AD500">
        <v>849.16881831405897</v>
      </c>
      <c r="AE500">
        <v>541.06055055603304</v>
      </c>
      <c r="AF500">
        <v>506.09719162577898</v>
      </c>
      <c r="AG500">
        <v>862.20084532256396</v>
      </c>
    </row>
    <row r="501" spans="1:33" x14ac:dyDescent="0.25">
      <c r="A501" s="1">
        <v>44552</v>
      </c>
      <c r="B501">
        <v>12413.293458369601</v>
      </c>
      <c r="C501">
        <v>2192.9315268340902</v>
      </c>
      <c r="D501">
        <v>7200.4008206402104</v>
      </c>
      <c r="E501">
        <v>11396.037072245799</v>
      </c>
      <c r="F501">
        <v>7533.3379437438898</v>
      </c>
      <c r="G501">
        <v>6953.4555329721697</v>
      </c>
      <c r="H501">
        <v>21269.972842620999</v>
      </c>
      <c r="I501">
        <v>12569.0004431261</v>
      </c>
      <c r="J501">
        <v>1631.2746335453301</v>
      </c>
      <c r="K501">
        <v>1707.68050030737</v>
      </c>
      <c r="L501">
        <v>949.68469189671396</v>
      </c>
      <c r="M501">
        <v>5770.9413805807499</v>
      </c>
      <c r="N501">
        <v>690.47220376669202</v>
      </c>
      <c r="O501">
        <v>758.47677698466498</v>
      </c>
      <c r="P501">
        <v>1339.09239926279</v>
      </c>
      <c r="Q501">
        <v>3738.0101740027299</v>
      </c>
      <c r="R501">
        <v>987.58670713166805</v>
      </c>
      <c r="S501">
        <v>459.91201948884202</v>
      </c>
      <c r="T501">
        <v>217.850740139062</v>
      </c>
      <c r="U501">
        <v>298.38497967663898</v>
      </c>
      <c r="V501">
        <v>134.289839021868</v>
      </c>
      <c r="W501">
        <v>141.61835911111299</v>
      </c>
      <c r="X501">
        <v>126.214658307219</v>
      </c>
      <c r="Y501">
        <v>778.98899175645795</v>
      </c>
      <c r="Z501">
        <v>214.844268483294</v>
      </c>
      <c r="AA501">
        <v>815.532867746036</v>
      </c>
      <c r="AB501">
        <v>876.30098767218897</v>
      </c>
      <c r="AC501">
        <v>489.08554519202499</v>
      </c>
      <c r="AD501">
        <v>848.51816685879896</v>
      </c>
      <c r="AE501">
        <v>568.45362028920795</v>
      </c>
      <c r="AF501">
        <v>514.48098653039904</v>
      </c>
      <c r="AG501">
        <v>877.09077298352997</v>
      </c>
    </row>
    <row r="502" spans="1:33" x14ac:dyDescent="0.25">
      <c r="A502" s="1">
        <v>44553</v>
      </c>
      <c r="B502">
        <v>12160.0155511023</v>
      </c>
      <c r="C502">
        <v>2116.54035194175</v>
      </c>
      <c r="D502">
        <v>7594.9940665776803</v>
      </c>
      <c r="E502">
        <v>10891.2770761957</v>
      </c>
      <c r="F502">
        <v>8223.3137928074302</v>
      </c>
      <c r="G502">
        <v>8132.3990739395704</v>
      </c>
      <c r="H502">
        <v>23321.363674999699</v>
      </c>
      <c r="I502">
        <v>12295.1066638266</v>
      </c>
      <c r="J502">
        <v>1511.0543646127001</v>
      </c>
      <c r="K502">
        <v>1629.8850395458601</v>
      </c>
      <c r="L502">
        <v>945.21154008232202</v>
      </c>
      <c r="M502">
        <v>6636.2498819141301</v>
      </c>
      <c r="N502">
        <v>843.70401051886097</v>
      </c>
      <c r="O502">
        <v>762.25992367159597</v>
      </c>
      <c r="P502">
        <v>1245.9192565004901</v>
      </c>
      <c r="Q502">
        <v>4460.2902050701496</v>
      </c>
      <c r="R502">
        <v>983.82368739898595</v>
      </c>
      <c r="S502">
        <v>453.35453503965402</v>
      </c>
      <c r="T502">
        <v>224.86970385967501</v>
      </c>
      <c r="U502">
        <v>264.63146127806999</v>
      </c>
      <c r="V502">
        <v>144.11860207474999</v>
      </c>
      <c r="W502">
        <v>162.35740625070301</v>
      </c>
      <c r="X502">
        <v>136.02838188361699</v>
      </c>
      <c r="Y502">
        <v>811.15805742227303</v>
      </c>
      <c r="Z502">
        <v>219.249141837547</v>
      </c>
      <c r="AA502">
        <v>807.47816455614702</v>
      </c>
      <c r="AB502">
        <v>888.00984837244198</v>
      </c>
      <c r="AC502">
        <v>495.62513222895899</v>
      </c>
      <c r="AD502">
        <v>840.63614511842002</v>
      </c>
      <c r="AE502">
        <v>616.48386491062001</v>
      </c>
      <c r="AF502">
        <v>524.36942046713705</v>
      </c>
      <c r="AG502">
        <v>905.38860733260697</v>
      </c>
    </row>
    <row r="503" spans="1:33" x14ac:dyDescent="0.25">
      <c r="A503" s="1">
        <v>44554</v>
      </c>
      <c r="B503">
        <v>12359.2891412588</v>
      </c>
      <c r="C503">
        <v>2686.2563175267201</v>
      </c>
      <c r="D503">
        <v>6869.7217310572996</v>
      </c>
      <c r="E503">
        <v>10425.2611261643</v>
      </c>
      <c r="F503">
        <v>8188.0491332341198</v>
      </c>
      <c r="G503">
        <v>6385.3140611180897</v>
      </c>
      <c r="H503">
        <v>21253.7154589038</v>
      </c>
      <c r="I503">
        <v>12512.065218683199</v>
      </c>
      <c r="J503">
        <v>1501.1598509631301</v>
      </c>
      <c r="K503">
        <v>1559.7638419100599</v>
      </c>
      <c r="L503">
        <v>853.88783187504498</v>
      </c>
      <c r="M503">
        <v>5166.7589080523803</v>
      </c>
      <c r="N503">
        <v>563.56756396860897</v>
      </c>
      <c r="O503">
        <v>583.36775587001205</v>
      </c>
      <c r="P503">
        <v>1087.3645124852101</v>
      </c>
      <c r="Q503">
        <v>3393.2476037433998</v>
      </c>
      <c r="R503">
        <v>839.77291867576605</v>
      </c>
      <c r="S503">
        <v>453.490887293301</v>
      </c>
      <c r="T503">
        <v>212.79059890856101</v>
      </c>
      <c r="U503">
        <v>270.36364383465201</v>
      </c>
      <c r="V503">
        <v>160.19282986047801</v>
      </c>
      <c r="W503">
        <v>175.153469519336</v>
      </c>
      <c r="X503">
        <v>161.013299729338</v>
      </c>
      <c r="Y503">
        <v>765.07589268574895</v>
      </c>
      <c r="Z503">
        <v>246.91432573998</v>
      </c>
      <c r="AA503">
        <v>812.07229383042397</v>
      </c>
      <c r="AB503">
        <v>857.60343282337794</v>
      </c>
      <c r="AC503">
        <v>514.18069491976701</v>
      </c>
      <c r="AD503">
        <v>747.01705489857102</v>
      </c>
      <c r="AE503">
        <v>637.08664771991596</v>
      </c>
      <c r="AF503">
        <v>534.85117478718098</v>
      </c>
      <c r="AG503">
        <v>925.92853884391502</v>
      </c>
    </row>
    <row r="504" spans="1:33" x14ac:dyDescent="0.25">
      <c r="A504" s="1">
        <v>44555</v>
      </c>
      <c r="B504">
        <v>12413.533337474701</v>
      </c>
      <c r="C504">
        <v>3424.24506469985</v>
      </c>
      <c r="D504">
        <v>6568.9629859573697</v>
      </c>
      <c r="E504">
        <v>9937.6669412543197</v>
      </c>
      <c r="F504">
        <v>6884.4174382032397</v>
      </c>
      <c r="G504">
        <v>4590.7577589618304</v>
      </c>
      <c r="H504">
        <v>18703.889819860298</v>
      </c>
      <c r="I504">
        <v>12023.2194869005</v>
      </c>
      <c r="J504">
        <v>1448.8276054102701</v>
      </c>
      <c r="K504">
        <v>1511.12848842106</v>
      </c>
      <c r="L504">
        <v>780.97999627993102</v>
      </c>
      <c r="M504">
        <v>3698.2890385532</v>
      </c>
      <c r="N504">
        <v>411.26620848419498</v>
      </c>
      <c r="O504">
        <v>475.85805334314398</v>
      </c>
      <c r="P504">
        <v>1018.75809600484</v>
      </c>
      <c r="Q504">
        <v>2253.2567007156999</v>
      </c>
      <c r="R504">
        <v>672.16872853571704</v>
      </c>
      <c r="S504">
        <v>448.33681205963398</v>
      </c>
      <c r="T504">
        <v>215.392934627377</v>
      </c>
      <c r="U504">
        <v>269.52611393253102</v>
      </c>
      <c r="V504">
        <v>178.58450939841799</v>
      </c>
      <c r="W504">
        <v>184.70932173990099</v>
      </c>
      <c r="X504">
        <v>178.87897878287299</v>
      </c>
      <c r="Y504">
        <v>676.10457068052096</v>
      </c>
      <c r="Z504">
        <v>221.28304861148001</v>
      </c>
      <c r="AA504">
        <v>817.15199515864299</v>
      </c>
      <c r="AB504">
        <v>773.19876267496397</v>
      </c>
      <c r="AC504">
        <v>547.51231320008696</v>
      </c>
      <c r="AD504">
        <v>689.92643798188203</v>
      </c>
      <c r="AE504">
        <v>522.00029485336495</v>
      </c>
      <c r="AF504">
        <v>551.434223435955</v>
      </c>
      <c r="AG504">
        <v>972.40420474307905</v>
      </c>
    </row>
    <row r="505" spans="1:33" x14ac:dyDescent="0.25">
      <c r="A505" s="1">
        <v>44556</v>
      </c>
      <c r="B505">
        <v>12488.4458305234</v>
      </c>
      <c r="C505">
        <v>3355.1749331630099</v>
      </c>
      <c r="D505">
        <v>5748.7674299294804</v>
      </c>
      <c r="E505">
        <v>9603.6018326660105</v>
      </c>
      <c r="F505">
        <v>4879.4085130908697</v>
      </c>
      <c r="G505">
        <v>2299.7379205238099</v>
      </c>
      <c r="H505">
        <v>14133.0151880167</v>
      </c>
      <c r="I505">
        <v>11540.7794404984</v>
      </c>
      <c r="J505">
        <v>1420.9569711910899</v>
      </c>
      <c r="K505">
        <v>1436.5840919104601</v>
      </c>
      <c r="L505">
        <v>745.76709674222695</v>
      </c>
      <c r="M505">
        <v>1926.7433254909799</v>
      </c>
      <c r="N505">
        <v>289.64006659158002</v>
      </c>
      <c r="O505">
        <v>351.71583204963002</v>
      </c>
      <c r="P505">
        <v>931.46483411074996</v>
      </c>
      <c r="Q505">
        <v>1078.10429060002</v>
      </c>
      <c r="R505">
        <v>567.25130804417995</v>
      </c>
      <c r="S505">
        <v>458.01404818280503</v>
      </c>
      <c r="T505">
        <v>218.53121667633599</v>
      </c>
      <c r="U505">
        <v>269.57549270562902</v>
      </c>
      <c r="V505">
        <v>190.39332234181299</v>
      </c>
      <c r="W505">
        <v>177.638908372065</v>
      </c>
      <c r="X505">
        <v>190.60089824576099</v>
      </c>
      <c r="Y505">
        <v>675.12995947898196</v>
      </c>
      <c r="Z505">
        <v>220.790280216989</v>
      </c>
      <c r="AA505">
        <v>820.66451615752601</v>
      </c>
      <c r="AB505">
        <v>746.88058401727005</v>
      </c>
      <c r="AC505">
        <v>584.01295954902105</v>
      </c>
      <c r="AD505">
        <v>637.91051514916001</v>
      </c>
      <c r="AE505">
        <v>481.59494759109401</v>
      </c>
      <c r="AF505">
        <v>577.55941739612297</v>
      </c>
      <c r="AG505">
        <v>1012.2812107232201</v>
      </c>
    </row>
    <row r="506" spans="1:33" x14ac:dyDescent="0.25">
      <c r="A506" s="1">
        <v>44557</v>
      </c>
      <c r="B506">
        <v>12414.1592924037</v>
      </c>
      <c r="C506">
        <v>2624.28509674012</v>
      </c>
      <c r="D506">
        <v>5494.29244530712</v>
      </c>
      <c r="E506">
        <v>9320.0407394385402</v>
      </c>
      <c r="F506">
        <v>3429.72164047774</v>
      </c>
      <c r="G506">
        <v>1402.7137835193701</v>
      </c>
      <c r="H506">
        <v>12168.5666268896</v>
      </c>
      <c r="I506">
        <v>10451.6901938929</v>
      </c>
      <c r="J506">
        <v>1355.6367964357801</v>
      </c>
      <c r="K506">
        <v>1375.5012975927</v>
      </c>
      <c r="L506">
        <v>704.58513016855295</v>
      </c>
      <c r="M506">
        <v>1250.0096862678099</v>
      </c>
      <c r="N506">
        <v>255.272433879462</v>
      </c>
      <c r="O506">
        <v>344.96800631873498</v>
      </c>
      <c r="P506">
        <v>827.00269919977598</v>
      </c>
      <c r="Q506">
        <v>759.39407343492201</v>
      </c>
      <c r="R506">
        <v>500.80479442318801</v>
      </c>
      <c r="S506">
        <v>461.21970884734702</v>
      </c>
      <c r="T506">
        <v>220.046747128047</v>
      </c>
      <c r="U506">
        <v>266.02014476599402</v>
      </c>
      <c r="V506">
        <v>165.510898745193</v>
      </c>
      <c r="W506">
        <v>138.37474540999099</v>
      </c>
      <c r="X506">
        <v>164.19949348645099</v>
      </c>
      <c r="Y506">
        <v>739.25194199581802</v>
      </c>
      <c r="Z506">
        <v>224.73796475293099</v>
      </c>
      <c r="AA506">
        <v>819.17662741191202</v>
      </c>
      <c r="AB506">
        <v>791.19949174751196</v>
      </c>
      <c r="AC506">
        <v>520.77339953775197</v>
      </c>
      <c r="AD506">
        <v>602.08219901833502</v>
      </c>
      <c r="AE506">
        <v>418.60027699712703</v>
      </c>
      <c r="AF506">
        <v>597.82475499558598</v>
      </c>
      <c r="AG506">
        <v>1009.79230458881</v>
      </c>
    </row>
    <row r="507" spans="1:33" x14ac:dyDescent="0.25">
      <c r="A507" s="1">
        <v>44558</v>
      </c>
      <c r="B507">
        <v>12278.4922504932</v>
      </c>
      <c r="C507">
        <v>1551.0998102830399</v>
      </c>
      <c r="D507">
        <v>5225.1874774890503</v>
      </c>
      <c r="E507">
        <v>8975.0902207660893</v>
      </c>
      <c r="F507">
        <v>2512.0347287610002</v>
      </c>
      <c r="G507">
        <v>931.78168508749604</v>
      </c>
      <c r="H507">
        <v>10124.432306365699</v>
      </c>
      <c r="I507">
        <v>8800.39174407274</v>
      </c>
      <c r="J507">
        <v>1305.9297008114099</v>
      </c>
      <c r="K507">
        <v>1319.55868072781</v>
      </c>
      <c r="L507">
        <v>643.07723880282697</v>
      </c>
      <c r="M507">
        <v>950.59544313549395</v>
      </c>
      <c r="N507">
        <v>236.20758999721701</v>
      </c>
      <c r="O507">
        <v>306.33056665317901</v>
      </c>
      <c r="P507">
        <v>734.39264241718195</v>
      </c>
      <c r="Q507">
        <v>525.42073892450401</v>
      </c>
      <c r="R507">
        <v>447.576213385899</v>
      </c>
      <c r="S507">
        <v>471.15700494956701</v>
      </c>
      <c r="T507">
        <v>206.80370547731599</v>
      </c>
      <c r="U507">
        <v>302.79376650325298</v>
      </c>
      <c r="V507">
        <v>128.40340703999701</v>
      </c>
      <c r="W507">
        <v>115.81770346715101</v>
      </c>
      <c r="X507">
        <v>127.839763085428</v>
      </c>
      <c r="Y507">
        <v>736.04950225601601</v>
      </c>
      <c r="Z507">
        <v>218.41996011493401</v>
      </c>
      <c r="AA507">
        <v>819.55534729233705</v>
      </c>
      <c r="AB507">
        <v>809.95935725935396</v>
      </c>
      <c r="AC507">
        <v>477.644814258309</v>
      </c>
      <c r="AD507">
        <v>559.32352101118499</v>
      </c>
      <c r="AE507">
        <v>325.44531998678701</v>
      </c>
      <c r="AF507">
        <v>599.94272070765498</v>
      </c>
      <c r="AG507">
        <v>1008.41472232722</v>
      </c>
    </row>
    <row r="508" spans="1:33" x14ac:dyDescent="0.25">
      <c r="A508" s="1">
        <v>44559</v>
      </c>
      <c r="B508">
        <v>11869.501814568001</v>
      </c>
      <c r="C508">
        <v>1244.09083313779</v>
      </c>
      <c r="D508">
        <v>5330.1990092188998</v>
      </c>
      <c r="E508">
        <v>8455.0827909279506</v>
      </c>
      <c r="F508">
        <v>1801.90717671377</v>
      </c>
      <c r="G508">
        <v>992.71226897164001</v>
      </c>
      <c r="H508">
        <v>10992.357196552101</v>
      </c>
      <c r="I508">
        <v>7359.2656710411002</v>
      </c>
      <c r="J508">
        <v>1237.0183329877</v>
      </c>
      <c r="K508">
        <v>1207.0333324343001</v>
      </c>
      <c r="L508">
        <v>578.59143257772996</v>
      </c>
      <c r="M508">
        <v>939.10753466737401</v>
      </c>
      <c r="N508">
        <v>214.66071239728799</v>
      </c>
      <c r="O508">
        <v>299.76970875064598</v>
      </c>
      <c r="P508">
        <v>675.16067601971099</v>
      </c>
      <c r="Q508">
        <v>483.59631666817</v>
      </c>
      <c r="R508">
        <v>442.334214776419</v>
      </c>
      <c r="S508">
        <v>479.53404740618902</v>
      </c>
      <c r="T508">
        <v>186.86237403105</v>
      </c>
      <c r="U508">
        <v>295.33802518028699</v>
      </c>
      <c r="V508">
        <v>116.150608310829</v>
      </c>
      <c r="W508">
        <v>122.888175590618</v>
      </c>
      <c r="X508">
        <v>116.4184696053</v>
      </c>
      <c r="Y508">
        <v>710.68450262485499</v>
      </c>
      <c r="Z508">
        <v>223.407276460666</v>
      </c>
      <c r="AA508">
        <v>814.31905329944004</v>
      </c>
      <c r="AB508">
        <v>824.73961591017201</v>
      </c>
      <c r="AC508">
        <v>447.80189681791597</v>
      </c>
      <c r="AD508">
        <v>516.54252635339105</v>
      </c>
      <c r="AE508">
        <v>297.46802549432499</v>
      </c>
      <c r="AF508">
        <v>606.50489109592695</v>
      </c>
      <c r="AG508">
        <v>999.93279063440502</v>
      </c>
    </row>
    <row r="509" spans="1:33" x14ac:dyDescent="0.25">
      <c r="A509" s="1">
        <v>44560</v>
      </c>
      <c r="B509">
        <v>10380.184932499</v>
      </c>
      <c r="C509">
        <v>972.10813833285101</v>
      </c>
      <c r="D509">
        <v>5332.8731995124699</v>
      </c>
      <c r="E509">
        <v>7949.1324042165797</v>
      </c>
      <c r="F509">
        <v>1532.1656990281899</v>
      </c>
      <c r="G509">
        <v>1206.6799550476001</v>
      </c>
      <c r="H509">
        <v>11526.899476533499</v>
      </c>
      <c r="I509">
        <v>6515.5564693811502</v>
      </c>
      <c r="J509">
        <v>1161.16567444304</v>
      </c>
      <c r="K509">
        <v>1103.3191037439899</v>
      </c>
      <c r="L509">
        <v>530.35917038017703</v>
      </c>
      <c r="M509">
        <v>924.63353758928997</v>
      </c>
      <c r="N509">
        <v>203.18366614070499</v>
      </c>
      <c r="O509">
        <v>327.40976303952198</v>
      </c>
      <c r="P509">
        <v>622.74795540032699</v>
      </c>
      <c r="Q509">
        <v>511.15810559885801</v>
      </c>
      <c r="R509">
        <v>444.46711439676699</v>
      </c>
      <c r="S509">
        <v>492.133690153195</v>
      </c>
      <c r="T509">
        <v>188.865679931974</v>
      </c>
      <c r="U509">
        <v>291.192982353432</v>
      </c>
      <c r="V509">
        <v>127.411326071142</v>
      </c>
      <c r="W509">
        <v>120.38330879934701</v>
      </c>
      <c r="X509">
        <v>126.411747278251</v>
      </c>
      <c r="Y509">
        <v>673.11495598013698</v>
      </c>
      <c r="Z509">
        <v>203.623715179627</v>
      </c>
      <c r="AA509">
        <v>811.03999933038097</v>
      </c>
      <c r="AB509">
        <v>804.27315648527804</v>
      </c>
      <c r="AC509">
        <v>414.59576075567401</v>
      </c>
      <c r="AD509">
        <v>488.56754262266998</v>
      </c>
      <c r="AE509">
        <v>278.704099192635</v>
      </c>
      <c r="AF509">
        <v>590.71522463875795</v>
      </c>
      <c r="AG509">
        <v>965.97722706101399</v>
      </c>
    </row>
    <row r="510" spans="1:33" x14ac:dyDescent="0.25">
      <c r="A510" s="1">
        <v>44561</v>
      </c>
      <c r="B510">
        <v>9041.2644137146908</v>
      </c>
      <c r="C510">
        <v>773.39880504319899</v>
      </c>
      <c r="D510">
        <v>5316.97394924939</v>
      </c>
      <c r="E510">
        <v>7227.1640030394001</v>
      </c>
      <c r="F510">
        <v>1696.57887808482</v>
      </c>
      <c r="G510">
        <v>1277.5392296158</v>
      </c>
      <c r="H510">
        <v>12002.6593112342</v>
      </c>
      <c r="I510">
        <v>5896.8445231696896</v>
      </c>
      <c r="J510">
        <v>1093.1607361333699</v>
      </c>
      <c r="K510">
        <v>1059.49390473116</v>
      </c>
      <c r="L510">
        <v>507.57365825543002</v>
      </c>
      <c r="M510">
        <v>982.77891608852303</v>
      </c>
      <c r="N510">
        <v>207.48624663464901</v>
      </c>
      <c r="O510">
        <v>346.70514747600498</v>
      </c>
      <c r="P510">
        <v>579.62092050115598</v>
      </c>
      <c r="Q510">
        <v>553.80282722718505</v>
      </c>
      <c r="R510">
        <v>454.16313598753197</v>
      </c>
      <c r="S510">
        <v>501.97600882504702</v>
      </c>
      <c r="T510">
        <v>187.84290418226601</v>
      </c>
      <c r="U510">
        <v>298.14857365474501</v>
      </c>
      <c r="V510">
        <v>119.82059725069399</v>
      </c>
      <c r="W510">
        <v>119.943307639945</v>
      </c>
      <c r="X510">
        <v>118.262165705622</v>
      </c>
      <c r="Y510">
        <v>658.69552250986806</v>
      </c>
      <c r="Z510">
        <v>191.50920510460301</v>
      </c>
      <c r="AA510">
        <v>803.86462074172596</v>
      </c>
      <c r="AB510">
        <v>812.96225307534405</v>
      </c>
      <c r="AC510">
        <v>442.812177920051</v>
      </c>
      <c r="AD510">
        <v>467.38933276239499</v>
      </c>
      <c r="AE510">
        <v>294.25860412888102</v>
      </c>
      <c r="AF510">
        <v>557.63631295309597</v>
      </c>
      <c r="AG510">
        <v>940.44950010812704</v>
      </c>
    </row>
    <row r="511" spans="1:33" x14ac:dyDescent="0.25">
      <c r="A511" s="1">
        <v>44562</v>
      </c>
      <c r="B511">
        <v>8220.6588439857205</v>
      </c>
      <c r="C511">
        <v>662.139942222625</v>
      </c>
      <c r="D511">
        <v>5140.1116870136502</v>
      </c>
      <c r="E511">
        <v>6669.3074524183103</v>
      </c>
      <c r="F511">
        <v>1428.1842336316299</v>
      </c>
      <c r="G511">
        <v>1107.94266193828</v>
      </c>
      <c r="H511">
        <v>10119.35891284</v>
      </c>
      <c r="I511">
        <v>4499.3722663308199</v>
      </c>
      <c r="J511">
        <v>1012.2911795916</v>
      </c>
      <c r="K511">
        <v>1026.99219739367</v>
      </c>
      <c r="L511">
        <v>485.47273733786398</v>
      </c>
      <c r="M511">
        <v>875.988159370375</v>
      </c>
      <c r="N511">
        <v>209.34069620928699</v>
      </c>
      <c r="O511">
        <v>347.82382279036301</v>
      </c>
      <c r="P511">
        <v>550.80931305663501</v>
      </c>
      <c r="Q511">
        <v>517.88274560643094</v>
      </c>
      <c r="R511">
        <v>438.34606892410397</v>
      </c>
      <c r="S511">
        <v>512.43745912480904</v>
      </c>
      <c r="T511">
        <v>184.07251235253401</v>
      </c>
      <c r="U511">
        <v>301.65471567959901</v>
      </c>
      <c r="V511">
        <v>125.439631983339</v>
      </c>
      <c r="W511">
        <v>127.691106262944</v>
      </c>
      <c r="X511">
        <v>125.372333643011</v>
      </c>
      <c r="Y511">
        <v>645.49001979653406</v>
      </c>
      <c r="Z511">
        <v>187.59383806452999</v>
      </c>
      <c r="AA511">
        <v>796.12605545628003</v>
      </c>
      <c r="AB511">
        <v>804.05537767912801</v>
      </c>
      <c r="AC511">
        <v>465.911442914254</v>
      </c>
      <c r="AD511">
        <v>453.95435956392299</v>
      </c>
      <c r="AE511">
        <v>302.71002125946802</v>
      </c>
      <c r="AF511">
        <v>511.978238079704</v>
      </c>
      <c r="AG511">
        <v>920.83548986148503</v>
      </c>
    </row>
    <row r="512" spans="1:33" x14ac:dyDescent="0.25">
      <c r="A512" t="s">
        <v>37</v>
      </c>
      <c r="B512">
        <f>COUNTIF(B$3:B$511,"&gt;=1000")</f>
        <v>509</v>
      </c>
      <c r="C512">
        <f t="shared" ref="C512:AG512" si="0">COUNTIF(C$3:C$511,"&gt;=1000")</f>
        <v>506</v>
      </c>
      <c r="D512">
        <f t="shared" si="0"/>
        <v>509</v>
      </c>
      <c r="E512">
        <f t="shared" si="0"/>
        <v>509</v>
      </c>
      <c r="F512">
        <f t="shared" si="0"/>
        <v>509</v>
      </c>
      <c r="G512">
        <f t="shared" si="0"/>
        <v>507</v>
      </c>
      <c r="H512">
        <f t="shared" si="0"/>
        <v>509</v>
      </c>
      <c r="I512">
        <f t="shared" si="0"/>
        <v>509</v>
      </c>
      <c r="J512">
        <f t="shared" si="0"/>
        <v>469</v>
      </c>
      <c r="K512">
        <f t="shared" si="0"/>
        <v>458</v>
      </c>
      <c r="L512">
        <f t="shared" si="0"/>
        <v>336</v>
      </c>
      <c r="M512">
        <f t="shared" si="0"/>
        <v>504</v>
      </c>
      <c r="N512">
        <f t="shared" si="0"/>
        <v>471</v>
      </c>
      <c r="O512">
        <f t="shared" si="0"/>
        <v>291</v>
      </c>
      <c r="P512">
        <f t="shared" si="0"/>
        <v>467</v>
      </c>
      <c r="Q512">
        <f t="shared" si="0"/>
        <v>503</v>
      </c>
      <c r="R512">
        <f t="shared" si="0"/>
        <v>357</v>
      </c>
      <c r="S512">
        <f t="shared" si="0"/>
        <v>0</v>
      </c>
      <c r="T512">
        <f t="shared" si="0"/>
        <v>85</v>
      </c>
      <c r="U512">
        <f t="shared" si="0"/>
        <v>0</v>
      </c>
      <c r="V512">
        <f t="shared" si="0"/>
        <v>70</v>
      </c>
      <c r="W512">
        <f t="shared" si="0"/>
        <v>0</v>
      </c>
      <c r="X512">
        <f t="shared" si="0"/>
        <v>7</v>
      </c>
      <c r="Y512">
        <f t="shared" si="0"/>
        <v>53</v>
      </c>
      <c r="Z512">
        <f t="shared" si="0"/>
        <v>0</v>
      </c>
      <c r="AA512">
        <f t="shared" si="0"/>
        <v>25</v>
      </c>
      <c r="AB512">
        <f t="shared" si="0"/>
        <v>191</v>
      </c>
      <c r="AC512">
        <f t="shared" si="0"/>
        <v>5</v>
      </c>
      <c r="AD512">
        <f t="shared" si="0"/>
        <v>203</v>
      </c>
      <c r="AE512">
        <f t="shared" si="0"/>
        <v>16</v>
      </c>
      <c r="AF512">
        <f t="shared" si="0"/>
        <v>0</v>
      </c>
      <c r="AG512">
        <f t="shared" si="0"/>
        <v>38</v>
      </c>
    </row>
    <row r="513" spans="1:57" x14ac:dyDescent="0.25">
      <c r="A513" t="s">
        <v>38</v>
      </c>
      <c r="B513">
        <f>COUNTIF(B$54:B$235,"&gt;=1000")</f>
        <v>182</v>
      </c>
      <c r="C513">
        <f t="shared" ref="C513:AG513" si="1">COUNTIF(C$54:C$235,"&gt;=1000")</f>
        <v>182</v>
      </c>
      <c r="D513">
        <f t="shared" si="1"/>
        <v>182</v>
      </c>
      <c r="E513">
        <f t="shared" si="1"/>
        <v>182</v>
      </c>
      <c r="F513">
        <f t="shared" si="1"/>
        <v>182</v>
      </c>
      <c r="G513">
        <f t="shared" si="1"/>
        <v>182</v>
      </c>
      <c r="H513">
        <f t="shared" si="1"/>
        <v>182</v>
      </c>
      <c r="I513">
        <f t="shared" si="1"/>
        <v>182</v>
      </c>
      <c r="J513">
        <f t="shared" si="1"/>
        <v>174</v>
      </c>
      <c r="K513">
        <f t="shared" si="1"/>
        <v>159</v>
      </c>
      <c r="L513">
        <f t="shared" si="1"/>
        <v>122</v>
      </c>
      <c r="M513">
        <f t="shared" si="1"/>
        <v>182</v>
      </c>
      <c r="N513">
        <f t="shared" si="1"/>
        <v>168</v>
      </c>
      <c r="O513">
        <f t="shared" si="1"/>
        <v>104</v>
      </c>
      <c r="P513">
        <f t="shared" si="1"/>
        <v>168</v>
      </c>
      <c r="Q513">
        <f t="shared" si="1"/>
        <v>182</v>
      </c>
      <c r="R513">
        <f t="shared" si="1"/>
        <v>124</v>
      </c>
      <c r="S513">
        <f t="shared" si="1"/>
        <v>0</v>
      </c>
      <c r="T513">
        <f t="shared" si="1"/>
        <v>3</v>
      </c>
      <c r="U513">
        <f t="shared" si="1"/>
        <v>0</v>
      </c>
      <c r="V513">
        <f t="shared" si="1"/>
        <v>2</v>
      </c>
      <c r="W513">
        <f t="shared" si="1"/>
        <v>0</v>
      </c>
      <c r="X513">
        <f t="shared" si="1"/>
        <v>0</v>
      </c>
      <c r="Y513">
        <f t="shared" si="1"/>
        <v>8</v>
      </c>
      <c r="Z513">
        <f t="shared" si="1"/>
        <v>0</v>
      </c>
      <c r="AA513">
        <f t="shared" si="1"/>
        <v>0</v>
      </c>
      <c r="AB513">
        <f t="shared" si="1"/>
        <v>116</v>
      </c>
      <c r="AC513">
        <f t="shared" si="1"/>
        <v>5</v>
      </c>
      <c r="AD513">
        <f t="shared" si="1"/>
        <v>44</v>
      </c>
      <c r="AE513">
        <f t="shared" si="1"/>
        <v>16</v>
      </c>
      <c r="AF513">
        <f t="shared" si="1"/>
        <v>0</v>
      </c>
      <c r="AG513">
        <f t="shared" si="1"/>
        <v>8</v>
      </c>
      <c r="AH513" t="s">
        <v>109</v>
      </c>
    </row>
    <row r="514" spans="1:57" x14ac:dyDescent="0.25">
      <c r="A514" t="s">
        <v>39</v>
      </c>
      <c r="B514">
        <f>COUNTIF(B$419:B$511,"&gt;=1000")</f>
        <v>93</v>
      </c>
      <c r="C514">
        <f t="shared" ref="C514:AG514" si="2">COUNTIF(C$419:C$511,"&gt;=1000")</f>
        <v>90</v>
      </c>
      <c r="D514">
        <f t="shared" si="2"/>
        <v>93</v>
      </c>
      <c r="E514">
        <f t="shared" si="2"/>
        <v>93</v>
      </c>
      <c r="F514">
        <f t="shared" si="2"/>
        <v>93</v>
      </c>
      <c r="G514">
        <f t="shared" si="2"/>
        <v>91</v>
      </c>
      <c r="H514">
        <f t="shared" si="2"/>
        <v>93</v>
      </c>
      <c r="I514">
        <f t="shared" si="2"/>
        <v>93</v>
      </c>
      <c r="J514">
        <f t="shared" si="2"/>
        <v>93</v>
      </c>
      <c r="K514">
        <f t="shared" si="2"/>
        <v>93</v>
      </c>
      <c r="L514">
        <f t="shared" si="2"/>
        <v>58</v>
      </c>
      <c r="M514">
        <f t="shared" si="2"/>
        <v>88</v>
      </c>
      <c r="N514">
        <f t="shared" si="2"/>
        <v>69</v>
      </c>
      <c r="O514">
        <f t="shared" si="2"/>
        <v>47</v>
      </c>
      <c r="P514">
        <f t="shared" si="2"/>
        <v>85</v>
      </c>
      <c r="Q514">
        <f t="shared" si="2"/>
        <v>87</v>
      </c>
      <c r="R514">
        <f t="shared" si="2"/>
        <v>61</v>
      </c>
      <c r="S514">
        <f t="shared" si="2"/>
        <v>0</v>
      </c>
      <c r="T514">
        <f t="shared" si="2"/>
        <v>12</v>
      </c>
      <c r="U514">
        <f t="shared" si="2"/>
        <v>0</v>
      </c>
      <c r="V514">
        <f t="shared" si="2"/>
        <v>12</v>
      </c>
      <c r="W514">
        <f t="shared" si="2"/>
        <v>0</v>
      </c>
      <c r="X514">
        <f t="shared" si="2"/>
        <v>0</v>
      </c>
      <c r="Y514">
        <f t="shared" si="2"/>
        <v>22</v>
      </c>
      <c r="Z514">
        <f t="shared" si="2"/>
        <v>0</v>
      </c>
      <c r="AA514">
        <f t="shared" si="2"/>
        <v>25</v>
      </c>
      <c r="AB514">
        <f t="shared" si="2"/>
        <v>28</v>
      </c>
      <c r="AC514">
        <f t="shared" si="2"/>
        <v>0</v>
      </c>
      <c r="AD514">
        <f t="shared" si="2"/>
        <v>41</v>
      </c>
      <c r="AE514">
        <f t="shared" si="2"/>
        <v>0</v>
      </c>
      <c r="AF514">
        <f t="shared" si="2"/>
        <v>0</v>
      </c>
      <c r="AG514">
        <f t="shared" si="2"/>
        <v>29</v>
      </c>
      <c r="AH514" t="s">
        <v>110</v>
      </c>
    </row>
    <row r="515" spans="1:57" x14ac:dyDescent="0.25">
      <c r="A515" t="s">
        <v>40</v>
      </c>
      <c r="B515">
        <f>COUNTIF(B$3:B$53,"&gt;=1000")</f>
        <v>51</v>
      </c>
      <c r="C515">
        <f t="shared" ref="C515:AG515" si="3">COUNTIF(C$3:C$53,"&gt;=1000")</f>
        <v>51</v>
      </c>
      <c r="D515">
        <f t="shared" si="3"/>
        <v>51</v>
      </c>
      <c r="E515">
        <f t="shared" si="3"/>
        <v>51</v>
      </c>
      <c r="F515">
        <f t="shared" si="3"/>
        <v>51</v>
      </c>
      <c r="G515">
        <f t="shared" si="3"/>
        <v>51</v>
      </c>
      <c r="H515">
        <f t="shared" si="3"/>
        <v>51</v>
      </c>
      <c r="I515">
        <f t="shared" si="3"/>
        <v>51</v>
      </c>
      <c r="J515">
        <f t="shared" si="3"/>
        <v>51</v>
      </c>
      <c r="K515">
        <f t="shared" si="3"/>
        <v>51</v>
      </c>
      <c r="L515">
        <f t="shared" si="3"/>
        <v>40</v>
      </c>
      <c r="M515">
        <f t="shared" si="3"/>
        <v>51</v>
      </c>
      <c r="N515">
        <f t="shared" si="3"/>
        <v>51</v>
      </c>
      <c r="O515">
        <f t="shared" si="3"/>
        <v>19</v>
      </c>
      <c r="P515">
        <f t="shared" si="3"/>
        <v>51</v>
      </c>
      <c r="Q515">
        <f t="shared" si="3"/>
        <v>51</v>
      </c>
      <c r="R515">
        <f t="shared" si="3"/>
        <v>46</v>
      </c>
      <c r="S515">
        <f t="shared" si="3"/>
        <v>0</v>
      </c>
      <c r="T515">
        <f t="shared" si="3"/>
        <v>0</v>
      </c>
      <c r="U515">
        <f t="shared" si="3"/>
        <v>0</v>
      </c>
      <c r="V515">
        <f t="shared" si="3"/>
        <v>0</v>
      </c>
      <c r="W515">
        <f t="shared" si="3"/>
        <v>0</v>
      </c>
      <c r="X515">
        <f t="shared" si="3"/>
        <v>0</v>
      </c>
      <c r="Y515">
        <f t="shared" si="3"/>
        <v>15</v>
      </c>
      <c r="Z515">
        <f t="shared" si="3"/>
        <v>0</v>
      </c>
      <c r="AA515">
        <f t="shared" si="3"/>
        <v>0</v>
      </c>
      <c r="AB515">
        <f t="shared" si="3"/>
        <v>31</v>
      </c>
      <c r="AC515">
        <f t="shared" si="3"/>
        <v>0</v>
      </c>
      <c r="AD515">
        <f t="shared" si="3"/>
        <v>11</v>
      </c>
      <c r="AE515">
        <f t="shared" si="3"/>
        <v>0</v>
      </c>
      <c r="AF515">
        <f t="shared" si="3"/>
        <v>0</v>
      </c>
      <c r="AG515">
        <f t="shared" si="3"/>
        <v>0</v>
      </c>
      <c r="AH515" t="s">
        <v>111</v>
      </c>
    </row>
    <row r="516" spans="1:57" x14ac:dyDescent="0.25">
      <c r="A516" t="s">
        <v>41</v>
      </c>
      <c r="B516">
        <f>COUNTIF(B$236:B$418,"&gt;=1000")</f>
        <v>183</v>
      </c>
      <c r="C516">
        <f t="shared" ref="C516:AG516" si="4">COUNTIF(C$236:C$418,"&gt;=1000")</f>
        <v>183</v>
      </c>
      <c r="D516">
        <f t="shared" si="4"/>
        <v>183</v>
      </c>
      <c r="E516">
        <f t="shared" si="4"/>
        <v>183</v>
      </c>
      <c r="F516">
        <f t="shared" si="4"/>
        <v>183</v>
      </c>
      <c r="G516">
        <f t="shared" si="4"/>
        <v>183</v>
      </c>
      <c r="H516">
        <f t="shared" si="4"/>
        <v>183</v>
      </c>
      <c r="I516">
        <f t="shared" si="4"/>
        <v>183</v>
      </c>
      <c r="J516">
        <f t="shared" si="4"/>
        <v>151</v>
      </c>
      <c r="K516">
        <f t="shared" si="4"/>
        <v>155</v>
      </c>
      <c r="L516">
        <f t="shared" si="4"/>
        <v>116</v>
      </c>
      <c r="M516">
        <f t="shared" si="4"/>
        <v>183</v>
      </c>
      <c r="N516">
        <f t="shared" si="4"/>
        <v>183</v>
      </c>
      <c r="O516">
        <f t="shared" si="4"/>
        <v>121</v>
      </c>
      <c r="P516">
        <f t="shared" si="4"/>
        <v>163</v>
      </c>
      <c r="Q516">
        <f t="shared" si="4"/>
        <v>183</v>
      </c>
      <c r="R516">
        <f t="shared" si="4"/>
        <v>126</v>
      </c>
      <c r="S516">
        <f t="shared" si="4"/>
        <v>0</v>
      </c>
      <c r="T516">
        <f t="shared" si="4"/>
        <v>70</v>
      </c>
      <c r="U516">
        <f t="shared" si="4"/>
        <v>0</v>
      </c>
      <c r="V516">
        <f t="shared" si="4"/>
        <v>56</v>
      </c>
      <c r="W516">
        <f t="shared" si="4"/>
        <v>0</v>
      </c>
      <c r="X516">
        <f t="shared" si="4"/>
        <v>7</v>
      </c>
      <c r="Y516">
        <f t="shared" si="4"/>
        <v>8</v>
      </c>
      <c r="Z516">
        <f t="shared" si="4"/>
        <v>0</v>
      </c>
      <c r="AA516">
        <f t="shared" si="4"/>
        <v>0</v>
      </c>
      <c r="AB516">
        <f t="shared" si="4"/>
        <v>16</v>
      </c>
      <c r="AC516">
        <f t="shared" si="4"/>
        <v>0</v>
      </c>
      <c r="AD516">
        <f t="shared" si="4"/>
        <v>107</v>
      </c>
      <c r="AE516">
        <f t="shared" si="4"/>
        <v>0</v>
      </c>
      <c r="AF516">
        <f t="shared" si="4"/>
        <v>0</v>
      </c>
      <c r="AG516">
        <f t="shared" si="4"/>
        <v>1</v>
      </c>
      <c r="AH516" t="s">
        <v>112</v>
      </c>
    </row>
    <row r="517" spans="1:57" x14ac:dyDescent="0.25">
      <c r="A517" t="s">
        <v>42</v>
      </c>
      <c r="B517">
        <f>SUM(B$513,B$514)</f>
        <v>275</v>
      </c>
      <c r="C517">
        <f t="shared" ref="C517:AG517" si="5">SUM(C$513,C$514)</f>
        <v>272</v>
      </c>
      <c r="D517">
        <f t="shared" si="5"/>
        <v>275</v>
      </c>
      <c r="E517">
        <f t="shared" si="5"/>
        <v>275</v>
      </c>
      <c r="F517">
        <f t="shared" si="5"/>
        <v>275</v>
      </c>
      <c r="G517">
        <f t="shared" si="5"/>
        <v>273</v>
      </c>
      <c r="H517">
        <f t="shared" si="5"/>
        <v>275</v>
      </c>
      <c r="I517">
        <f t="shared" si="5"/>
        <v>275</v>
      </c>
      <c r="J517">
        <f t="shared" si="5"/>
        <v>267</v>
      </c>
      <c r="K517">
        <f t="shared" si="5"/>
        <v>252</v>
      </c>
      <c r="L517">
        <f t="shared" si="5"/>
        <v>180</v>
      </c>
      <c r="M517">
        <f t="shared" si="5"/>
        <v>270</v>
      </c>
      <c r="N517">
        <f t="shared" si="5"/>
        <v>237</v>
      </c>
      <c r="O517">
        <f t="shared" si="5"/>
        <v>151</v>
      </c>
      <c r="P517">
        <f t="shared" si="5"/>
        <v>253</v>
      </c>
      <c r="Q517">
        <f t="shared" si="5"/>
        <v>269</v>
      </c>
      <c r="R517">
        <f t="shared" si="5"/>
        <v>185</v>
      </c>
      <c r="S517">
        <f t="shared" si="5"/>
        <v>0</v>
      </c>
      <c r="T517">
        <f t="shared" si="5"/>
        <v>15</v>
      </c>
      <c r="U517">
        <f t="shared" si="5"/>
        <v>0</v>
      </c>
      <c r="V517">
        <f t="shared" si="5"/>
        <v>14</v>
      </c>
      <c r="W517">
        <f t="shared" si="5"/>
        <v>0</v>
      </c>
      <c r="X517">
        <f t="shared" si="5"/>
        <v>0</v>
      </c>
      <c r="Y517">
        <f t="shared" si="5"/>
        <v>30</v>
      </c>
      <c r="Z517">
        <f t="shared" si="5"/>
        <v>0</v>
      </c>
      <c r="AA517">
        <f t="shared" si="5"/>
        <v>25</v>
      </c>
      <c r="AB517">
        <f t="shared" si="5"/>
        <v>144</v>
      </c>
      <c r="AC517">
        <f t="shared" si="5"/>
        <v>5</v>
      </c>
      <c r="AD517">
        <f t="shared" si="5"/>
        <v>85</v>
      </c>
      <c r="AE517">
        <f t="shared" si="5"/>
        <v>16</v>
      </c>
      <c r="AF517">
        <f t="shared" si="5"/>
        <v>0</v>
      </c>
      <c r="AG517">
        <f t="shared" si="5"/>
        <v>37</v>
      </c>
    </row>
    <row r="518" spans="1:57" x14ac:dyDescent="0.25">
      <c r="A518" t="s">
        <v>43</v>
      </c>
      <c r="B518">
        <f>SUM(B$515,B$516)</f>
        <v>234</v>
      </c>
      <c r="C518">
        <f t="shared" ref="C518:AG518" si="6">SUM(C$515,C$516)</f>
        <v>234</v>
      </c>
      <c r="D518">
        <f t="shared" si="6"/>
        <v>234</v>
      </c>
      <c r="E518">
        <f t="shared" si="6"/>
        <v>234</v>
      </c>
      <c r="F518">
        <f t="shared" si="6"/>
        <v>234</v>
      </c>
      <c r="G518">
        <f t="shared" si="6"/>
        <v>234</v>
      </c>
      <c r="H518">
        <f t="shared" si="6"/>
        <v>234</v>
      </c>
      <c r="I518">
        <f t="shared" si="6"/>
        <v>234</v>
      </c>
      <c r="J518">
        <f t="shared" si="6"/>
        <v>202</v>
      </c>
      <c r="K518">
        <f t="shared" si="6"/>
        <v>206</v>
      </c>
      <c r="L518">
        <f t="shared" si="6"/>
        <v>156</v>
      </c>
      <c r="M518">
        <f t="shared" si="6"/>
        <v>234</v>
      </c>
      <c r="N518">
        <f t="shared" si="6"/>
        <v>234</v>
      </c>
      <c r="O518">
        <f t="shared" si="6"/>
        <v>140</v>
      </c>
      <c r="P518">
        <f t="shared" si="6"/>
        <v>214</v>
      </c>
      <c r="Q518">
        <f t="shared" si="6"/>
        <v>234</v>
      </c>
      <c r="R518">
        <f t="shared" si="6"/>
        <v>172</v>
      </c>
      <c r="S518">
        <f t="shared" si="6"/>
        <v>0</v>
      </c>
      <c r="T518">
        <f t="shared" si="6"/>
        <v>70</v>
      </c>
      <c r="U518">
        <f t="shared" si="6"/>
        <v>0</v>
      </c>
      <c r="V518">
        <f t="shared" si="6"/>
        <v>56</v>
      </c>
      <c r="W518">
        <f t="shared" si="6"/>
        <v>0</v>
      </c>
      <c r="X518">
        <f t="shared" si="6"/>
        <v>7</v>
      </c>
      <c r="Y518">
        <f t="shared" si="6"/>
        <v>23</v>
      </c>
      <c r="Z518">
        <f t="shared" si="6"/>
        <v>0</v>
      </c>
      <c r="AA518">
        <f t="shared" si="6"/>
        <v>0</v>
      </c>
      <c r="AB518">
        <f t="shared" si="6"/>
        <v>47</v>
      </c>
      <c r="AC518">
        <f t="shared" si="6"/>
        <v>0</v>
      </c>
      <c r="AD518">
        <f t="shared" si="6"/>
        <v>118</v>
      </c>
      <c r="AE518">
        <f t="shared" si="6"/>
        <v>0</v>
      </c>
      <c r="AF518">
        <f t="shared" si="6"/>
        <v>0</v>
      </c>
      <c r="AG518">
        <f t="shared" si="6"/>
        <v>1</v>
      </c>
    </row>
    <row r="521" spans="1:57" x14ac:dyDescent="0.25">
      <c r="D521" t="s">
        <v>44</v>
      </c>
      <c r="F521" t="s">
        <v>45</v>
      </c>
      <c r="S521" t="s">
        <v>46</v>
      </c>
      <c r="AA521" t="s">
        <v>46</v>
      </c>
      <c r="AE521" t="s">
        <v>46</v>
      </c>
      <c r="AI521" t="s">
        <v>46</v>
      </c>
      <c r="AQ521" t="s">
        <v>46</v>
      </c>
      <c r="AY521" t="s">
        <v>46</v>
      </c>
    </row>
    <row r="522" spans="1:57" x14ac:dyDescent="0.25">
      <c r="F522" t="s">
        <v>47</v>
      </c>
      <c r="S522" t="s">
        <v>48</v>
      </c>
      <c r="AA522" t="s">
        <v>49</v>
      </c>
      <c r="AE522" t="s">
        <v>50</v>
      </c>
      <c r="AI522" t="s">
        <v>48</v>
      </c>
      <c r="AK522" t="s">
        <v>51</v>
      </c>
      <c r="AL522" t="s">
        <v>33</v>
      </c>
      <c r="AM522" t="s">
        <v>34</v>
      </c>
      <c r="AN522" t="s">
        <v>35</v>
      </c>
      <c r="AO522" t="s">
        <v>36</v>
      </c>
      <c r="AQ522" t="s">
        <v>49</v>
      </c>
      <c r="AS522" t="s">
        <v>51</v>
      </c>
      <c r="AT522" t="s">
        <v>33</v>
      </c>
      <c r="AU522" t="s">
        <v>34</v>
      </c>
      <c r="AV522" t="s">
        <v>35</v>
      </c>
      <c r="AW522" t="s">
        <v>36</v>
      </c>
      <c r="AY522" t="s">
        <v>50</v>
      </c>
      <c r="BA522" t="s">
        <v>51</v>
      </c>
      <c r="BB522" t="s">
        <v>33</v>
      </c>
      <c r="BC522" t="s">
        <v>34</v>
      </c>
      <c r="BD522" t="s">
        <v>35</v>
      </c>
      <c r="BE522" t="s">
        <v>36</v>
      </c>
    </row>
    <row r="523" spans="1:57" x14ac:dyDescent="0.25">
      <c r="F523" t="s">
        <v>52</v>
      </c>
      <c r="M523" t="s">
        <v>53</v>
      </c>
      <c r="S523" t="s">
        <v>54</v>
      </c>
      <c r="U523">
        <f>COUNTIF(B2:AG2,"&lt;&gt;")</f>
        <v>32</v>
      </c>
      <c r="AA523" t="s">
        <v>54</v>
      </c>
      <c r="AC523">
        <f>COUNTIF(B2:AG2,"&lt;&gt;")</f>
        <v>32</v>
      </c>
      <c r="AE523" t="s">
        <v>54</v>
      </c>
      <c r="AG523">
        <f>COUNTIF(B2:AG2,"&lt;&gt;")</f>
        <v>32</v>
      </c>
      <c r="AI523" t="s">
        <v>54</v>
      </c>
      <c r="AK523">
        <f>COUNTIF($B$2:$AG$2,"&lt;&gt;")</f>
        <v>32</v>
      </c>
      <c r="AL523">
        <f>COUNTIF($B$2:$I$2,"&lt;&gt;")</f>
        <v>8</v>
      </c>
      <c r="AM523">
        <f>COUNTIF($J$2:$R$2,"&lt;&gt;")</f>
        <v>9</v>
      </c>
      <c r="AN523">
        <f>COUNTIF($S$2:$X$2,"&lt;&gt;")</f>
        <v>6</v>
      </c>
      <c r="AO523">
        <f>COUNTIF($Y$2:$AG$2,"&lt;&gt;")</f>
        <v>9</v>
      </c>
      <c r="AQ523" t="s">
        <v>54</v>
      </c>
      <c r="AS523">
        <f>COUNTIF($B$2:$AG$2,"&lt;&gt;")</f>
        <v>32</v>
      </c>
      <c r="AT523">
        <f>COUNTIF($B$2:$I$2,"&lt;&gt;")</f>
        <v>8</v>
      </c>
      <c r="AU523">
        <f>COUNTIF($J$2:$R$2,"&lt;&gt;")</f>
        <v>9</v>
      </c>
      <c r="AV523">
        <f>COUNTIF($S$2:$X$2,"&lt;&gt;")</f>
        <v>6</v>
      </c>
      <c r="AW523">
        <f>COUNTIF($Y$2:$AG$2,"&lt;&gt;")</f>
        <v>9</v>
      </c>
      <c r="AY523" t="s">
        <v>54</v>
      </c>
      <c r="BA523">
        <f>COUNTIF($B$2:$AG$2,"&lt;&gt;")</f>
        <v>32</v>
      </c>
      <c r="BB523">
        <f>COUNTIF($B$2:$I$2,"&lt;&gt;")</f>
        <v>8</v>
      </c>
      <c r="BC523">
        <f>COUNTIF($J$2:$R$2,"&lt;&gt;")</f>
        <v>9</v>
      </c>
      <c r="BD523">
        <f>COUNTIF($S$2:$X$2,"&lt;&gt;")</f>
        <v>6</v>
      </c>
      <c r="BE523">
        <f>COUNTIF($Y$2:$AG$2,"&lt;&gt;")</f>
        <v>9</v>
      </c>
    </row>
    <row r="524" spans="1:57" x14ac:dyDescent="0.25">
      <c r="F524" t="s">
        <v>55</v>
      </c>
      <c r="H524" t="s">
        <v>113</v>
      </c>
      <c r="J524">
        <f>COUNTIF($B$54:$B$235,"&lt;&gt;")</f>
        <v>182</v>
      </c>
      <c r="M524" t="s">
        <v>56</v>
      </c>
      <c r="S524" t="s">
        <v>57</v>
      </c>
      <c r="U524">
        <f>COUNTIF($A$3:$A$511,"&lt;&gt;")</f>
        <v>509</v>
      </c>
      <c r="AA524" t="s">
        <v>57</v>
      </c>
      <c r="AC524">
        <f>SUM($J$524:$J$525)</f>
        <v>275</v>
      </c>
      <c r="AE524" t="s">
        <v>57</v>
      </c>
      <c r="AG524">
        <f>SUM($Q$525:$Q$526)</f>
        <v>234</v>
      </c>
      <c r="AI524" t="s">
        <v>57</v>
      </c>
      <c r="AK524">
        <f>COUNTIF($A$3:$A$511,"&lt;&gt;")</f>
        <v>509</v>
      </c>
      <c r="AL524">
        <f t="shared" ref="AL524:AO524" si="7">COUNTIF($A$3:$A$511,"&lt;&gt;")</f>
        <v>509</v>
      </c>
      <c r="AM524">
        <f t="shared" si="7"/>
        <v>509</v>
      </c>
      <c r="AN524">
        <f t="shared" si="7"/>
        <v>509</v>
      </c>
      <c r="AO524">
        <f t="shared" si="7"/>
        <v>509</v>
      </c>
      <c r="AQ524" t="s">
        <v>57</v>
      </c>
      <c r="AS524">
        <f>SUM($J$524:$J$525)</f>
        <v>275</v>
      </c>
      <c r="AT524">
        <f t="shared" ref="AT524:AW524" si="8">SUM($J$524:$J$525)</f>
        <v>275</v>
      </c>
      <c r="AU524">
        <f t="shared" si="8"/>
        <v>275</v>
      </c>
      <c r="AV524">
        <f t="shared" si="8"/>
        <v>275</v>
      </c>
      <c r="AW524">
        <f t="shared" si="8"/>
        <v>275</v>
      </c>
      <c r="AY524" t="s">
        <v>57</v>
      </c>
      <c r="BA524">
        <f>SUM($Q$525:$Q$526)</f>
        <v>234</v>
      </c>
      <c r="BB524">
        <f t="shared" ref="BB524:BE524" si="9">SUM($Q$525:$Q$526)</f>
        <v>234</v>
      </c>
      <c r="BC524">
        <f t="shared" si="9"/>
        <v>234</v>
      </c>
      <c r="BD524">
        <f t="shared" si="9"/>
        <v>234</v>
      </c>
      <c r="BE524">
        <f t="shared" si="9"/>
        <v>234</v>
      </c>
    </row>
    <row r="525" spans="1:57" x14ac:dyDescent="0.25">
      <c r="F525" t="s">
        <v>58</v>
      </c>
      <c r="H525" t="s">
        <v>114</v>
      </c>
      <c r="J525">
        <f>COUNTIF($B$419:$B$511,"&lt;&gt;")</f>
        <v>93</v>
      </c>
      <c r="M525" t="s">
        <v>74</v>
      </c>
      <c r="O525" t="s">
        <v>115</v>
      </c>
      <c r="Q525">
        <f>COUNTIF($B$3:$B$53,"&lt;&gt;")</f>
        <v>51</v>
      </c>
      <c r="S525" t="s">
        <v>60</v>
      </c>
      <c r="U525">
        <f>U524*U523</f>
        <v>16288</v>
      </c>
      <c r="V525" t="s">
        <v>61</v>
      </c>
      <c r="AA525" t="s">
        <v>60</v>
      </c>
      <c r="AC525">
        <f>AC524*AC523</f>
        <v>8800</v>
      </c>
      <c r="AE525" t="s">
        <v>60</v>
      </c>
      <c r="AG525">
        <f>AG523*AG524</f>
        <v>7488</v>
      </c>
      <c r="AI525" t="s">
        <v>60</v>
      </c>
      <c r="AK525">
        <f>AK524*AK523</f>
        <v>16288</v>
      </c>
      <c r="AL525">
        <f t="shared" ref="AL525:AO525" si="10">AL524*AL523</f>
        <v>4072</v>
      </c>
      <c r="AM525">
        <f t="shared" si="10"/>
        <v>4581</v>
      </c>
      <c r="AN525">
        <f t="shared" si="10"/>
        <v>3054</v>
      </c>
      <c r="AO525">
        <f t="shared" si="10"/>
        <v>4581</v>
      </c>
      <c r="AQ525" t="s">
        <v>60</v>
      </c>
      <c r="AS525">
        <f>AS524*AS523</f>
        <v>8800</v>
      </c>
      <c r="AT525">
        <f t="shared" ref="AT525:AW525" si="11">AT524*AT523</f>
        <v>2200</v>
      </c>
      <c r="AU525">
        <f t="shared" si="11"/>
        <v>2475</v>
      </c>
      <c r="AV525">
        <f t="shared" si="11"/>
        <v>1650</v>
      </c>
      <c r="AW525">
        <f t="shared" si="11"/>
        <v>2475</v>
      </c>
      <c r="AY525" t="s">
        <v>60</v>
      </c>
      <c r="BA525">
        <f>BA524*BA523</f>
        <v>7488</v>
      </c>
      <c r="BB525">
        <f t="shared" ref="BB525:BE525" si="12">BB524*BB523</f>
        <v>1872</v>
      </c>
      <c r="BC525">
        <f t="shared" si="12"/>
        <v>2106</v>
      </c>
      <c r="BD525">
        <f t="shared" si="12"/>
        <v>1404</v>
      </c>
      <c r="BE525">
        <f t="shared" si="12"/>
        <v>2106</v>
      </c>
    </row>
    <row r="526" spans="1:57" x14ac:dyDescent="0.25">
      <c r="M526" t="s">
        <v>59</v>
      </c>
      <c r="O526" t="s">
        <v>116</v>
      </c>
      <c r="Q526">
        <f>COUNTIF($B$236:$B$418,"&lt;&gt;")</f>
        <v>183</v>
      </c>
      <c r="S526" t="s">
        <v>117</v>
      </c>
      <c r="U526">
        <f>SUM(B512:AG512)</f>
        <v>8616</v>
      </c>
      <c r="V526" t="s">
        <v>62</v>
      </c>
      <c r="AA526" t="s">
        <v>117</v>
      </c>
      <c r="AC526">
        <f>SUM($B$517:$AG$517)</f>
        <v>4630</v>
      </c>
      <c r="AE526" t="s">
        <v>117</v>
      </c>
      <c r="AG526">
        <f>SUM($B$518:$AG$518)</f>
        <v>3986</v>
      </c>
      <c r="AI526" t="s">
        <v>117</v>
      </c>
      <c r="AK526">
        <f>SUM(B512:AG512)</f>
        <v>8616</v>
      </c>
      <c r="AL526">
        <f>SUM(B512:I512)</f>
        <v>4067</v>
      </c>
      <c r="AM526">
        <f>SUM(J512:R512)</f>
        <v>3856</v>
      </c>
      <c r="AN526">
        <f>SUM(S512:X512)</f>
        <v>162</v>
      </c>
      <c r="AO526">
        <f>SUM(Y512:AG512)</f>
        <v>531</v>
      </c>
      <c r="AQ526" t="s">
        <v>117</v>
      </c>
      <c r="AS526">
        <f>SUM(B517:AG517)</f>
        <v>4630</v>
      </c>
      <c r="AT526">
        <f>SUM(B517:I517)</f>
        <v>2195</v>
      </c>
      <c r="AU526">
        <f>SUM(J517:R517)</f>
        <v>2064</v>
      </c>
      <c r="AV526">
        <f>SUM(S517:X517)</f>
        <v>29</v>
      </c>
      <c r="AW526">
        <f>SUM(Y517:AG517)</f>
        <v>342</v>
      </c>
      <c r="AY526" t="s">
        <v>117</v>
      </c>
      <c r="BA526">
        <f>SUM($B518:$AG518)</f>
        <v>3986</v>
      </c>
      <c r="BB526">
        <f>SUM(B518:I518)</f>
        <v>1872</v>
      </c>
      <c r="BC526">
        <f>SUM(J518:R518)</f>
        <v>1792</v>
      </c>
      <c r="BD526">
        <f>SUM(S518:X518)</f>
        <v>133</v>
      </c>
      <c r="BE526">
        <f>SUM(Y518:AG518)</f>
        <v>189</v>
      </c>
    </row>
    <row r="527" spans="1:57" x14ac:dyDescent="0.25">
      <c r="S527" t="s">
        <v>63</v>
      </c>
      <c r="U527">
        <f>$U526/$U525</f>
        <v>0.5289783889980354</v>
      </c>
      <c r="AA527" t="s">
        <v>64</v>
      </c>
      <c r="AC527">
        <f>AC526/AC525</f>
        <v>0.52613636363636362</v>
      </c>
      <c r="AE527" t="s">
        <v>65</v>
      </c>
      <c r="AG527">
        <f>AG526/AG525</f>
        <v>0.53231837606837606</v>
      </c>
      <c r="AI527" t="s">
        <v>63</v>
      </c>
      <c r="AK527">
        <f>AK526/AK525</f>
        <v>0.5289783889980354</v>
      </c>
      <c r="AL527">
        <f t="shared" ref="AL527:AO527" si="13">AL526/AL525</f>
        <v>0.99877210216110024</v>
      </c>
      <c r="AM527">
        <f t="shared" si="13"/>
        <v>0.8417376118751364</v>
      </c>
      <c r="AN527">
        <f t="shared" si="13"/>
        <v>5.304518664047151E-2</v>
      </c>
      <c r="AO527">
        <f t="shared" si="13"/>
        <v>0.11591355599214145</v>
      </c>
      <c r="AQ527" t="s">
        <v>64</v>
      </c>
      <c r="AS527">
        <f>AS526/AS525</f>
        <v>0.52613636363636362</v>
      </c>
      <c r="AT527">
        <f t="shared" ref="AT527:AW527" si="14">AT526/AT525</f>
        <v>0.99772727272727268</v>
      </c>
      <c r="AU527">
        <f t="shared" si="14"/>
        <v>0.83393939393939398</v>
      </c>
      <c r="AV527">
        <f t="shared" si="14"/>
        <v>1.7575757575757574E-2</v>
      </c>
      <c r="AW527">
        <f t="shared" si="14"/>
        <v>0.13818181818181818</v>
      </c>
      <c r="AY527" t="s">
        <v>65</v>
      </c>
      <c r="BA527">
        <f>BA526/BA525</f>
        <v>0.53231837606837606</v>
      </c>
      <c r="BB527">
        <f t="shared" ref="BB527:BE527" si="15">BB526/BB525</f>
        <v>1</v>
      </c>
      <c r="BC527">
        <f t="shared" si="15"/>
        <v>0.85090218423551756</v>
      </c>
      <c r="BD527">
        <f t="shared" si="15"/>
        <v>9.472934472934473E-2</v>
      </c>
      <c r="BE527">
        <f t="shared" si="15"/>
        <v>8.9743589743589744E-2</v>
      </c>
    </row>
    <row r="529" spans="1:57" x14ac:dyDescent="0.25">
      <c r="A529" t="s">
        <v>37</v>
      </c>
      <c r="B529">
        <f>COUNTIF(B$3:B$511,"&gt;=2640")</f>
        <v>509</v>
      </c>
      <c r="C529">
        <f t="shared" ref="C529:AG529" si="16">COUNTIF(C$3:C$511,"&gt;=2640")</f>
        <v>497</v>
      </c>
      <c r="D529">
        <f t="shared" si="16"/>
        <v>509</v>
      </c>
      <c r="E529">
        <f t="shared" si="16"/>
        <v>509</v>
      </c>
      <c r="F529">
        <f t="shared" si="16"/>
        <v>504</v>
      </c>
      <c r="G529">
        <f t="shared" si="16"/>
        <v>502</v>
      </c>
      <c r="H529">
        <f t="shared" si="16"/>
        <v>509</v>
      </c>
      <c r="I529">
        <f t="shared" si="16"/>
        <v>509</v>
      </c>
      <c r="J529">
        <f t="shared" si="16"/>
        <v>221</v>
      </c>
      <c r="K529">
        <f t="shared" si="16"/>
        <v>152</v>
      </c>
      <c r="L529">
        <f t="shared" si="16"/>
        <v>0</v>
      </c>
      <c r="M529">
        <f t="shared" si="16"/>
        <v>502</v>
      </c>
      <c r="N529">
        <f t="shared" si="16"/>
        <v>386</v>
      </c>
      <c r="O529">
        <f t="shared" si="16"/>
        <v>0</v>
      </c>
      <c r="P529">
        <f t="shared" si="16"/>
        <v>319</v>
      </c>
      <c r="Q529">
        <f t="shared" si="16"/>
        <v>497</v>
      </c>
      <c r="R529">
        <f t="shared" si="16"/>
        <v>0</v>
      </c>
      <c r="S529">
        <f t="shared" si="16"/>
        <v>0</v>
      </c>
      <c r="T529">
        <f t="shared" si="16"/>
        <v>0</v>
      </c>
      <c r="U529">
        <f t="shared" si="16"/>
        <v>0</v>
      </c>
      <c r="V529">
        <f t="shared" si="16"/>
        <v>0</v>
      </c>
      <c r="W529">
        <f t="shared" si="16"/>
        <v>0</v>
      </c>
      <c r="X529">
        <f t="shared" si="16"/>
        <v>0</v>
      </c>
      <c r="Y529">
        <f t="shared" si="16"/>
        <v>0</v>
      </c>
      <c r="Z529">
        <f t="shared" si="16"/>
        <v>0</v>
      </c>
      <c r="AA529">
        <f t="shared" si="16"/>
        <v>0</v>
      </c>
      <c r="AB529">
        <f t="shared" si="16"/>
        <v>0</v>
      </c>
      <c r="AC529">
        <f t="shared" si="16"/>
        <v>0</v>
      </c>
      <c r="AD529">
        <f t="shared" si="16"/>
        <v>0</v>
      </c>
      <c r="AE529">
        <f t="shared" si="16"/>
        <v>0</v>
      </c>
      <c r="AF529">
        <f t="shared" si="16"/>
        <v>0</v>
      </c>
      <c r="AG529">
        <f t="shared" si="16"/>
        <v>0</v>
      </c>
    </row>
    <row r="530" spans="1:57" x14ac:dyDescent="0.25">
      <c r="A530" t="s">
        <v>38</v>
      </c>
      <c r="B530">
        <f>COUNTIF(B$54:B$235,"&gt;=2640")</f>
        <v>182</v>
      </c>
      <c r="C530">
        <f t="shared" ref="C530:AG530" si="17">COUNTIF(C$54:C$235,"&gt;=2640")</f>
        <v>182</v>
      </c>
      <c r="D530">
        <f t="shared" si="17"/>
        <v>182</v>
      </c>
      <c r="E530">
        <f t="shared" si="17"/>
        <v>182</v>
      </c>
      <c r="F530">
        <f t="shared" si="17"/>
        <v>182</v>
      </c>
      <c r="G530">
        <f t="shared" si="17"/>
        <v>182</v>
      </c>
      <c r="H530">
        <f t="shared" si="17"/>
        <v>182</v>
      </c>
      <c r="I530">
        <f t="shared" si="17"/>
        <v>182</v>
      </c>
      <c r="J530">
        <f t="shared" si="17"/>
        <v>75</v>
      </c>
      <c r="K530">
        <f t="shared" si="17"/>
        <v>75</v>
      </c>
      <c r="L530">
        <f t="shared" si="17"/>
        <v>0</v>
      </c>
      <c r="M530">
        <f t="shared" si="17"/>
        <v>182</v>
      </c>
      <c r="N530">
        <f t="shared" si="17"/>
        <v>121</v>
      </c>
      <c r="O530">
        <f t="shared" si="17"/>
        <v>0</v>
      </c>
      <c r="P530">
        <f t="shared" si="17"/>
        <v>107</v>
      </c>
      <c r="Q530">
        <f t="shared" si="17"/>
        <v>182</v>
      </c>
      <c r="R530">
        <f t="shared" si="17"/>
        <v>0</v>
      </c>
      <c r="S530">
        <f t="shared" si="17"/>
        <v>0</v>
      </c>
      <c r="T530">
        <f t="shared" si="17"/>
        <v>0</v>
      </c>
      <c r="U530">
        <f t="shared" si="17"/>
        <v>0</v>
      </c>
      <c r="V530">
        <f t="shared" si="17"/>
        <v>0</v>
      </c>
      <c r="W530">
        <f t="shared" si="17"/>
        <v>0</v>
      </c>
      <c r="X530">
        <f t="shared" si="17"/>
        <v>0</v>
      </c>
      <c r="Y530">
        <f t="shared" si="17"/>
        <v>0</v>
      </c>
      <c r="Z530">
        <f t="shared" si="17"/>
        <v>0</v>
      </c>
      <c r="AA530">
        <f t="shared" si="17"/>
        <v>0</v>
      </c>
      <c r="AB530">
        <f t="shared" si="17"/>
        <v>0</v>
      </c>
      <c r="AC530">
        <f t="shared" si="17"/>
        <v>0</v>
      </c>
      <c r="AD530">
        <f t="shared" si="17"/>
        <v>0</v>
      </c>
      <c r="AE530">
        <f t="shared" si="17"/>
        <v>0</v>
      </c>
      <c r="AF530">
        <f t="shared" si="17"/>
        <v>0</v>
      </c>
      <c r="AG530">
        <f t="shared" si="17"/>
        <v>0</v>
      </c>
      <c r="AH530" t="s">
        <v>109</v>
      </c>
    </row>
    <row r="531" spans="1:57" x14ac:dyDescent="0.25">
      <c r="A531" t="s">
        <v>39</v>
      </c>
      <c r="B531">
        <f>COUNTIF(B$419:B$511,"&gt;=2640")</f>
        <v>93</v>
      </c>
      <c r="C531">
        <f t="shared" ref="C531:AG531" si="18">COUNTIF(C$419:C$511,"&gt;=2640")</f>
        <v>81</v>
      </c>
      <c r="D531">
        <f t="shared" si="18"/>
        <v>93</v>
      </c>
      <c r="E531">
        <f t="shared" si="18"/>
        <v>93</v>
      </c>
      <c r="F531">
        <f t="shared" si="18"/>
        <v>88</v>
      </c>
      <c r="G531">
        <f t="shared" si="18"/>
        <v>86</v>
      </c>
      <c r="H531">
        <f t="shared" si="18"/>
        <v>93</v>
      </c>
      <c r="I531">
        <f t="shared" si="18"/>
        <v>93</v>
      </c>
      <c r="J531">
        <f t="shared" si="18"/>
        <v>26</v>
      </c>
      <c r="K531">
        <f t="shared" si="18"/>
        <v>27</v>
      </c>
      <c r="L531">
        <f t="shared" si="18"/>
        <v>0</v>
      </c>
      <c r="M531">
        <f t="shared" si="18"/>
        <v>86</v>
      </c>
      <c r="N531">
        <f t="shared" si="18"/>
        <v>56</v>
      </c>
      <c r="O531">
        <f t="shared" si="18"/>
        <v>0</v>
      </c>
      <c r="P531">
        <f t="shared" si="18"/>
        <v>39</v>
      </c>
      <c r="Q531">
        <f t="shared" si="18"/>
        <v>81</v>
      </c>
      <c r="R531">
        <f t="shared" si="18"/>
        <v>0</v>
      </c>
      <c r="S531">
        <f t="shared" si="18"/>
        <v>0</v>
      </c>
      <c r="T531">
        <f t="shared" si="18"/>
        <v>0</v>
      </c>
      <c r="U531">
        <f t="shared" si="18"/>
        <v>0</v>
      </c>
      <c r="V531">
        <f t="shared" si="18"/>
        <v>0</v>
      </c>
      <c r="W531">
        <f t="shared" si="18"/>
        <v>0</v>
      </c>
      <c r="X531">
        <f t="shared" si="18"/>
        <v>0</v>
      </c>
      <c r="Y531">
        <f t="shared" si="18"/>
        <v>0</v>
      </c>
      <c r="Z531">
        <f t="shared" si="18"/>
        <v>0</v>
      </c>
      <c r="AA531">
        <f t="shared" si="18"/>
        <v>0</v>
      </c>
      <c r="AB531">
        <f t="shared" si="18"/>
        <v>0</v>
      </c>
      <c r="AC531">
        <f t="shared" si="18"/>
        <v>0</v>
      </c>
      <c r="AD531">
        <f t="shared" si="18"/>
        <v>0</v>
      </c>
      <c r="AE531">
        <f t="shared" si="18"/>
        <v>0</v>
      </c>
      <c r="AF531">
        <f t="shared" si="18"/>
        <v>0</v>
      </c>
      <c r="AG531">
        <f t="shared" si="18"/>
        <v>0</v>
      </c>
      <c r="AH531" t="s">
        <v>110</v>
      </c>
    </row>
    <row r="532" spans="1:57" x14ac:dyDescent="0.25">
      <c r="A532" t="s">
        <v>40</v>
      </c>
      <c r="B532">
        <f>COUNTIF(B$3:B$53,"&gt;=2640")</f>
        <v>51</v>
      </c>
      <c r="C532">
        <f t="shared" ref="C532:AG532" si="19">COUNTIF(C$3:C$53,"&gt;=2640")</f>
        <v>51</v>
      </c>
      <c r="D532">
        <f t="shared" si="19"/>
        <v>51</v>
      </c>
      <c r="E532">
        <f t="shared" si="19"/>
        <v>51</v>
      </c>
      <c r="F532">
        <f t="shared" si="19"/>
        <v>51</v>
      </c>
      <c r="G532">
        <f t="shared" si="19"/>
        <v>51</v>
      </c>
      <c r="H532">
        <f t="shared" si="19"/>
        <v>51</v>
      </c>
      <c r="I532">
        <f t="shared" si="19"/>
        <v>51</v>
      </c>
      <c r="J532">
        <f t="shared" si="19"/>
        <v>24</v>
      </c>
      <c r="K532">
        <f t="shared" si="19"/>
        <v>39</v>
      </c>
      <c r="L532">
        <f t="shared" si="19"/>
        <v>0</v>
      </c>
      <c r="M532">
        <f t="shared" si="19"/>
        <v>51</v>
      </c>
      <c r="N532">
        <f t="shared" si="19"/>
        <v>51</v>
      </c>
      <c r="O532">
        <f t="shared" si="19"/>
        <v>0</v>
      </c>
      <c r="P532">
        <f t="shared" si="19"/>
        <v>49</v>
      </c>
      <c r="Q532">
        <f t="shared" si="19"/>
        <v>51</v>
      </c>
      <c r="R532">
        <f t="shared" si="19"/>
        <v>0</v>
      </c>
      <c r="S532">
        <f t="shared" si="19"/>
        <v>0</v>
      </c>
      <c r="T532">
        <f t="shared" si="19"/>
        <v>0</v>
      </c>
      <c r="U532">
        <f t="shared" si="19"/>
        <v>0</v>
      </c>
      <c r="V532">
        <f t="shared" si="19"/>
        <v>0</v>
      </c>
      <c r="W532">
        <f t="shared" si="19"/>
        <v>0</v>
      </c>
      <c r="X532">
        <f t="shared" si="19"/>
        <v>0</v>
      </c>
      <c r="Y532">
        <f t="shared" si="19"/>
        <v>0</v>
      </c>
      <c r="Z532">
        <f t="shared" si="19"/>
        <v>0</v>
      </c>
      <c r="AA532">
        <f t="shared" si="19"/>
        <v>0</v>
      </c>
      <c r="AB532">
        <f t="shared" si="19"/>
        <v>0</v>
      </c>
      <c r="AC532">
        <f t="shared" si="19"/>
        <v>0</v>
      </c>
      <c r="AD532">
        <f t="shared" si="19"/>
        <v>0</v>
      </c>
      <c r="AE532">
        <f t="shared" si="19"/>
        <v>0</v>
      </c>
      <c r="AF532">
        <f t="shared" si="19"/>
        <v>0</v>
      </c>
      <c r="AG532">
        <f t="shared" si="19"/>
        <v>0</v>
      </c>
      <c r="AH532" t="s">
        <v>111</v>
      </c>
    </row>
    <row r="533" spans="1:57" x14ac:dyDescent="0.25">
      <c r="A533" t="s">
        <v>41</v>
      </c>
      <c r="B533">
        <f>COUNTIF(B$236:B$418,"&gt;=2640")</f>
        <v>183</v>
      </c>
      <c r="C533">
        <f t="shared" ref="C533:AG533" si="20">COUNTIF(C$236:C$418,"&gt;=2640")</f>
        <v>183</v>
      </c>
      <c r="D533">
        <f t="shared" si="20"/>
        <v>183</v>
      </c>
      <c r="E533">
        <f t="shared" si="20"/>
        <v>183</v>
      </c>
      <c r="F533">
        <f t="shared" si="20"/>
        <v>183</v>
      </c>
      <c r="G533">
        <f t="shared" si="20"/>
        <v>183</v>
      </c>
      <c r="H533">
        <f t="shared" si="20"/>
        <v>183</v>
      </c>
      <c r="I533">
        <f t="shared" si="20"/>
        <v>183</v>
      </c>
      <c r="J533">
        <f t="shared" si="20"/>
        <v>96</v>
      </c>
      <c r="K533">
        <f t="shared" si="20"/>
        <v>11</v>
      </c>
      <c r="L533">
        <f t="shared" si="20"/>
        <v>0</v>
      </c>
      <c r="M533">
        <f t="shared" si="20"/>
        <v>183</v>
      </c>
      <c r="N533">
        <f t="shared" si="20"/>
        <v>158</v>
      </c>
      <c r="O533">
        <f t="shared" si="20"/>
        <v>0</v>
      </c>
      <c r="P533">
        <f t="shared" si="20"/>
        <v>124</v>
      </c>
      <c r="Q533">
        <f t="shared" si="20"/>
        <v>183</v>
      </c>
      <c r="R533">
        <f t="shared" si="20"/>
        <v>0</v>
      </c>
      <c r="S533">
        <f t="shared" si="20"/>
        <v>0</v>
      </c>
      <c r="T533">
        <f t="shared" si="20"/>
        <v>0</v>
      </c>
      <c r="U533">
        <f t="shared" si="20"/>
        <v>0</v>
      </c>
      <c r="V533">
        <f t="shared" si="20"/>
        <v>0</v>
      </c>
      <c r="W533">
        <f t="shared" si="20"/>
        <v>0</v>
      </c>
      <c r="X533">
        <f t="shared" si="20"/>
        <v>0</v>
      </c>
      <c r="Y533">
        <f t="shared" si="20"/>
        <v>0</v>
      </c>
      <c r="Z533">
        <f t="shared" si="20"/>
        <v>0</v>
      </c>
      <c r="AA533">
        <f t="shared" si="20"/>
        <v>0</v>
      </c>
      <c r="AB533">
        <f t="shared" si="20"/>
        <v>0</v>
      </c>
      <c r="AC533">
        <f t="shared" si="20"/>
        <v>0</v>
      </c>
      <c r="AD533">
        <f t="shared" si="20"/>
        <v>0</v>
      </c>
      <c r="AE533">
        <f t="shared" si="20"/>
        <v>0</v>
      </c>
      <c r="AF533">
        <f t="shared" si="20"/>
        <v>0</v>
      </c>
      <c r="AG533">
        <f t="shared" si="20"/>
        <v>0</v>
      </c>
      <c r="AH533" t="s">
        <v>112</v>
      </c>
    </row>
    <row r="534" spans="1:57" x14ac:dyDescent="0.25">
      <c r="A534" t="s">
        <v>42</v>
      </c>
      <c r="B534">
        <f>SUM(B530,B531)</f>
        <v>275</v>
      </c>
      <c r="C534">
        <f t="shared" ref="C534:AG534" si="21">SUM(C530,C531)</f>
        <v>263</v>
      </c>
      <c r="D534">
        <f t="shared" si="21"/>
        <v>275</v>
      </c>
      <c r="E534">
        <f t="shared" si="21"/>
        <v>275</v>
      </c>
      <c r="F534">
        <f t="shared" si="21"/>
        <v>270</v>
      </c>
      <c r="G534">
        <f t="shared" si="21"/>
        <v>268</v>
      </c>
      <c r="H534">
        <f t="shared" si="21"/>
        <v>275</v>
      </c>
      <c r="I534">
        <f t="shared" si="21"/>
        <v>275</v>
      </c>
      <c r="J534">
        <f t="shared" si="21"/>
        <v>101</v>
      </c>
      <c r="K534">
        <f t="shared" si="21"/>
        <v>102</v>
      </c>
      <c r="L534">
        <f t="shared" si="21"/>
        <v>0</v>
      </c>
      <c r="M534">
        <f t="shared" si="21"/>
        <v>268</v>
      </c>
      <c r="N534">
        <f t="shared" si="21"/>
        <v>177</v>
      </c>
      <c r="O534">
        <f t="shared" si="21"/>
        <v>0</v>
      </c>
      <c r="P534">
        <f t="shared" si="21"/>
        <v>146</v>
      </c>
      <c r="Q534">
        <f t="shared" si="21"/>
        <v>263</v>
      </c>
      <c r="R534">
        <f t="shared" si="21"/>
        <v>0</v>
      </c>
      <c r="S534">
        <f t="shared" si="21"/>
        <v>0</v>
      </c>
      <c r="T534">
        <f t="shared" si="21"/>
        <v>0</v>
      </c>
      <c r="U534">
        <f t="shared" si="21"/>
        <v>0</v>
      </c>
      <c r="V534">
        <f t="shared" si="21"/>
        <v>0</v>
      </c>
      <c r="W534">
        <f t="shared" si="21"/>
        <v>0</v>
      </c>
      <c r="X534">
        <f t="shared" si="21"/>
        <v>0</v>
      </c>
      <c r="Y534">
        <f t="shared" si="21"/>
        <v>0</v>
      </c>
      <c r="Z534">
        <f t="shared" si="21"/>
        <v>0</v>
      </c>
      <c r="AA534">
        <f t="shared" si="21"/>
        <v>0</v>
      </c>
      <c r="AB534">
        <f t="shared" si="21"/>
        <v>0</v>
      </c>
      <c r="AC534">
        <f t="shared" si="21"/>
        <v>0</v>
      </c>
      <c r="AD534">
        <f t="shared" si="21"/>
        <v>0</v>
      </c>
      <c r="AE534">
        <f t="shared" si="21"/>
        <v>0</v>
      </c>
      <c r="AF534">
        <f t="shared" si="21"/>
        <v>0</v>
      </c>
      <c r="AG534">
        <f t="shared" si="21"/>
        <v>0</v>
      </c>
    </row>
    <row r="535" spans="1:57" x14ac:dyDescent="0.25">
      <c r="A535" t="s">
        <v>43</v>
      </c>
      <c r="B535">
        <f>SUM(B532,B533)</f>
        <v>234</v>
      </c>
      <c r="C535">
        <f t="shared" ref="C535:AG535" si="22">SUM(C532,C533)</f>
        <v>234</v>
      </c>
      <c r="D535">
        <f t="shared" si="22"/>
        <v>234</v>
      </c>
      <c r="E535">
        <f t="shared" si="22"/>
        <v>234</v>
      </c>
      <c r="F535">
        <f t="shared" si="22"/>
        <v>234</v>
      </c>
      <c r="G535">
        <f t="shared" si="22"/>
        <v>234</v>
      </c>
      <c r="H535">
        <f t="shared" si="22"/>
        <v>234</v>
      </c>
      <c r="I535">
        <f t="shared" si="22"/>
        <v>234</v>
      </c>
      <c r="J535">
        <f t="shared" si="22"/>
        <v>120</v>
      </c>
      <c r="K535">
        <f t="shared" si="22"/>
        <v>50</v>
      </c>
      <c r="L535">
        <f t="shared" si="22"/>
        <v>0</v>
      </c>
      <c r="M535">
        <f t="shared" si="22"/>
        <v>234</v>
      </c>
      <c r="N535">
        <f t="shared" si="22"/>
        <v>209</v>
      </c>
      <c r="O535">
        <f t="shared" si="22"/>
        <v>0</v>
      </c>
      <c r="P535">
        <f t="shared" si="22"/>
        <v>173</v>
      </c>
      <c r="Q535">
        <f t="shared" si="22"/>
        <v>234</v>
      </c>
      <c r="R535">
        <f t="shared" si="22"/>
        <v>0</v>
      </c>
      <c r="S535">
        <f t="shared" si="22"/>
        <v>0</v>
      </c>
      <c r="T535">
        <f t="shared" si="22"/>
        <v>0</v>
      </c>
      <c r="U535">
        <f t="shared" si="22"/>
        <v>0</v>
      </c>
      <c r="V535">
        <f t="shared" si="22"/>
        <v>0</v>
      </c>
      <c r="W535">
        <f t="shared" si="22"/>
        <v>0</v>
      </c>
      <c r="X535">
        <f t="shared" si="22"/>
        <v>0</v>
      </c>
      <c r="Y535">
        <f t="shared" si="22"/>
        <v>0</v>
      </c>
      <c r="Z535">
        <f t="shared" si="22"/>
        <v>0</v>
      </c>
      <c r="AA535">
        <f t="shared" si="22"/>
        <v>0</v>
      </c>
      <c r="AB535">
        <f t="shared" si="22"/>
        <v>0</v>
      </c>
      <c r="AC535">
        <f t="shared" si="22"/>
        <v>0</v>
      </c>
      <c r="AD535">
        <f t="shared" si="22"/>
        <v>0</v>
      </c>
      <c r="AE535">
        <f t="shared" si="22"/>
        <v>0</v>
      </c>
      <c r="AF535">
        <f t="shared" si="22"/>
        <v>0</v>
      </c>
      <c r="AG535">
        <f t="shared" si="22"/>
        <v>0</v>
      </c>
    </row>
    <row r="538" spans="1:57" x14ac:dyDescent="0.25">
      <c r="D538" t="s">
        <v>66</v>
      </c>
      <c r="F538" t="s">
        <v>67</v>
      </c>
      <c r="S538" t="s">
        <v>68</v>
      </c>
      <c r="AA538" t="s">
        <v>68</v>
      </c>
      <c r="AE538" t="s">
        <v>68</v>
      </c>
      <c r="AI538" t="s">
        <v>68</v>
      </c>
      <c r="AQ538" t="s">
        <v>68</v>
      </c>
      <c r="AY538" t="s">
        <v>68</v>
      </c>
    </row>
    <row r="539" spans="1:57" x14ac:dyDescent="0.25">
      <c r="F539" t="s">
        <v>47</v>
      </c>
      <c r="S539" t="s">
        <v>48</v>
      </c>
      <c r="AA539" t="s">
        <v>49</v>
      </c>
      <c r="AE539" t="s">
        <v>50</v>
      </c>
      <c r="AI539" t="s">
        <v>48</v>
      </c>
      <c r="AK539" t="s">
        <v>51</v>
      </c>
      <c r="AL539" t="s">
        <v>33</v>
      </c>
      <c r="AM539" t="s">
        <v>34</v>
      </c>
      <c r="AN539" t="s">
        <v>35</v>
      </c>
      <c r="AO539" t="s">
        <v>36</v>
      </c>
      <c r="AQ539" t="s">
        <v>49</v>
      </c>
      <c r="AS539" t="s">
        <v>51</v>
      </c>
      <c r="AT539" t="s">
        <v>33</v>
      </c>
      <c r="AU539" t="s">
        <v>34</v>
      </c>
      <c r="AV539" t="s">
        <v>35</v>
      </c>
      <c r="AW539" t="s">
        <v>36</v>
      </c>
      <c r="AY539" t="s">
        <v>50</v>
      </c>
      <c r="BA539" t="s">
        <v>51</v>
      </c>
      <c r="BB539" t="s">
        <v>33</v>
      </c>
      <c r="BC539" t="s">
        <v>34</v>
      </c>
      <c r="BD539" t="s">
        <v>35</v>
      </c>
      <c r="BE539" t="s">
        <v>36</v>
      </c>
    </row>
    <row r="540" spans="1:57" x14ac:dyDescent="0.25">
      <c r="F540" t="s">
        <v>52</v>
      </c>
      <c r="M540" t="s">
        <v>53</v>
      </c>
      <c r="S540" t="s">
        <v>54</v>
      </c>
      <c r="U540">
        <f>COUNTIF(B18:AG18,"&lt;&gt;")</f>
        <v>32</v>
      </c>
      <c r="AA540" t="s">
        <v>54</v>
      </c>
      <c r="AC540">
        <f>COUNTIF(B18:AG18,"&lt;&gt;")</f>
        <v>32</v>
      </c>
      <c r="AE540" t="s">
        <v>54</v>
      </c>
      <c r="AG540">
        <f>COUNTIF(B18:AG18,"&lt;&gt;")</f>
        <v>32</v>
      </c>
      <c r="AI540" t="s">
        <v>54</v>
      </c>
      <c r="AK540">
        <f>COUNTIF($B$2:$AG$2,"&lt;&gt;")</f>
        <v>32</v>
      </c>
      <c r="AL540">
        <f>COUNTIF($B$2:$I$2,"&lt;&gt;")</f>
        <v>8</v>
      </c>
      <c r="AM540">
        <f>COUNTIF($J$2:$R$2,"&lt;&gt;")</f>
        <v>9</v>
      </c>
      <c r="AN540">
        <f>COUNTIF($S$2:$X$2,"&lt;&gt;")</f>
        <v>6</v>
      </c>
      <c r="AO540">
        <f>COUNTIF($Y$2:$AG$2,"&lt;&gt;")</f>
        <v>9</v>
      </c>
      <c r="AQ540" t="s">
        <v>54</v>
      </c>
      <c r="AS540">
        <f>COUNTIF($B$2:$AG$2,"&lt;&gt;")</f>
        <v>32</v>
      </c>
      <c r="AT540">
        <f>COUNTIF($B$2:$I$2,"&lt;&gt;")</f>
        <v>8</v>
      </c>
      <c r="AU540">
        <f>COUNTIF($J$2:$R$2,"&lt;&gt;")</f>
        <v>9</v>
      </c>
      <c r="AV540">
        <f>COUNTIF($S$2:$X$2,"&lt;&gt;")</f>
        <v>6</v>
      </c>
      <c r="AW540">
        <f>COUNTIF($Y$2:$AG$2,"&lt;&gt;")</f>
        <v>9</v>
      </c>
      <c r="AY540" t="s">
        <v>54</v>
      </c>
      <c r="BA540">
        <f>COUNTIF($B$2:$AG$2,"&lt;&gt;")</f>
        <v>32</v>
      </c>
      <c r="BB540">
        <f>COUNTIF($B$2:$I$2,"&lt;&gt;")</f>
        <v>8</v>
      </c>
      <c r="BC540">
        <f>COUNTIF($J$2:$R$2,"&lt;&gt;")</f>
        <v>9</v>
      </c>
      <c r="BD540">
        <f>COUNTIF($S$2:$X$2,"&lt;&gt;")</f>
        <v>6</v>
      </c>
      <c r="BE540">
        <f>COUNTIF($Y$2:$AG$2,"&lt;&gt;")</f>
        <v>9</v>
      </c>
    </row>
    <row r="541" spans="1:57" x14ac:dyDescent="0.25">
      <c r="F541" t="s">
        <v>55</v>
      </c>
      <c r="H541" t="s">
        <v>113</v>
      </c>
      <c r="J541">
        <f>COUNTIF($B$54:$B$235,"&lt;&gt;")</f>
        <v>182</v>
      </c>
      <c r="M541" t="s">
        <v>56</v>
      </c>
      <c r="S541" t="s">
        <v>57</v>
      </c>
      <c r="U541">
        <f>COUNTIF($A$3:$A$511,"&lt;&gt;")</f>
        <v>509</v>
      </c>
      <c r="AA541" t="s">
        <v>57</v>
      </c>
      <c r="AC541">
        <f>SUM($J$524:$J$525)</f>
        <v>275</v>
      </c>
      <c r="AE541" t="s">
        <v>57</v>
      </c>
      <c r="AG541">
        <f>SUM($Q$525:$Q$526)</f>
        <v>234</v>
      </c>
      <c r="AI541" t="s">
        <v>57</v>
      </c>
      <c r="AK541">
        <f>COUNTIF($A$3:$A$511,"&lt;&gt;")</f>
        <v>509</v>
      </c>
      <c r="AL541">
        <f t="shared" ref="AL541:AO541" si="23">COUNTIF($A$3:$A$511,"&lt;&gt;")</f>
        <v>509</v>
      </c>
      <c r="AM541">
        <f t="shared" si="23"/>
        <v>509</v>
      </c>
      <c r="AN541">
        <f t="shared" si="23"/>
        <v>509</v>
      </c>
      <c r="AO541">
        <f t="shared" si="23"/>
        <v>509</v>
      </c>
      <c r="AQ541" t="s">
        <v>57</v>
      </c>
      <c r="AS541">
        <f>SUM($J$524:$J$525)</f>
        <v>275</v>
      </c>
      <c r="AT541">
        <f t="shared" ref="AT541:AW541" si="24">SUM($J$524:$J$525)</f>
        <v>275</v>
      </c>
      <c r="AU541">
        <f t="shared" si="24"/>
        <v>275</v>
      </c>
      <c r="AV541">
        <f t="shared" si="24"/>
        <v>275</v>
      </c>
      <c r="AW541">
        <f t="shared" si="24"/>
        <v>275</v>
      </c>
      <c r="AY541" t="s">
        <v>57</v>
      </c>
      <c r="BA541">
        <f>SUM($Q$525:$Q$526)</f>
        <v>234</v>
      </c>
      <c r="BB541">
        <f t="shared" ref="BB541:BE541" si="25">SUM($Q$525:$Q$526)</f>
        <v>234</v>
      </c>
      <c r="BC541">
        <f t="shared" si="25"/>
        <v>234</v>
      </c>
      <c r="BD541">
        <f t="shared" si="25"/>
        <v>234</v>
      </c>
      <c r="BE541">
        <f t="shared" si="25"/>
        <v>234</v>
      </c>
    </row>
    <row r="542" spans="1:57" x14ac:dyDescent="0.25">
      <c r="F542" t="s">
        <v>58</v>
      </c>
      <c r="H542" t="s">
        <v>114</v>
      </c>
      <c r="J542">
        <f>COUNTIF($B$419:$B$511,"&lt;&gt;")</f>
        <v>93</v>
      </c>
      <c r="M542" t="s">
        <v>74</v>
      </c>
      <c r="O542" t="s">
        <v>115</v>
      </c>
      <c r="Q542">
        <f>COUNTIF($B$3:$B$53,"&lt;&gt;")</f>
        <v>51</v>
      </c>
      <c r="S542" t="s">
        <v>60</v>
      </c>
      <c r="U542">
        <f>U541*U540</f>
        <v>16288</v>
      </c>
      <c r="V542" t="s">
        <v>61</v>
      </c>
      <c r="AA542" t="s">
        <v>60</v>
      </c>
      <c r="AC542">
        <f>AC541*AC540</f>
        <v>8800</v>
      </c>
      <c r="AE542" t="s">
        <v>60</v>
      </c>
      <c r="AG542">
        <f>AG540*AG541</f>
        <v>7488</v>
      </c>
      <c r="AI542" t="s">
        <v>60</v>
      </c>
      <c r="AK542">
        <f>AK541*AK540</f>
        <v>16288</v>
      </c>
      <c r="AL542">
        <f t="shared" ref="AL542:AO542" si="26">AL541*AL540</f>
        <v>4072</v>
      </c>
      <c r="AM542">
        <f t="shared" si="26"/>
        <v>4581</v>
      </c>
      <c r="AN542">
        <f t="shared" si="26"/>
        <v>3054</v>
      </c>
      <c r="AO542">
        <f t="shared" si="26"/>
        <v>4581</v>
      </c>
      <c r="AQ542" t="s">
        <v>60</v>
      </c>
      <c r="AS542">
        <f>AS541*AS540</f>
        <v>8800</v>
      </c>
      <c r="AT542">
        <f t="shared" ref="AT542:AW542" si="27">AT541*AT540</f>
        <v>2200</v>
      </c>
      <c r="AU542">
        <f t="shared" si="27"/>
        <v>2475</v>
      </c>
      <c r="AV542">
        <f t="shared" si="27"/>
        <v>1650</v>
      </c>
      <c r="AW542">
        <f t="shared" si="27"/>
        <v>2475</v>
      </c>
      <c r="AY542" t="s">
        <v>60</v>
      </c>
      <c r="BA542">
        <f>BA541*BA540</f>
        <v>7488</v>
      </c>
      <c r="BB542">
        <f t="shared" ref="BB542:BE542" si="28">BB541*BB540</f>
        <v>1872</v>
      </c>
      <c r="BC542">
        <f t="shared" si="28"/>
        <v>2106</v>
      </c>
      <c r="BD542">
        <f t="shared" si="28"/>
        <v>1404</v>
      </c>
      <c r="BE542">
        <f t="shared" si="28"/>
        <v>2106</v>
      </c>
    </row>
    <row r="543" spans="1:57" x14ac:dyDescent="0.25">
      <c r="M543" t="s">
        <v>59</v>
      </c>
      <c r="O543" t="s">
        <v>116</v>
      </c>
      <c r="Q543">
        <f>COUNTIF($B$236:$B$418,"&lt;&gt;")</f>
        <v>183</v>
      </c>
      <c r="S543" t="s">
        <v>75</v>
      </c>
      <c r="U543">
        <f>SUM(B529:AG529)</f>
        <v>6125</v>
      </c>
      <c r="V543" t="s">
        <v>62</v>
      </c>
      <c r="AA543" t="s">
        <v>75</v>
      </c>
      <c r="AC543">
        <f>SUM(B534:AG534)</f>
        <v>3233</v>
      </c>
      <c r="AE543" t="s">
        <v>75</v>
      </c>
      <c r="AG543">
        <f>SUM(B535:AG535)</f>
        <v>2892</v>
      </c>
      <c r="AI543" t="s">
        <v>75</v>
      </c>
      <c r="AK543">
        <f>SUM(B529:AG529)</f>
        <v>6125</v>
      </c>
      <c r="AL543">
        <f>SUM(B529:I529)</f>
        <v>4048</v>
      </c>
      <c r="AM543">
        <f>SUM(J529:R529)</f>
        <v>2077</v>
      </c>
      <c r="AN543">
        <f>SUM(S529:X529)</f>
        <v>0</v>
      </c>
      <c r="AO543">
        <f>SUM(Y529:AG529)</f>
        <v>0</v>
      </c>
      <c r="AQ543" t="s">
        <v>75</v>
      </c>
      <c r="AS543">
        <f>SUM(B534:AG534)</f>
        <v>3233</v>
      </c>
      <c r="AT543">
        <f>SUM(B534:I534)</f>
        <v>2176</v>
      </c>
      <c r="AU543">
        <f>SUM(J534:R534)</f>
        <v>1057</v>
      </c>
      <c r="AV543">
        <f>SUM(S534:X534)</f>
        <v>0</v>
      </c>
      <c r="AW543">
        <f>SUM(Y534:AG534)</f>
        <v>0</v>
      </c>
      <c r="AY543" t="s">
        <v>75</v>
      </c>
      <c r="BA543">
        <f>SUM($B535:$AG535)</f>
        <v>2892</v>
      </c>
      <c r="BB543">
        <f>SUM(B535:I535)</f>
        <v>1872</v>
      </c>
      <c r="BC543">
        <f>SUM(J535:R535)</f>
        <v>1020</v>
      </c>
      <c r="BD543">
        <f>SUM(S535:X535)</f>
        <v>0</v>
      </c>
      <c r="BE543">
        <f>SUM(Y535:AG535)</f>
        <v>0</v>
      </c>
    </row>
    <row r="544" spans="1:57" x14ac:dyDescent="0.25">
      <c r="S544" t="s">
        <v>63</v>
      </c>
      <c r="U544">
        <f>$U543/$U542</f>
        <v>0.37604371316306484</v>
      </c>
      <c r="AA544" t="s">
        <v>64</v>
      </c>
      <c r="AC544">
        <f>AC543/AC542</f>
        <v>0.36738636363636362</v>
      </c>
      <c r="AE544" t="s">
        <v>65</v>
      </c>
      <c r="AG544">
        <f>AG543/AG542</f>
        <v>0.38621794871794873</v>
      </c>
      <c r="AI544" t="s">
        <v>63</v>
      </c>
      <c r="AK544">
        <f>AK543/AK542</f>
        <v>0.37604371316306484</v>
      </c>
      <c r="AL544">
        <f t="shared" ref="AL544:AO544" si="29">AL543/AL542</f>
        <v>0.9941060903732809</v>
      </c>
      <c r="AM544">
        <f t="shared" si="29"/>
        <v>0.4533944553590919</v>
      </c>
      <c r="AN544">
        <f t="shared" si="29"/>
        <v>0</v>
      </c>
      <c r="AO544">
        <f t="shared" si="29"/>
        <v>0</v>
      </c>
      <c r="AQ544" t="s">
        <v>64</v>
      </c>
      <c r="AS544">
        <f>AS543/AS542</f>
        <v>0.36738636363636362</v>
      </c>
      <c r="AT544">
        <f t="shared" ref="AT544:AW544" si="30">AT543/AT542</f>
        <v>0.98909090909090913</v>
      </c>
      <c r="AU544">
        <f t="shared" si="30"/>
        <v>0.42707070707070705</v>
      </c>
      <c r="AV544">
        <f t="shared" si="30"/>
        <v>0</v>
      </c>
      <c r="AW544">
        <f t="shared" si="30"/>
        <v>0</v>
      </c>
      <c r="AY544" t="s">
        <v>65</v>
      </c>
      <c r="BA544">
        <f>BA543/BA542</f>
        <v>0.38621794871794873</v>
      </c>
      <c r="BB544">
        <f t="shared" ref="BB544:BE544" si="31">BB543/BB542</f>
        <v>1</v>
      </c>
      <c r="BC544">
        <f t="shared" si="31"/>
        <v>0.48433048433048431</v>
      </c>
      <c r="BD544">
        <f t="shared" si="31"/>
        <v>0</v>
      </c>
      <c r="BE544">
        <f t="shared" si="31"/>
        <v>0</v>
      </c>
    </row>
    <row r="546" spans="1:57" x14ac:dyDescent="0.25">
      <c r="A546" t="s">
        <v>37</v>
      </c>
      <c r="B546">
        <f>COUNTIF(B$3:B$511,"&gt;=3600")</f>
        <v>509</v>
      </c>
      <c r="C546">
        <f t="shared" ref="C546:AG546" si="32">COUNTIF(C$3:C$511,"&gt;=3600")</f>
        <v>488</v>
      </c>
      <c r="D546">
        <f t="shared" si="32"/>
        <v>509</v>
      </c>
      <c r="E546">
        <f t="shared" si="32"/>
        <v>509</v>
      </c>
      <c r="F546">
        <f t="shared" si="32"/>
        <v>503</v>
      </c>
      <c r="G546">
        <f t="shared" si="32"/>
        <v>502</v>
      </c>
      <c r="H546">
        <f t="shared" si="32"/>
        <v>509</v>
      </c>
      <c r="I546">
        <f t="shared" si="32"/>
        <v>509</v>
      </c>
      <c r="J546">
        <f t="shared" si="32"/>
        <v>5</v>
      </c>
      <c r="K546">
        <f t="shared" si="32"/>
        <v>17</v>
      </c>
      <c r="L546">
        <f t="shared" si="32"/>
        <v>0</v>
      </c>
      <c r="M546">
        <f t="shared" si="32"/>
        <v>500</v>
      </c>
      <c r="N546">
        <f t="shared" si="32"/>
        <v>350</v>
      </c>
      <c r="O546">
        <f t="shared" si="32"/>
        <v>0</v>
      </c>
      <c r="P546">
        <f t="shared" si="32"/>
        <v>96</v>
      </c>
      <c r="Q546">
        <f t="shared" si="32"/>
        <v>493</v>
      </c>
      <c r="R546">
        <f t="shared" si="32"/>
        <v>0</v>
      </c>
      <c r="S546">
        <f t="shared" si="32"/>
        <v>0</v>
      </c>
      <c r="T546">
        <f t="shared" si="32"/>
        <v>0</v>
      </c>
      <c r="U546">
        <f t="shared" si="32"/>
        <v>0</v>
      </c>
      <c r="V546">
        <f t="shared" si="32"/>
        <v>0</v>
      </c>
      <c r="W546">
        <f t="shared" si="32"/>
        <v>0</v>
      </c>
      <c r="X546">
        <f t="shared" si="32"/>
        <v>0</v>
      </c>
      <c r="Y546">
        <f t="shared" si="32"/>
        <v>0</v>
      </c>
      <c r="Z546">
        <f t="shared" si="32"/>
        <v>0</v>
      </c>
      <c r="AA546">
        <f t="shared" si="32"/>
        <v>0</v>
      </c>
      <c r="AB546">
        <f t="shared" si="32"/>
        <v>0</v>
      </c>
      <c r="AC546">
        <f t="shared" si="32"/>
        <v>0</v>
      </c>
      <c r="AD546">
        <f t="shared" si="32"/>
        <v>0</v>
      </c>
      <c r="AE546">
        <f t="shared" si="32"/>
        <v>0</v>
      </c>
      <c r="AF546">
        <f t="shared" si="32"/>
        <v>0</v>
      </c>
      <c r="AG546">
        <f t="shared" si="32"/>
        <v>0</v>
      </c>
    </row>
    <row r="547" spans="1:57" x14ac:dyDescent="0.25">
      <c r="A547" t="s">
        <v>38</v>
      </c>
      <c r="B547">
        <f>COUNTIF(B$54:B$235,"&gt;=3600")</f>
        <v>182</v>
      </c>
      <c r="C547">
        <f t="shared" ref="C547:AG547" si="33">COUNTIF(C$54:C$235,"&gt;=3600")</f>
        <v>182</v>
      </c>
      <c r="D547">
        <f t="shared" si="33"/>
        <v>182</v>
      </c>
      <c r="E547">
        <f t="shared" si="33"/>
        <v>182</v>
      </c>
      <c r="F547">
        <f t="shared" si="33"/>
        <v>182</v>
      </c>
      <c r="G547">
        <f t="shared" si="33"/>
        <v>182</v>
      </c>
      <c r="H547">
        <f t="shared" si="33"/>
        <v>182</v>
      </c>
      <c r="I547">
        <f t="shared" si="33"/>
        <v>182</v>
      </c>
      <c r="J547">
        <f t="shared" si="33"/>
        <v>0</v>
      </c>
      <c r="K547">
        <f t="shared" si="33"/>
        <v>8</v>
      </c>
      <c r="L547">
        <f t="shared" si="33"/>
        <v>0</v>
      </c>
      <c r="M547">
        <f t="shared" si="33"/>
        <v>182</v>
      </c>
      <c r="N547">
        <f t="shared" si="33"/>
        <v>104</v>
      </c>
      <c r="O547">
        <f t="shared" si="33"/>
        <v>0</v>
      </c>
      <c r="P547">
        <f t="shared" si="33"/>
        <v>34</v>
      </c>
      <c r="Q547">
        <f t="shared" si="33"/>
        <v>182</v>
      </c>
      <c r="R547">
        <f t="shared" si="33"/>
        <v>0</v>
      </c>
      <c r="S547">
        <f t="shared" si="33"/>
        <v>0</v>
      </c>
      <c r="T547">
        <f t="shared" si="33"/>
        <v>0</v>
      </c>
      <c r="U547">
        <f t="shared" si="33"/>
        <v>0</v>
      </c>
      <c r="V547">
        <f t="shared" si="33"/>
        <v>0</v>
      </c>
      <c r="W547">
        <f t="shared" si="33"/>
        <v>0</v>
      </c>
      <c r="X547">
        <f t="shared" si="33"/>
        <v>0</v>
      </c>
      <c r="Y547">
        <f t="shared" si="33"/>
        <v>0</v>
      </c>
      <c r="Z547">
        <f t="shared" si="33"/>
        <v>0</v>
      </c>
      <c r="AA547">
        <f t="shared" si="33"/>
        <v>0</v>
      </c>
      <c r="AB547">
        <f t="shared" si="33"/>
        <v>0</v>
      </c>
      <c r="AC547">
        <f t="shared" si="33"/>
        <v>0</v>
      </c>
      <c r="AD547">
        <f t="shared" si="33"/>
        <v>0</v>
      </c>
      <c r="AE547">
        <f t="shared" si="33"/>
        <v>0</v>
      </c>
      <c r="AF547">
        <f t="shared" si="33"/>
        <v>0</v>
      </c>
      <c r="AG547">
        <f t="shared" si="33"/>
        <v>0</v>
      </c>
      <c r="AH547" t="s">
        <v>109</v>
      </c>
    </row>
    <row r="548" spans="1:57" x14ac:dyDescent="0.25">
      <c r="A548" t="s">
        <v>39</v>
      </c>
      <c r="B548">
        <f>COUNTIF(B$419:B$511,"&gt;=3600")</f>
        <v>93</v>
      </c>
      <c r="C548">
        <f t="shared" ref="C548:AG548" si="34">COUNTIF(C$419:C$511,"&gt;=3600")</f>
        <v>72</v>
      </c>
      <c r="D548">
        <f t="shared" si="34"/>
        <v>93</v>
      </c>
      <c r="E548">
        <f t="shared" si="34"/>
        <v>93</v>
      </c>
      <c r="F548">
        <f t="shared" si="34"/>
        <v>87</v>
      </c>
      <c r="G548">
        <f t="shared" si="34"/>
        <v>86</v>
      </c>
      <c r="H548">
        <f t="shared" si="34"/>
        <v>93</v>
      </c>
      <c r="I548">
        <f t="shared" si="34"/>
        <v>93</v>
      </c>
      <c r="J548">
        <f t="shared" si="34"/>
        <v>5</v>
      </c>
      <c r="K548">
        <f t="shared" si="34"/>
        <v>0</v>
      </c>
      <c r="L548">
        <f t="shared" si="34"/>
        <v>0</v>
      </c>
      <c r="M548">
        <f t="shared" si="34"/>
        <v>84</v>
      </c>
      <c r="N548">
        <f t="shared" si="34"/>
        <v>52</v>
      </c>
      <c r="O548">
        <f t="shared" si="34"/>
        <v>0</v>
      </c>
      <c r="P548">
        <f t="shared" si="34"/>
        <v>24</v>
      </c>
      <c r="Q548">
        <f t="shared" si="34"/>
        <v>77</v>
      </c>
      <c r="R548">
        <f t="shared" si="34"/>
        <v>0</v>
      </c>
      <c r="S548">
        <f t="shared" si="34"/>
        <v>0</v>
      </c>
      <c r="T548">
        <f t="shared" si="34"/>
        <v>0</v>
      </c>
      <c r="U548">
        <f t="shared" si="34"/>
        <v>0</v>
      </c>
      <c r="V548">
        <f t="shared" si="34"/>
        <v>0</v>
      </c>
      <c r="W548">
        <f t="shared" si="34"/>
        <v>0</v>
      </c>
      <c r="X548">
        <f t="shared" si="34"/>
        <v>0</v>
      </c>
      <c r="Y548">
        <f t="shared" si="34"/>
        <v>0</v>
      </c>
      <c r="Z548">
        <f t="shared" si="34"/>
        <v>0</v>
      </c>
      <c r="AA548">
        <f t="shared" si="34"/>
        <v>0</v>
      </c>
      <c r="AB548">
        <f t="shared" si="34"/>
        <v>0</v>
      </c>
      <c r="AC548">
        <f t="shared" si="34"/>
        <v>0</v>
      </c>
      <c r="AD548">
        <f t="shared" si="34"/>
        <v>0</v>
      </c>
      <c r="AE548">
        <f t="shared" si="34"/>
        <v>0</v>
      </c>
      <c r="AF548">
        <f t="shared" si="34"/>
        <v>0</v>
      </c>
      <c r="AG548">
        <f t="shared" si="34"/>
        <v>0</v>
      </c>
      <c r="AH548" t="s">
        <v>110</v>
      </c>
    </row>
    <row r="549" spans="1:57" x14ac:dyDescent="0.25">
      <c r="A549" t="s">
        <v>40</v>
      </c>
      <c r="B549">
        <f>COUNTIF(B$3:B$53,"&gt;=3600")</f>
        <v>51</v>
      </c>
      <c r="C549">
        <f t="shared" ref="C549:AG549" si="35">COUNTIF(C$3:C$53,"&gt;=3600")</f>
        <v>51</v>
      </c>
      <c r="D549">
        <f t="shared" si="35"/>
        <v>51</v>
      </c>
      <c r="E549">
        <f t="shared" si="35"/>
        <v>51</v>
      </c>
      <c r="F549">
        <f t="shared" si="35"/>
        <v>51</v>
      </c>
      <c r="G549">
        <f t="shared" si="35"/>
        <v>51</v>
      </c>
      <c r="H549">
        <f t="shared" si="35"/>
        <v>51</v>
      </c>
      <c r="I549">
        <f t="shared" si="35"/>
        <v>51</v>
      </c>
      <c r="J549">
        <f t="shared" si="35"/>
        <v>0</v>
      </c>
      <c r="K549">
        <f t="shared" si="35"/>
        <v>9</v>
      </c>
      <c r="L549">
        <f t="shared" si="35"/>
        <v>0</v>
      </c>
      <c r="M549">
        <f t="shared" si="35"/>
        <v>51</v>
      </c>
      <c r="N549">
        <f t="shared" si="35"/>
        <v>50</v>
      </c>
      <c r="O549">
        <f t="shared" si="35"/>
        <v>0</v>
      </c>
      <c r="P549">
        <f t="shared" si="35"/>
        <v>17</v>
      </c>
      <c r="Q549">
        <f t="shared" si="35"/>
        <v>51</v>
      </c>
      <c r="R549">
        <f t="shared" si="35"/>
        <v>0</v>
      </c>
      <c r="S549">
        <f t="shared" si="35"/>
        <v>0</v>
      </c>
      <c r="T549">
        <f t="shared" si="35"/>
        <v>0</v>
      </c>
      <c r="U549">
        <f t="shared" si="35"/>
        <v>0</v>
      </c>
      <c r="V549">
        <f t="shared" si="35"/>
        <v>0</v>
      </c>
      <c r="W549">
        <f t="shared" si="35"/>
        <v>0</v>
      </c>
      <c r="X549">
        <f t="shared" si="35"/>
        <v>0</v>
      </c>
      <c r="Y549">
        <f t="shared" si="35"/>
        <v>0</v>
      </c>
      <c r="Z549">
        <f t="shared" si="35"/>
        <v>0</v>
      </c>
      <c r="AA549">
        <f t="shared" si="35"/>
        <v>0</v>
      </c>
      <c r="AB549">
        <f t="shared" si="35"/>
        <v>0</v>
      </c>
      <c r="AC549">
        <f t="shared" si="35"/>
        <v>0</v>
      </c>
      <c r="AD549">
        <f t="shared" si="35"/>
        <v>0</v>
      </c>
      <c r="AE549">
        <f t="shared" si="35"/>
        <v>0</v>
      </c>
      <c r="AF549">
        <f t="shared" si="35"/>
        <v>0</v>
      </c>
      <c r="AG549">
        <f t="shared" si="35"/>
        <v>0</v>
      </c>
      <c r="AH549" t="s">
        <v>111</v>
      </c>
    </row>
    <row r="550" spans="1:57" x14ac:dyDescent="0.25">
      <c r="A550" t="s">
        <v>41</v>
      </c>
      <c r="B550">
        <f>COUNTIF(B$236:B$418,"&gt;=3600")</f>
        <v>183</v>
      </c>
      <c r="C550">
        <f t="shared" ref="C550:AG550" si="36">COUNTIF(C$236:C$418,"&gt;=3600")</f>
        <v>183</v>
      </c>
      <c r="D550">
        <f t="shared" si="36"/>
        <v>183</v>
      </c>
      <c r="E550">
        <f t="shared" si="36"/>
        <v>183</v>
      </c>
      <c r="F550">
        <f t="shared" si="36"/>
        <v>183</v>
      </c>
      <c r="G550">
        <f t="shared" si="36"/>
        <v>183</v>
      </c>
      <c r="H550">
        <f t="shared" si="36"/>
        <v>183</v>
      </c>
      <c r="I550">
        <f t="shared" si="36"/>
        <v>183</v>
      </c>
      <c r="J550">
        <f t="shared" si="36"/>
        <v>0</v>
      </c>
      <c r="K550">
        <f t="shared" si="36"/>
        <v>0</v>
      </c>
      <c r="L550">
        <f t="shared" si="36"/>
        <v>0</v>
      </c>
      <c r="M550">
        <f t="shared" si="36"/>
        <v>183</v>
      </c>
      <c r="N550">
        <f t="shared" si="36"/>
        <v>144</v>
      </c>
      <c r="O550">
        <f t="shared" si="36"/>
        <v>0</v>
      </c>
      <c r="P550">
        <f t="shared" si="36"/>
        <v>21</v>
      </c>
      <c r="Q550">
        <f t="shared" si="36"/>
        <v>183</v>
      </c>
      <c r="R550">
        <f t="shared" si="36"/>
        <v>0</v>
      </c>
      <c r="S550">
        <f t="shared" si="36"/>
        <v>0</v>
      </c>
      <c r="T550">
        <f t="shared" si="36"/>
        <v>0</v>
      </c>
      <c r="U550">
        <f t="shared" si="36"/>
        <v>0</v>
      </c>
      <c r="V550">
        <f t="shared" si="36"/>
        <v>0</v>
      </c>
      <c r="W550">
        <f t="shared" si="36"/>
        <v>0</v>
      </c>
      <c r="X550">
        <f t="shared" si="36"/>
        <v>0</v>
      </c>
      <c r="Y550">
        <f t="shared" si="36"/>
        <v>0</v>
      </c>
      <c r="Z550">
        <f t="shared" si="36"/>
        <v>0</v>
      </c>
      <c r="AA550">
        <f t="shared" si="36"/>
        <v>0</v>
      </c>
      <c r="AB550">
        <f t="shared" si="36"/>
        <v>0</v>
      </c>
      <c r="AC550">
        <f t="shared" si="36"/>
        <v>0</v>
      </c>
      <c r="AD550">
        <f t="shared" si="36"/>
        <v>0</v>
      </c>
      <c r="AE550">
        <f t="shared" si="36"/>
        <v>0</v>
      </c>
      <c r="AF550">
        <f t="shared" si="36"/>
        <v>0</v>
      </c>
      <c r="AG550">
        <f t="shared" si="36"/>
        <v>0</v>
      </c>
      <c r="AH550" t="s">
        <v>112</v>
      </c>
    </row>
    <row r="551" spans="1:57" x14ac:dyDescent="0.25">
      <c r="A551" t="s">
        <v>42</v>
      </c>
      <c r="B551">
        <f>SUM(B547,B548)</f>
        <v>275</v>
      </c>
      <c r="C551">
        <f t="shared" ref="C551:AG551" si="37">SUM(C547,C548)</f>
        <v>254</v>
      </c>
      <c r="D551">
        <f t="shared" si="37"/>
        <v>275</v>
      </c>
      <c r="E551">
        <f t="shared" si="37"/>
        <v>275</v>
      </c>
      <c r="F551">
        <f t="shared" si="37"/>
        <v>269</v>
      </c>
      <c r="G551">
        <f t="shared" si="37"/>
        <v>268</v>
      </c>
      <c r="H551">
        <f t="shared" si="37"/>
        <v>275</v>
      </c>
      <c r="I551">
        <f t="shared" si="37"/>
        <v>275</v>
      </c>
      <c r="J551">
        <f t="shared" si="37"/>
        <v>5</v>
      </c>
      <c r="K551">
        <f t="shared" si="37"/>
        <v>8</v>
      </c>
      <c r="L551">
        <f t="shared" si="37"/>
        <v>0</v>
      </c>
      <c r="M551">
        <f t="shared" si="37"/>
        <v>266</v>
      </c>
      <c r="N551">
        <f t="shared" si="37"/>
        <v>156</v>
      </c>
      <c r="O551">
        <f t="shared" si="37"/>
        <v>0</v>
      </c>
      <c r="P551">
        <f t="shared" si="37"/>
        <v>58</v>
      </c>
      <c r="Q551">
        <f t="shared" si="37"/>
        <v>259</v>
      </c>
      <c r="R551">
        <f t="shared" si="37"/>
        <v>0</v>
      </c>
      <c r="S551">
        <f t="shared" si="37"/>
        <v>0</v>
      </c>
      <c r="T551">
        <f t="shared" si="37"/>
        <v>0</v>
      </c>
      <c r="U551">
        <f t="shared" si="37"/>
        <v>0</v>
      </c>
      <c r="V551">
        <f t="shared" si="37"/>
        <v>0</v>
      </c>
      <c r="W551">
        <f t="shared" si="37"/>
        <v>0</v>
      </c>
      <c r="X551">
        <f t="shared" si="37"/>
        <v>0</v>
      </c>
      <c r="Y551">
        <f t="shared" si="37"/>
        <v>0</v>
      </c>
      <c r="Z551">
        <f t="shared" si="37"/>
        <v>0</v>
      </c>
      <c r="AA551">
        <f t="shared" si="37"/>
        <v>0</v>
      </c>
      <c r="AB551">
        <f t="shared" si="37"/>
        <v>0</v>
      </c>
      <c r="AC551">
        <f t="shared" si="37"/>
        <v>0</v>
      </c>
      <c r="AD551">
        <f t="shared" si="37"/>
        <v>0</v>
      </c>
      <c r="AE551">
        <f t="shared" si="37"/>
        <v>0</v>
      </c>
      <c r="AF551">
        <f t="shared" si="37"/>
        <v>0</v>
      </c>
      <c r="AG551">
        <f t="shared" si="37"/>
        <v>0</v>
      </c>
    </row>
    <row r="552" spans="1:57" x14ac:dyDescent="0.25">
      <c r="A552" t="s">
        <v>43</v>
      </c>
      <c r="B552">
        <f>SUM(B549,B550)</f>
        <v>234</v>
      </c>
      <c r="C552">
        <f t="shared" ref="C552:AG552" si="38">SUM(C549,C550)</f>
        <v>234</v>
      </c>
      <c r="D552">
        <f t="shared" si="38"/>
        <v>234</v>
      </c>
      <c r="E552">
        <f t="shared" si="38"/>
        <v>234</v>
      </c>
      <c r="F552">
        <f t="shared" si="38"/>
        <v>234</v>
      </c>
      <c r="G552">
        <f t="shared" si="38"/>
        <v>234</v>
      </c>
      <c r="H552">
        <f t="shared" si="38"/>
        <v>234</v>
      </c>
      <c r="I552">
        <f t="shared" si="38"/>
        <v>234</v>
      </c>
      <c r="J552">
        <f t="shared" si="38"/>
        <v>0</v>
      </c>
      <c r="K552">
        <f t="shared" si="38"/>
        <v>9</v>
      </c>
      <c r="L552">
        <f t="shared" si="38"/>
        <v>0</v>
      </c>
      <c r="M552">
        <f t="shared" si="38"/>
        <v>234</v>
      </c>
      <c r="N552">
        <f t="shared" si="38"/>
        <v>194</v>
      </c>
      <c r="O552">
        <f t="shared" si="38"/>
        <v>0</v>
      </c>
      <c r="P552">
        <f t="shared" si="38"/>
        <v>38</v>
      </c>
      <c r="Q552">
        <f t="shared" si="38"/>
        <v>234</v>
      </c>
      <c r="R552">
        <f t="shared" si="38"/>
        <v>0</v>
      </c>
      <c r="S552">
        <f t="shared" si="38"/>
        <v>0</v>
      </c>
      <c r="T552">
        <f t="shared" si="38"/>
        <v>0</v>
      </c>
      <c r="U552">
        <f t="shared" si="38"/>
        <v>0</v>
      </c>
      <c r="V552">
        <f t="shared" si="38"/>
        <v>0</v>
      </c>
      <c r="W552">
        <f t="shared" si="38"/>
        <v>0</v>
      </c>
      <c r="X552">
        <f t="shared" si="38"/>
        <v>0</v>
      </c>
      <c r="Y552">
        <f t="shared" si="38"/>
        <v>0</v>
      </c>
      <c r="Z552">
        <f t="shared" si="38"/>
        <v>0</v>
      </c>
      <c r="AA552">
        <f t="shared" si="38"/>
        <v>0</v>
      </c>
      <c r="AB552">
        <f t="shared" si="38"/>
        <v>0</v>
      </c>
      <c r="AC552">
        <f t="shared" si="38"/>
        <v>0</v>
      </c>
      <c r="AD552">
        <f t="shared" si="38"/>
        <v>0</v>
      </c>
      <c r="AE552">
        <f t="shared" si="38"/>
        <v>0</v>
      </c>
      <c r="AF552">
        <f t="shared" si="38"/>
        <v>0</v>
      </c>
      <c r="AG552">
        <f t="shared" si="38"/>
        <v>0</v>
      </c>
    </row>
    <row r="555" spans="1:57" x14ac:dyDescent="0.25">
      <c r="D555" t="s">
        <v>69</v>
      </c>
      <c r="F555" t="s">
        <v>70</v>
      </c>
      <c r="S555" t="s">
        <v>83</v>
      </c>
      <c r="AA555" t="s">
        <v>83</v>
      </c>
      <c r="AE555" t="s">
        <v>83</v>
      </c>
      <c r="AI555" t="s">
        <v>83</v>
      </c>
      <c r="AQ555" t="s">
        <v>83</v>
      </c>
      <c r="AY555" t="s">
        <v>83</v>
      </c>
    </row>
    <row r="556" spans="1:57" x14ac:dyDescent="0.25">
      <c r="F556" t="s">
        <v>47</v>
      </c>
      <c r="S556" t="s">
        <v>48</v>
      </c>
      <c r="AA556" t="s">
        <v>49</v>
      </c>
      <c r="AE556" t="s">
        <v>50</v>
      </c>
      <c r="AI556" t="s">
        <v>48</v>
      </c>
      <c r="AK556" t="s">
        <v>51</v>
      </c>
      <c r="AL556" t="s">
        <v>33</v>
      </c>
      <c r="AM556" t="s">
        <v>34</v>
      </c>
      <c r="AN556" t="s">
        <v>35</v>
      </c>
      <c r="AO556" t="s">
        <v>36</v>
      </c>
      <c r="AQ556" t="s">
        <v>49</v>
      </c>
      <c r="AS556" t="s">
        <v>51</v>
      </c>
      <c r="AT556" t="s">
        <v>33</v>
      </c>
      <c r="AU556" t="s">
        <v>34</v>
      </c>
      <c r="AV556" t="s">
        <v>35</v>
      </c>
      <c r="AW556" t="s">
        <v>36</v>
      </c>
      <c r="AY556" t="s">
        <v>50</v>
      </c>
      <c r="BA556" t="s">
        <v>51</v>
      </c>
      <c r="BB556" t="s">
        <v>33</v>
      </c>
      <c r="BC556" t="s">
        <v>34</v>
      </c>
      <c r="BD556" t="s">
        <v>35</v>
      </c>
      <c r="BE556" t="s">
        <v>36</v>
      </c>
    </row>
    <row r="557" spans="1:57" x14ac:dyDescent="0.25">
      <c r="F557" t="s">
        <v>52</v>
      </c>
      <c r="M557" t="s">
        <v>53</v>
      </c>
      <c r="S557" t="s">
        <v>54</v>
      </c>
      <c r="U557">
        <f>COUNTIF(B35:AG35,"&lt;&gt;")</f>
        <v>32</v>
      </c>
      <c r="AA557" t="s">
        <v>54</v>
      </c>
      <c r="AC557">
        <f>COUNTIF(B35:AG35,"&lt;&gt;")</f>
        <v>32</v>
      </c>
      <c r="AE557" t="s">
        <v>54</v>
      </c>
      <c r="AG557">
        <f>COUNTIF(B35:AG35,"&lt;&gt;")</f>
        <v>32</v>
      </c>
      <c r="AI557" t="s">
        <v>54</v>
      </c>
      <c r="AK557">
        <f>COUNTIF($B$2:$AG$2,"&lt;&gt;")</f>
        <v>32</v>
      </c>
      <c r="AL557">
        <f>COUNTIF($B$2:$I$2,"&lt;&gt;")</f>
        <v>8</v>
      </c>
      <c r="AM557">
        <f>COUNTIF($J$2:$R$2,"&lt;&gt;")</f>
        <v>9</v>
      </c>
      <c r="AN557">
        <f>COUNTIF($S$2:$X$2,"&lt;&gt;")</f>
        <v>6</v>
      </c>
      <c r="AO557">
        <f>COUNTIF($Y$2:$AG$2,"&lt;&gt;")</f>
        <v>9</v>
      </c>
      <c r="AQ557" t="s">
        <v>54</v>
      </c>
      <c r="AS557">
        <f>COUNTIF($B$2:$AG$2,"&lt;&gt;")</f>
        <v>32</v>
      </c>
      <c r="AT557">
        <f>COUNTIF($B$2:$I$2,"&lt;&gt;")</f>
        <v>8</v>
      </c>
      <c r="AU557">
        <f>COUNTIF($J$2:$R$2,"&lt;&gt;")</f>
        <v>9</v>
      </c>
      <c r="AV557">
        <f>COUNTIF($S$2:$X$2,"&lt;&gt;")</f>
        <v>6</v>
      </c>
      <c r="AW557">
        <f>COUNTIF($Y$2:$AG$2,"&lt;&gt;")</f>
        <v>9</v>
      </c>
      <c r="AY557" t="s">
        <v>54</v>
      </c>
      <c r="BA557">
        <f>COUNTIF($B$2:$AG$2,"&lt;&gt;")</f>
        <v>32</v>
      </c>
      <c r="BB557">
        <f>COUNTIF($B$2:$I$2,"&lt;&gt;")</f>
        <v>8</v>
      </c>
      <c r="BC557">
        <f>COUNTIF($J$2:$R$2,"&lt;&gt;")</f>
        <v>9</v>
      </c>
      <c r="BD557">
        <f>COUNTIF($S$2:$X$2,"&lt;&gt;")</f>
        <v>6</v>
      </c>
      <c r="BE557">
        <f>COUNTIF($Y$2:$AG$2,"&lt;&gt;")</f>
        <v>9</v>
      </c>
    </row>
    <row r="558" spans="1:57" x14ac:dyDescent="0.25">
      <c r="F558" t="s">
        <v>55</v>
      </c>
      <c r="H558" t="s">
        <v>113</v>
      </c>
      <c r="J558">
        <f>COUNTIF($B$54:$B$235,"&lt;&gt;")</f>
        <v>182</v>
      </c>
      <c r="M558" t="s">
        <v>56</v>
      </c>
      <c r="S558" t="s">
        <v>57</v>
      </c>
      <c r="U558">
        <f>COUNTIF($A$3:$A$511,"&lt;&gt;")</f>
        <v>509</v>
      </c>
      <c r="AA558" t="s">
        <v>57</v>
      </c>
      <c r="AC558">
        <f>SUM($J$524:$J$525)</f>
        <v>275</v>
      </c>
      <c r="AE558" t="s">
        <v>57</v>
      </c>
      <c r="AG558">
        <f>SUM($Q$525:$Q$526)</f>
        <v>234</v>
      </c>
      <c r="AI558" t="s">
        <v>57</v>
      </c>
      <c r="AK558">
        <f>COUNTIF($A$3:$A$511,"&lt;&gt;")</f>
        <v>509</v>
      </c>
      <c r="AL558">
        <f t="shared" ref="AL558:AO558" si="39">COUNTIF($A$3:$A$511,"&lt;&gt;")</f>
        <v>509</v>
      </c>
      <c r="AM558">
        <f t="shared" si="39"/>
        <v>509</v>
      </c>
      <c r="AN558">
        <f t="shared" si="39"/>
        <v>509</v>
      </c>
      <c r="AO558">
        <f t="shared" si="39"/>
        <v>509</v>
      </c>
      <c r="AQ558" t="s">
        <v>57</v>
      </c>
      <c r="AS558">
        <f>SUM($J$524:$J$525)</f>
        <v>275</v>
      </c>
      <c r="AT558">
        <f t="shared" ref="AT558:AW558" si="40">SUM($J$524:$J$525)</f>
        <v>275</v>
      </c>
      <c r="AU558">
        <f t="shared" si="40"/>
        <v>275</v>
      </c>
      <c r="AV558">
        <f t="shared" si="40"/>
        <v>275</v>
      </c>
      <c r="AW558">
        <f t="shared" si="40"/>
        <v>275</v>
      </c>
      <c r="AY558" t="s">
        <v>57</v>
      </c>
      <c r="BA558">
        <f>SUM($Q$525:$Q$526)</f>
        <v>234</v>
      </c>
      <c r="BB558">
        <f t="shared" ref="BB558:BE558" si="41">SUM($Q$525:$Q$526)</f>
        <v>234</v>
      </c>
      <c r="BC558">
        <f t="shared" si="41"/>
        <v>234</v>
      </c>
      <c r="BD558">
        <f t="shared" si="41"/>
        <v>234</v>
      </c>
      <c r="BE558">
        <f t="shared" si="41"/>
        <v>234</v>
      </c>
    </row>
    <row r="559" spans="1:57" x14ac:dyDescent="0.25">
      <c r="F559" t="s">
        <v>58</v>
      </c>
      <c r="H559" t="s">
        <v>114</v>
      </c>
      <c r="J559">
        <f>COUNTIF($B$419:$B$511,"&lt;&gt;")</f>
        <v>93</v>
      </c>
      <c r="M559" t="s">
        <v>74</v>
      </c>
      <c r="O559" t="s">
        <v>115</v>
      </c>
      <c r="Q559">
        <f>COUNTIF($B$3:$B$53,"&lt;&gt;")</f>
        <v>51</v>
      </c>
      <c r="S559" t="s">
        <v>60</v>
      </c>
      <c r="U559">
        <f>U558*U557</f>
        <v>16288</v>
      </c>
      <c r="V559" t="s">
        <v>61</v>
      </c>
      <c r="AA559" t="s">
        <v>60</v>
      </c>
      <c r="AC559">
        <f>AC558*AC557</f>
        <v>8800</v>
      </c>
      <c r="AE559" t="s">
        <v>60</v>
      </c>
      <c r="AG559">
        <f>AG557*AG558</f>
        <v>7488</v>
      </c>
      <c r="AI559" t="s">
        <v>60</v>
      </c>
      <c r="AK559">
        <f>AK558*AK557</f>
        <v>16288</v>
      </c>
      <c r="AL559">
        <f t="shared" ref="AL559:AO559" si="42">AL558*AL557</f>
        <v>4072</v>
      </c>
      <c r="AM559">
        <f t="shared" si="42"/>
        <v>4581</v>
      </c>
      <c r="AN559">
        <f t="shared" si="42"/>
        <v>3054</v>
      </c>
      <c r="AO559">
        <f t="shared" si="42"/>
        <v>4581</v>
      </c>
      <c r="AQ559" t="s">
        <v>60</v>
      </c>
      <c r="AS559">
        <f>AS558*AS557</f>
        <v>8800</v>
      </c>
      <c r="AT559">
        <f t="shared" ref="AT559:AW559" si="43">AT558*AT557</f>
        <v>2200</v>
      </c>
      <c r="AU559">
        <f t="shared" si="43"/>
        <v>2475</v>
      </c>
      <c r="AV559">
        <f t="shared" si="43"/>
        <v>1650</v>
      </c>
      <c r="AW559">
        <f t="shared" si="43"/>
        <v>2475</v>
      </c>
      <c r="AY559" t="s">
        <v>60</v>
      </c>
      <c r="BA559">
        <f>BA558*BA557</f>
        <v>7488</v>
      </c>
      <c r="BB559">
        <f t="shared" ref="BB559:BE559" si="44">BB558*BB557</f>
        <v>1872</v>
      </c>
      <c r="BC559">
        <f t="shared" si="44"/>
        <v>2106</v>
      </c>
      <c r="BD559">
        <f t="shared" si="44"/>
        <v>1404</v>
      </c>
      <c r="BE559">
        <f t="shared" si="44"/>
        <v>2106</v>
      </c>
    </row>
    <row r="560" spans="1:57" x14ac:dyDescent="0.25">
      <c r="M560" t="s">
        <v>59</v>
      </c>
      <c r="O560" t="s">
        <v>116</v>
      </c>
      <c r="Q560">
        <f>COUNTIF($B$236:$B$418,"&lt;&gt;")</f>
        <v>183</v>
      </c>
      <c r="S560" t="s">
        <v>76</v>
      </c>
      <c r="U560">
        <f>SUM(B546:AG546)</f>
        <v>5499</v>
      </c>
      <c r="V560" t="s">
        <v>62</v>
      </c>
      <c r="AA560" t="s">
        <v>76</v>
      </c>
      <c r="AC560">
        <f>SUM(B551:AG551)</f>
        <v>2918</v>
      </c>
      <c r="AE560" t="s">
        <v>76</v>
      </c>
      <c r="AG560">
        <f>SUM(B552:AG552)</f>
        <v>2581</v>
      </c>
      <c r="AI560" t="s">
        <v>76</v>
      </c>
      <c r="AK560">
        <f>SUM(B546:AG546)</f>
        <v>5499</v>
      </c>
      <c r="AL560">
        <f>SUM(B546:I546)</f>
        <v>4038</v>
      </c>
      <c r="AM560">
        <f>SUM(J546:R546)</f>
        <v>1461</v>
      </c>
      <c r="AN560">
        <f>SUM(S546:X546)</f>
        <v>0</v>
      </c>
      <c r="AO560">
        <f>SUM(Y546:AG546)</f>
        <v>0</v>
      </c>
      <c r="AQ560" t="s">
        <v>76</v>
      </c>
      <c r="AS560">
        <f>SUM(B551:AG551)</f>
        <v>2918</v>
      </c>
      <c r="AT560">
        <f>SUM(B551:I551)</f>
        <v>2166</v>
      </c>
      <c r="AU560">
        <f>SUM(J551:R551)</f>
        <v>752</v>
      </c>
      <c r="AV560">
        <f>SUM(S551:X551)</f>
        <v>0</v>
      </c>
      <c r="AW560">
        <f>SUM(Y551:AG551)</f>
        <v>0</v>
      </c>
      <c r="AY560" t="s">
        <v>76</v>
      </c>
      <c r="BA560">
        <f>SUM($B552:$AG552)</f>
        <v>2581</v>
      </c>
      <c r="BB560">
        <f>SUM(B552:I552)</f>
        <v>1872</v>
      </c>
      <c r="BC560">
        <f>SUM(J552:R552)</f>
        <v>709</v>
      </c>
      <c r="BD560">
        <f>SUM(S552:X552)</f>
        <v>0</v>
      </c>
      <c r="BE560">
        <f>SUM(Y552:AG552)</f>
        <v>0</v>
      </c>
    </row>
    <row r="561" spans="1:57" x14ac:dyDescent="0.25">
      <c r="S561" t="s">
        <v>63</v>
      </c>
      <c r="U561">
        <f>$U560/$U559</f>
        <v>0.33761051080550097</v>
      </c>
      <c r="AA561" t="s">
        <v>64</v>
      </c>
      <c r="AC561">
        <f>AC560/AC559</f>
        <v>0.3315909090909091</v>
      </c>
      <c r="AE561" t="s">
        <v>65</v>
      </c>
      <c r="AG561">
        <f>AG560/AG559</f>
        <v>0.34468482905982906</v>
      </c>
      <c r="AI561" t="s">
        <v>63</v>
      </c>
      <c r="AK561">
        <f>AK560/AK559</f>
        <v>0.33761051080550097</v>
      </c>
      <c r="AL561">
        <f t="shared" ref="AL561:AO561" si="45">AL560/AL559</f>
        <v>0.99165029469548138</v>
      </c>
      <c r="AM561">
        <f t="shared" si="45"/>
        <v>0.3189259986902423</v>
      </c>
      <c r="AN561">
        <f t="shared" si="45"/>
        <v>0</v>
      </c>
      <c r="AO561">
        <f t="shared" si="45"/>
        <v>0</v>
      </c>
      <c r="AQ561" t="s">
        <v>64</v>
      </c>
      <c r="AS561">
        <f>AS560/AS559</f>
        <v>0.3315909090909091</v>
      </c>
      <c r="AT561">
        <f t="shared" ref="AT561:AW561" si="46">AT560/AT559</f>
        <v>0.9845454545454545</v>
      </c>
      <c r="AU561">
        <f t="shared" si="46"/>
        <v>0.30383838383838385</v>
      </c>
      <c r="AV561">
        <f t="shared" si="46"/>
        <v>0</v>
      </c>
      <c r="AW561">
        <f t="shared" si="46"/>
        <v>0</v>
      </c>
      <c r="AY561" t="s">
        <v>65</v>
      </c>
      <c r="BA561">
        <f>BA560/BA559</f>
        <v>0.34468482905982906</v>
      </c>
      <c r="BB561">
        <f t="shared" ref="BB561:BE561" si="47">BB560/BB559</f>
        <v>1</v>
      </c>
      <c r="BC561">
        <f t="shared" si="47"/>
        <v>0.33665716999050332</v>
      </c>
      <c r="BD561">
        <f t="shared" si="47"/>
        <v>0</v>
      </c>
      <c r="BE561">
        <f t="shared" si="47"/>
        <v>0</v>
      </c>
    </row>
    <row r="563" spans="1:57" x14ac:dyDescent="0.25">
      <c r="A563" t="s">
        <v>37</v>
      </c>
      <c r="B563">
        <f>COUNTIF(B$3:B$511,"&gt;=9130")</f>
        <v>416</v>
      </c>
      <c r="C563">
        <f t="shared" ref="C563:AG563" si="48">COUNTIF(C$3:C$511,"&gt;=9130")</f>
        <v>364</v>
      </c>
      <c r="D563">
        <f t="shared" si="48"/>
        <v>380</v>
      </c>
      <c r="E563">
        <f t="shared" si="48"/>
        <v>418</v>
      </c>
      <c r="F563">
        <f t="shared" si="48"/>
        <v>476</v>
      </c>
      <c r="G563">
        <f t="shared" si="48"/>
        <v>459</v>
      </c>
      <c r="H563">
        <f t="shared" si="48"/>
        <v>509</v>
      </c>
      <c r="I563">
        <f t="shared" si="48"/>
        <v>504</v>
      </c>
      <c r="J563">
        <f t="shared" si="48"/>
        <v>0</v>
      </c>
      <c r="K563">
        <f t="shared" si="48"/>
        <v>0</v>
      </c>
      <c r="L563">
        <f t="shared" si="48"/>
        <v>0</v>
      </c>
      <c r="M563">
        <f t="shared" si="48"/>
        <v>419</v>
      </c>
      <c r="N563">
        <f t="shared" si="48"/>
        <v>1</v>
      </c>
      <c r="O563">
        <f t="shared" si="48"/>
        <v>0</v>
      </c>
      <c r="P563">
        <f t="shared" si="48"/>
        <v>0</v>
      </c>
      <c r="Q563">
        <f t="shared" si="48"/>
        <v>373</v>
      </c>
      <c r="R563">
        <f t="shared" si="48"/>
        <v>0</v>
      </c>
      <c r="S563">
        <f t="shared" si="48"/>
        <v>0</v>
      </c>
      <c r="T563">
        <f t="shared" si="48"/>
        <v>0</v>
      </c>
      <c r="U563">
        <f t="shared" si="48"/>
        <v>0</v>
      </c>
      <c r="V563">
        <f t="shared" si="48"/>
        <v>0</v>
      </c>
      <c r="W563">
        <f t="shared" si="48"/>
        <v>0</v>
      </c>
      <c r="X563">
        <f t="shared" si="48"/>
        <v>0</v>
      </c>
      <c r="Y563">
        <f t="shared" si="48"/>
        <v>0</v>
      </c>
      <c r="Z563">
        <f t="shared" si="48"/>
        <v>0</v>
      </c>
      <c r="AA563">
        <f t="shared" si="48"/>
        <v>0</v>
      </c>
      <c r="AB563">
        <f t="shared" si="48"/>
        <v>0</v>
      </c>
      <c r="AC563">
        <f t="shared" si="48"/>
        <v>0</v>
      </c>
      <c r="AD563">
        <f t="shared" si="48"/>
        <v>0</v>
      </c>
      <c r="AE563">
        <f t="shared" si="48"/>
        <v>0</v>
      </c>
      <c r="AF563">
        <f t="shared" si="48"/>
        <v>0</v>
      </c>
      <c r="AG563">
        <f t="shared" si="48"/>
        <v>0</v>
      </c>
    </row>
    <row r="564" spans="1:57" x14ac:dyDescent="0.25">
      <c r="A564" t="s">
        <v>38</v>
      </c>
      <c r="B564">
        <f>COUNTIF(B$54:B$235,"&gt;=9130")</f>
        <v>136</v>
      </c>
      <c r="C564">
        <f t="shared" ref="C564:AG564" si="49">COUNTIF(C$54:C$235,"&gt;=9130")</f>
        <v>116</v>
      </c>
      <c r="D564">
        <f t="shared" si="49"/>
        <v>125</v>
      </c>
      <c r="E564">
        <f t="shared" si="49"/>
        <v>134</v>
      </c>
      <c r="F564">
        <f t="shared" si="49"/>
        <v>170</v>
      </c>
      <c r="G564">
        <f t="shared" si="49"/>
        <v>158</v>
      </c>
      <c r="H564">
        <f t="shared" si="49"/>
        <v>182</v>
      </c>
      <c r="I564">
        <f t="shared" si="49"/>
        <v>182</v>
      </c>
      <c r="J564">
        <f t="shared" si="49"/>
        <v>0</v>
      </c>
      <c r="K564">
        <f t="shared" si="49"/>
        <v>0</v>
      </c>
      <c r="L564">
        <f t="shared" si="49"/>
        <v>0</v>
      </c>
      <c r="M564">
        <f t="shared" si="49"/>
        <v>135</v>
      </c>
      <c r="N564">
        <f t="shared" si="49"/>
        <v>0</v>
      </c>
      <c r="O564">
        <f t="shared" si="49"/>
        <v>0</v>
      </c>
      <c r="P564">
        <f t="shared" si="49"/>
        <v>0</v>
      </c>
      <c r="Q564">
        <f t="shared" si="49"/>
        <v>119</v>
      </c>
      <c r="R564">
        <f t="shared" si="49"/>
        <v>0</v>
      </c>
      <c r="S564">
        <f t="shared" si="49"/>
        <v>0</v>
      </c>
      <c r="T564">
        <f t="shared" si="49"/>
        <v>0</v>
      </c>
      <c r="U564">
        <f t="shared" si="49"/>
        <v>0</v>
      </c>
      <c r="V564">
        <f t="shared" si="49"/>
        <v>0</v>
      </c>
      <c r="W564">
        <f t="shared" si="49"/>
        <v>0</v>
      </c>
      <c r="X564">
        <f t="shared" si="49"/>
        <v>0</v>
      </c>
      <c r="Y564">
        <f t="shared" si="49"/>
        <v>0</v>
      </c>
      <c r="Z564">
        <f t="shared" si="49"/>
        <v>0</v>
      </c>
      <c r="AA564">
        <f t="shared" si="49"/>
        <v>0</v>
      </c>
      <c r="AB564">
        <f t="shared" si="49"/>
        <v>0</v>
      </c>
      <c r="AC564">
        <f t="shared" si="49"/>
        <v>0</v>
      </c>
      <c r="AD564">
        <f t="shared" si="49"/>
        <v>0</v>
      </c>
      <c r="AE564">
        <f t="shared" si="49"/>
        <v>0</v>
      </c>
      <c r="AF564">
        <f t="shared" si="49"/>
        <v>0</v>
      </c>
      <c r="AG564">
        <f t="shared" si="49"/>
        <v>0</v>
      </c>
      <c r="AH564" t="s">
        <v>109</v>
      </c>
    </row>
    <row r="565" spans="1:57" x14ac:dyDescent="0.25">
      <c r="A565" t="s">
        <v>39</v>
      </c>
      <c r="B565">
        <f>COUNTIF(B$419:B$511,"&gt;=9130")</f>
        <v>80</v>
      </c>
      <c r="C565">
        <f t="shared" ref="C565:AG565" si="50">COUNTIF(C$419:C$511,"&gt;=9130")</f>
        <v>51</v>
      </c>
      <c r="D565">
        <f t="shared" si="50"/>
        <v>61</v>
      </c>
      <c r="E565">
        <f t="shared" si="50"/>
        <v>78</v>
      </c>
      <c r="F565">
        <f t="shared" si="50"/>
        <v>72</v>
      </c>
      <c r="G565">
        <f t="shared" si="50"/>
        <v>70</v>
      </c>
      <c r="H565">
        <f t="shared" si="50"/>
        <v>93</v>
      </c>
      <c r="I565">
        <f t="shared" si="50"/>
        <v>88</v>
      </c>
      <c r="J565">
        <f t="shared" si="50"/>
        <v>0</v>
      </c>
      <c r="K565">
        <f t="shared" si="50"/>
        <v>0</v>
      </c>
      <c r="L565">
        <f t="shared" si="50"/>
        <v>0</v>
      </c>
      <c r="M565">
        <f t="shared" si="50"/>
        <v>64</v>
      </c>
      <c r="N565">
        <f t="shared" si="50"/>
        <v>1</v>
      </c>
      <c r="O565">
        <f t="shared" si="50"/>
        <v>0</v>
      </c>
      <c r="P565">
        <f t="shared" si="50"/>
        <v>0</v>
      </c>
      <c r="Q565">
        <f t="shared" si="50"/>
        <v>55</v>
      </c>
      <c r="R565">
        <f t="shared" si="50"/>
        <v>0</v>
      </c>
      <c r="S565">
        <f t="shared" si="50"/>
        <v>0</v>
      </c>
      <c r="T565">
        <f t="shared" si="50"/>
        <v>0</v>
      </c>
      <c r="U565">
        <f t="shared" si="50"/>
        <v>0</v>
      </c>
      <c r="V565">
        <f t="shared" si="50"/>
        <v>0</v>
      </c>
      <c r="W565">
        <f t="shared" si="50"/>
        <v>0</v>
      </c>
      <c r="X565">
        <f t="shared" si="50"/>
        <v>0</v>
      </c>
      <c r="Y565">
        <f t="shared" si="50"/>
        <v>0</v>
      </c>
      <c r="Z565">
        <f t="shared" si="50"/>
        <v>0</v>
      </c>
      <c r="AA565">
        <f t="shared" si="50"/>
        <v>0</v>
      </c>
      <c r="AB565">
        <f t="shared" si="50"/>
        <v>0</v>
      </c>
      <c r="AC565">
        <f t="shared" si="50"/>
        <v>0</v>
      </c>
      <c r="AD565">
        <f t="shared" si="50"/>
        <v>0</v>
      </c>
      <c r="AE565">
        <f t="shared" si="50"/>
        <v>0</v>
      </c>
      <c r="AF565">
        <f t="shared" si="50"/>
        <v>0</v>
      </c>
      <c r="AG565">
        <f t="shared" si="50"/>
        <v>0</v>
      </c>
      <c r="AH565" t="s">
        <v>110</v>
      </c>
    </row>
    <row r="566" spans="1:57" x14ac:dyDescent="0.25">
      <c r="A566" t="s">
        <v>40</v>
      </c>
      <c r="B566">
        <f>COUNTIF(B$3:B$53,"&gt;=9130")</f>
        <v>51</v>
      </c>
      <c r="C566">
        <f t="shared" ref="C566:AG566" si="51">COUNTIF(C$3:C$53,"&gt;=9130")</f>
        <v>51</v>
      </c>
      <c r="D566">
        <f t="shared" si="51"/>
        <v>51</v>
      </c>
      <c r="E566">
        <f t="shared" si="51"/>
        <v>51</v>
      </c>
      <c r="F566">
        <f t="shared" si="51"/>
        <v>51</v>
      </c>
      <c r="G566">
        <f t="shared" si="51"/>
        <v>51</v>
      </c>
      <c r="H566">
        <f t="shared" si="51"/>
        <v>51</v>
      </c>
      <c r="I566">
        <f t="shared" si="51"/>
        <v>51</v>
      </c>
      <c r="J566">
        <f t="shared" si="51"/>
        <v>0</v>
      </c>
      <c r="K566">
        <f t="shared" si="51"/>
        <v>0</v>
      </c>
      <c r="L566">
        <f t="shared" si="51"/>
        <v>0</v>
      </c>
      <c r="M566">
        <f t="shared" si="51"/>
        <v>51</v>
      </c>
      <c r="N566">
        <f t="shared" si="51"/>
        <v>0</v>
      </c>
      <c r="O566">
        <f t="shared" si="51"/>
        <v>0</v>
      </c>
      <c r="P566">
        <f t="shared" si="51"/>
        <v>0</v>
      </c>
      <c r="Q566">
        <f t="shared" si="51"/>
        <v>51</v>
      </c>
      <c r="R566">
        <f t="shared" si="51"/>
        <v>0</v>
      </c>
      <c r="S566">
        <f t="shared" si="51"/>
        <v>0</v>
      </c>
      <c r="T566">
        <f t="shared" si="51"/>
        <v>0</v>
      </c>
      <c r="U566">
        <f t="shared" si="51"/>
        <v>0</v>
      </c>
      <c r="V566">
        <f t="shared" si="51"/>
        <v>0</v>
      </c>
      <c r="W566">
        <f t="shared" si="51"/>
        <v>0</v>
      </c>
      <c r="X566">
        <f t="shared" si="51"/>
        <v>0</v>
      </c>
      <c r="Y566">
        <f t="shared" si="51"/>
        <v>0</v>
      </c>
      <c r="Z566">
        <f t="shared" si="51"/>
        <v>0</v>
      </c>
      <c r="AA566">
        <f t="shared" si="51"/>
        <v>0</v>
      </c>
      <c r="AB566">
        <f t="shared" si="51"/>
        <v>0</v>
      </c>
      <c r="AC566">
        <f t="shared" si="51"/>
        <v>0</v>
      </c>
      <c r="AD566">
        <f t="shared" si="51"/>
        <v>0</v>
      </c>
      <c r="AE566">
        <f t="shared" si="51"/>
        <v>0</v>
      </c>
      <c r="AF566">
        <f t="shared" si="51"/>
        <v>0</v>
      </c>
      <c r="AG566">
        <f t="shared" si="51"/>
        <v>0</v>
      </c>
      <c r="AH566" t="s">
        <v>111</v>
      </c>
    </row>
    <row r="567" spans="1:57" x14ac:dyDescent="0.25">
      <c r="A567" t="s">
        <v>41</v>
      </c>
      <c r="B567">
        <f>COUNTIF(B$236:B$418,"&gt;=9130")</f>
        <v>149</v>
      </c>
      <c r="C567">
        <f t="shared" ref="C567:AG567" si="52">COUNTIF(C$236:C$418,"&gt;=9130")</f>
        <v>146</v>
      </c>
      <c r="D567">
        <f t="shared" si="52"/>
        <v>143</v>
      </c>
      <c r="E567">
        <f t="shared" si="52"/>
        <v>155</v>
      </c>
      <c r="F567">
        <f t="shared" si="52"/>
        <v>183</v>
      </c>
      <c r="G567">
        <f t="shared" si="52"/>
        <v>180</v>
      </c>
      <c r="H567">
        <f t="shared" si="52"/>
        <v>183</v>
      </c>
      <c r="I567">
        <f t="shared" si="52"/>
        <v>183</v>
      </c>
      <c r="J567">
        <f t="shared" si="52"/>
        <v>0</v>
      </c>
      <c r="K567">
        <f t="shared" si="52"/>
        <v>0</v>
      </c>
      <c r="L567">
        <f t="shared" si="52"/>
        <v>0</v>
      </c>
      <c r="M567">
        <f t="shared" si="52"/>
        <v>169</v>
      </c>
      <c r="N567">
        <f t="shared" si="52"/>
        <v>0</v>
      </c>
      <c r="O567">
        <f t="shared" si="52"/>
        <v>0</v>
      </c>
      <c r="P567">
        <f t="shared" si="52"/>
        <v>0</v>
      </c>
      <c r="Q567">
        <f t="shared" si="52"/>
        <v>148</v>
      </c>
      <c r="R567">
        <f t="shared" si="52"/>
        <v>0</v>
      </c>
      <c r="S567">
        <f t="shared" si="52"/>
        <v>0</v>
      </c>
      <c r="T567">
        <f t="shared" si="52"/>
        <v>0</v>
      </c>
      <c r="U567">
        <f t="shared" si="52"/>
        <v>0</v>
      </c>
      <c r="V567">
        <f t="shared" si="52"/>
        <v>0</v>
      </c>
      <c r="W567">
        <f t="shared" si="52"/>
        <v>0</v>
      </c>
      <c r="X567">
        <f t="shared" si="52"/>
        <v>0</v>
      </c>
      <c r="Y567">
        <f t="shared" si="52"/>
        <v>0</v>
      </c>
      <c r="Z567">
        <f t="shared" si="52"/>
        <v>0</v>
      </c>
      <c r="AA567">
        <f t="shared" si="52"/>
        <v>0</v>
      </c>
      <c r="AB567">
        <f t="shared" si="52"/>
        <v>0</v>
      </c>
      <c r="AC567">
        <f t="shared" si="52"/>
        <v>0</v>
      </c>
      <c r="AD567">
        <f t="shared" si="52"/>
        <v>0</v>
      </c>
      <c r="AE567">
        <f t="shared" si="52"/>
        <v>0</v>
      </c>
      <c r="AF567">
        <f t="shared" si="52"/>
        <v>0</v>
      </c>
      <c r="AG567">
        <f t="shared" si="52"/>
        <v>0</v>
      </c>
      <c r="AH567" t="s">
        <v>112</v>
      </c>
    </row>
    <row r="568" spans="1:57" x14ac:dyDescent="0.25">
      <c r="A568" t="s">
        <v>42</v>
      </c>
      <c r="B568">
        <f>SUM(B564,B565)</f>
        <v>216</v>
      </c>
      <c r="C568">
        <f t="shared" ref="C568:AG568" si="53">SUM(C564,C565)</f>
        <v>167</v>
      </c>
      <c r="D568">
        <f t="shared" si="53"/>
        <v>186</v>
      </c>
      <c r="E568">
        <f t="shared" si="53"/>
        <v>212</v>
      </c>
      <c r="F568">
        <f t="shared" si="53"/>
        <v>242</v>
      </c>
      <c r="G568">
        <f t="shared" si="53"/>
        <v>228</v>
      </c>
      <c r="H568">
        <f t="shared" si="53"/>
        <v>275</v>
      </c>
      <c r="I568">
        <f t="shared" si="53"/>
        <v>270</v>
      </c>
      <c r="J568">
        <f t="shared" si="53"/>
        <v>0</v>
      </c>
      <c r="K568">
        <f t="shared" si="53"/>
        <v>0</v>
      </c>
      <c r="L568">
        <f t="shared" si="53"/>
        <v>0</v>
      </c>
      <c r="M568">
        <f t="shared" si="53"/>
        <v>199</v>
      </c>
      <c r="N568">
        <f t="shared" si="53"/>
        <v>1</v>
      </c>
      <c r="O568">
        <f t="shared" si="53"/>
        <v>0</v>
      </c>
      <c r="P568">
        <f t="shared" si="53"/>
        <v>0</v>
      </c>
      <c r="Q568">
        <f t="shared" si="53"/>
        <v>174</v>
      </c>
      <c r="R568">
        <f t="shared" si="53"/>
        <v>0</v>
      </c>
      <c r="S568">
        <f t="shared" si="53"/>
        <v>0</v>
      </c>
      <c r="T568">
        <f t="shared" si="53"/>
        <v>0</v>
      </c>
      <c r="U568">
        <f t="shared" si="53"/>
        <v>0</v>
      </c>
      <c r="V568">
        <f t="shared" si="53"/>
        <v>0</v>
      </c>
      <c r="W568">
        <f t="shared" si="53"/>
        <v>0</v>
      </c>
      <c r="X568">
        <f t="shared" si="53"/>
        <v>0</v>
      </c>
      <c r="Y568">
        <f t="shared" si="53"/>
        <v>0</v>
      </c>
      <c r="Z568">
        <f t="shared" si="53"/>
        <v>0</v>
      </c>
      <c r="AA568">
        <f t="shared" si="53"/>
        <v>0</v>
      </c>
      <c r="AB568">
        <f t="shared" si="53"/>
        <v>0</v>
      </c>
      <c r="AC568">
        <f t="shared" si="53"/>
        <v>0</v>
      </c>
      <c r="AD568">
        <f t="shared" si="53"/>
        <v>0</v>
      </c>
      <c r="AE568">
        <f t="shared" si="53"/>
        <v>0</v>
      </c>
      <c r="AF568">
        <f t="shared" si="53"/>
        <v>0</v>
      </c>
      <c r="AG568">
        <f t="shared" si="53"/>
        <v>0</v>
      </c>
    </row>
    <row r="569" spans="1:57" x14ac:dyDescent="0.25">
      <c r="A569" t="s">
        <v>43</v>
      </c>
      <c r="B569">
        <f>SUM(B566,B567)</f>
        <v>200</v>
      </c>
      <c r="C569">
        <f t="shared" ref="C569:AG569" si="54">SUM(C566,C567)</f>
        <v>197</v>
      </c>
      <c r="D569">
        <f t="shared" si="54"/>
        <v>194</v>
      </c>
      <c r="E569">
        <f t="shared" si="54"/>
        <v>206</v>
      </c>
      <c r="F569">
        <f t="shared" si="54"/>
        <v>234</v>
      </c>
      <c r="G569">
        <f t="shared" si="54"/>
        <v>231</v>
      </c>
      <c r="H569">
        <f t="shared" si="54"/>
        <v>234</v>
      </c>
      <c r="I569">
        <f t="shared" si="54"/>
        <v>234</v>
      </c>
      <c r="J569">
        <f t="shared" si="54"/>
        <v>0</v>
      </c>
      <c r="K569">
        <f t="shared" si="54"/>
        <v>0</v>
      </c>
      <c r="L569">
        <f t="shared" si="54"/>
        <v>0</v>
      </c>
      <c r="M569">
        <f t="shared" si="54"/>
        <v>220</v>
      </c>
      <c r="N569">
        <f t="shared" si="54"/>
        <v>0</v>
      </c>
      <c r="O569">
        <f t="shared" si="54"/>
        <v>0</v>
      </c>
      <c r="P569">
        <f t="shared" si="54"/>
        <v>0</v>
      </c>
      <c r="Q569">
        <f t="shared" si="54"/>
        <v>199</v>
      </c>
      <c r="R569">
        <f t="shared" si="54"/>
        <v>0</v>
      </c>
      <c r="S569">
        <f t="shared" si="54"/>
        <v>0</v>
      </c>
      <c r="T569">
        <f t="shared" si="54"/>
        <v>0</v>
      </c>
      <c r="U569">
        <f t="shared" si="54"/>
        <v>0</v>
      </c>
      <c r="V569">
        <f t="shared" si="54"/>
        <v>0</v>
      </c>
      <c r="W569">
        <f t="shared" si="54"/>
        <v>0</v>
      </c>
      <c r="X569">
        <f t="shared" si="54"/>
        <v>0</v>
      </c>
      <c r="Y569">
        <f t="shared" si="54"/>
        <v>0</v>
      </c>
      <c r="Z569">
        <f t="shared" si="54"/>
        <v>0</v>
      </c>
      <c r="AA569">
        <f t="shared" si="54"/>
        <v>0</v>
      </c>
      <c r="AB569">
        <f t="shared" si="54"/>
        <v>0</v>
      </c>
      <c r="AC569">
        <f t="shared" si="54"/>
        <v>0</v>
      </c>
      <c r="AD569">
        <f t="shared" si="54"/>
        <v>0</v>
      </c>
      <c r="AE569">
        <f t="shared" si="54"/>
        <v>0</v>
      </c>
      <c r="AF569">
        <f t="shared" si="54"/>
        <v>0</v>
      </c>
      <c r="AG569">
        <f t="shared" si="54"/>
        <v>0</v>
      </c>
    </row>
    <row r="572" spans="1:57" x14ac:dyDescent="0.25">
      <c r="D572" t="s">
        <v>71</v>
      </c>
      <c r="F572" t="s">
        <v>72</v>
      </c>
      <c r="S572" t="s">
        <v>73</v>
      </c>
      <c r="AA572" t="s">
        <v>73</v>
      </c>
      <c r="AE572" t="s">
        <v>73</v>
      </c>
      <c r="AI572" t="s">
        <v>73</v>
      </c>
      <c r="AQ572" t="s">
        <v>73</v>
      </c>
      <c r="AY572" t="s">
        <v>73</v>
      </c>
    </row>
    <row r="573" spans="1:57" x14ac:dyDescent="0.25">
      <c r="F573" t="s">
        <v>47</v>
      </c>
      <c r="S573" t="s">
        <v>48</v>
      </c>
      <c r="AA573" t="s">
        <v>49</v>
      </c>
      <c r="AE573" t="s">
        <v>50</v>
      </c>
      <c r="AI573" t="s">
        <v>48</v>
      </c>
      <c r="AK573" t="s">
        <v>51</v>
      </c>
      <c r="AL573" t="s">
        <v>33</v>
      </c>
      <c r="AM573" t="s">
        <v>34</v>
      </c>
      <c r="AN573" t="s">
        <v>35</v>
      </c>
      <c r="AO573" t="s">
        <v>36</v>
      </c>
      <c r="AQ573" t="s">
        <v>49</v>
      </c>
      <c r="AS573" t="s">
        <v>51</v>
      </c>
      <c r="AT573" t="s">
        <v>33</v>
      </c>
      <c r="AU573" t="s">
        <v>34</v>
      </c>
      <c r="AV573" t="s">
        <v>35</v>
      </c>
      <c r="AW573" t="s">
        <v>36</v>
      </c>
      <c r="AY573" t="s">
        <v>50</v>
      </c>
      <c r="BA573" t="s">
        <v>51</v>
      </c>
      <c r="BB573" t="s">
        <v>33</v>
      </c>
      <c r="BC573" t="s">
        <v>34</v>
      </c>
      <c r="BD573" t="s">
        <v>35</v>
      </c>
      <c r="BE573" t="s">
        <v>36</v>
      </c>
    </row>
    <row r="574" spans="1:57" x14ac:dyDescent="0.25">
      <c r="F574" t="s">
        <v>52</v>
      </c>
      <c r="M574" t="s">
        <v>53</v>
      </c>
      <c r="S574" t="s">
        <v>54</v>
      </c>
      <c r="U574">
        <f>COUNTIF(B52:AG52,"&lt;&gt;")</f>
        <v>32</v>
      </c>
      <c r="AA574" t="s">
        <v>54</v>
      </c>
      <c r="AC574">
        <f>COUNTIF(B52:AG52,"&lt;&gt;")</f>
        <v>32</v>
      </c>
      <c r="AE574" t="s">
        <v>54</v>
      </c>
      <c r="AG574">
        <f>COUNTIF(B52:AG52,"&lt;&gt;")</f>
        <v>32</v>
      </c>
      <c r="AI574" t="s">
        <v>54</v>
      </c>
      <c r="AK574">
        <f>COUNTIF($B$2:$AG$2,"&lt;&gt;")</f>
        <v>32</v>
      </c>
      <c r="AL574">
        <f>COUNTIF($B$2:$I$2,"&lt;&gt;")</f>
        <v>8</v>
      </c>
      <c r="AM574">
        <f>COUNTIF($J$2:$R$2,"&lt;&gt;")</f>
        <v>9</v>
      </c>
      <c r="AN574">
        <f>COUNTIF($S$2:$X$2,"&lt;&gt;")</f>
        <v>6</v>
      </c>
      <c r="AO574">
        <f>COUNTIF($Y$2:$AG$2,"&lt;&gt;")</f>
        <v>9</v>
      </c>
      <c r="AQ574" t="s">
        <v>54</v>
      </c>
      <c r="AS574">
        <f>COUNTIF($B$2:$AG$2,"&lt;&gt;")</f>
        <v>32</v>
      </c>
      <c r="AT574">
        <f>COUNTIF($B$2:$I$2,"&lt;&gt;")</f>
        <v>8</v>
      </c>
      <c r="AU574">
        <f>COUNTIF($J$2:$R$2,"&lt;&gt;")</f>
        <v>9</v>
      </c>
      <c r="AV574">
        <f>COUNTIF($S$2:$X$2,"&lt;&gt;")</f>
        <v>6</v>
      </c>
      <c r="AW574">
        <f>COUNTIF($Y$2:$AG$2,"&lt;&gt;")</f>
        <v>9</v>
      </c>
      <c r="AY574" t="s">
        <v>54</v>
      </c>
      <c r="BA574">
        <f>COUNTIF($B$2:$AG$2,"&lt;&gt;")</f>
        <v>32</v>
      </c>
      <c r="BB574">
        <f>COUNTIF($B$2:$I$2,"&lt;&gt;")</f>
        <v>8</v>
      </c>
      <c r="BC574">
        <f>COUNTIF($J$2:$R$2,"&lt;&gt;")</f>
        <v>9</v>
      </c>
      <c r="BD574">
        <f>COUNTIF($S$2:$X$2,"&lt;&gt;")</f>
        <v>6</v>
      </c>
      <c r="BE574">
        <f>COUNTIF($Y$2:$AG$2,"&lt;&gt;")</f>
        <v>9</v>
      </c>
    </row>
    <row r="575" spans="1:57" x14ac:dyDescent="0.25">
      <c r="F575" t="s">
        <v>55</v>
      </c>
      <c r="H575" t="s">
        <v>113</v>
      </c>
      <c r="J575">
        <f>COUNTIF($B$54:$B$235,"&lt;&gt;")</f>
        <v>182</v>
      </c>
      <c r="M575" t="s">
        <v>56</v>
      </c>
      <c r="S575" t="s">
        <v>57</v>
      </c>
      <c r="U575">
        <f>COUNTIF($A$3:$A$511,"&lt;&gt;")</f>
        <v>509</v>
      </c>
      <c r="AA575" t="s">
        <v>57</v>
      </c>
      <c r="AC575">
        <f>SUM($J$524:$J$525)</f>
        <v>275</v>
      </c>
      <c r="AE575" t="s">
        <v>57</v>
      </c>
      <c r="AG575">
        <f>SUM($Q$525:$Q$526)</f>
        <v>234</v>
      </c>
      <c r="AI575" t="s">
        <v>57</v>
      </c>
      <c r="AK575">
        <f>COUNTIF($A$3:$A$511,"&lt;&gt;")</f>
        <v>509</v>
      </c>
      <c r="AL575">
        <f t="shared" ref="AL575:AO575" si="55">COUNTIF($A$3:$A$511,"&lt;&gt;")</f>
        <v>509</v>
      </c>
      <c r="AM575">
        <f t="shared" si="55"/>
        <v>509</v>
      </c>
      <c r="AN575">
        <f t="shared" si="55"/>
        <v>509</v>
      </c>
      <c r="AO575">
        <f t="shared" si="55"/>
        <v>509</v>
      </c>
      <c r="AQ575" t="s">
        <v>57</v>
      </c>
      <c r="AS575">
        <f>SUM($J$524:$J$525)</f>
        <v>275</v>
      </c>
      <c r="AT575">
        <f t="shared" ref="AT575:AW575" si="56">SUM($J$524:$J$525)</f>
        <v>275</v>
      </c>
      <c r="AU575">
        <f t="shared" si="56"/>
        <v>275</v>
      </c>
      <c r="AV575">
        <f t="shared" si="56"/>
        <v>275</v>
      </c>
      <c r="AW575">
        <f t="shared" si="56"/>
        <v>275</v>
      </c>
      <c r="AY575" t="s">
        <v>57</v>
      </c>
      <c r="BA575">
        <f>SUM($Q$525:$Q$526)</f>
        <v>234</v>
      </c>
      <c r="BB575">
        <f t="shared" ref="BB575:BE575" si="57">SUM($Q$525:$Q$526)</f>
        <v>234</v>
      </c>
      <c r="BC575">
        <f t="shared" si="57"/>
        <v>234</v>
      </c>
      <c r="BD575">
        <f t="shared" si="57"/>
        <v>234</v>
      </c>
      <c r="BE575">
        <f t="shared" si="57"/>
        <v>234</v>
      </c>
    </row>
    <row r="576" spans="1:57" x14ac:dyDescent="0.25">
      <c r="F576" t="s">
        <v>58</v>
      </c>
      <c r="H576" t="s">
        <v>114</v>
      </c>
      <c r="J576">
        <f>COUNTIF($B$419:$B$511,"&lt;&gt;")</f>
        <v>93</v>
      </c>
      <c r="M576" t="s">
        <v>74</v>
      </c>
      <c r="O576" t="s">
        <v>115</v>
      </c>
      <c r="Q576">
        <f>COUNTIF($B$3:$B$53,"&lt;&gt;")</f>
        <v>51</v>
      </c>
      <c r="S576" t="s">
        <v>60</v>
      </c>
      <c r="U576">
        <f>U575*U574</f>
        <v>16288</v>
      </c>
      <c r="V576" t="s">
        <v>61</v>
      </c>
      <c r="AA576" t="s">
        <v>60</v>
      </c>
      <c r="AC576">
        <f>AC575*AC574</f>
        <v>8800</v>
      </c>
      <c r="AE576" t="s">
        <v>60</v>
      </c>
      <c r="AG576">
        <f>AG574*AG575</f>
        <v>7488</v>
      </c>
      <c r="AI576" t="s">
        <v>60</v>
      </c>
      <c r="AK576">
        <f>AK575*AK574</f>
        <v>16288</v>
      </c>
      <c r="AL576">
        <f t="shared" ref="AL576:AO576" si="58">AL575*AL574</f>
        <v>4072</v>
      </c>
      <c r="AM576">
        <f t="shared" si="58"/>
        <v>4581</v>
      </c>
      <c r="AN576">
        <f t="shared" si="58"/>
        <v>3054</v>
      </c>
      <c r="AO576">
        <f t="shared" si="58"/>
        <v>4581</v>
      </c>
      <c r="AQ576" t="s">
        <v>60</v>
      </c>
      <c r="AS576">
        <f>AS575*AS574</f>
        <v>8800</v>
      </c>
      <c r="AT576">
        <f t="shared" ref="AT576:AW576" si="59">AT575*AT574</f>
        <v>2200</v>
      </c>
      <c r="AU576">
        <f t="shared" si="59"/>
        <v>2475</v>
      </c>
      <c r="AV576">
        <f t="shared" si="59"/>
        <v>1650</v>
      </c>
      <c r="AW576">
        <f t="shared" si="59"/>
        <v>2475</v>
      </c>
      <c r="AY576" t="s">
        <v>60</v>
      </c>
      <c r="BA576">
        <f>BA575*BA574</f>
        <v>7488</v>
      </c>
      <c r="BB576">
        <f t="shared" ref="BB576:BE576" si="60">BB575*BB574</f>
        <v>1872</v>
      </c>
      <c r="BC576">
        <f t="shared" si="60"/>
        <v>2106</v>
      </c>
      <c r="BD576">
        <f t="shared" si="60"/>
        <v>1404</v>
      </c>
      <c r="BE576">
        <f t="shared" si="60"/>
        <v>2106</v>
      </c>
    </row>
    <row r="577" spans="13:57" x14ac:dyDescent="0.25">
      <c r="M577" t="s">
        <v>59</v>
      </c>
      <c r="O577" t="s">
        <v>116</v>
      </c>
      <c r="Q577">
        <f>COUNTIF($B$236:$B$418,"&lt;&gt;")</f>
        <v>183</v>
      </c>
      <c r="S577" t="s">
        <v>77</v>
      </c>
      <c r="U577">
        <f>SUM(B563:AG563)</f>
        <v>4319</v>
      </c>
      <c r="V577" t="s">
        <v>62</v>
      </c>
      <c r="AA577" t="s">
        <v>77</v>
      </c>
      <c r="AC577">
        <f>SUM(B568:AG568)</f>
        <v>2170</v>
      </c>
      <c r="AE577" t="s">
        <v>77</v>
      </c>
      <c r="AG577">
        <f>SUM(B569:AG569)</f>
        <v>2149</v>
      </c>
      <c r="AI577" t="s">
        <v>77</v>
      </c>
      <c r="AK577">
        <f>SUM(B563:AG563)</f>
        <v>4319</v>
      </c>
      <c r="AL577">
        <f>SUM(B563:I563)</f>
        <v>3526</v>
      </c>
      <c r="AM577">
        <f>SUM(J563:R563)</f>
        <v>793</v>
      </c>
      <c r="AN577">
        <f>SUM(S563:X563)</f>
        <v>0</v>
      </c>
      <c r="AO577">
        <f>SUM(Y563:AG563)</f>
        <v>0</v>
      </c>
      <c r="AQ577" t="s">
        <v>77</v>
      </c>
      <c r="AS577">
        <f>SUM(B568:AG568)</f>
        <v>2170</v>
      </c>
      <c r="AT577">
        <f>SUM(B568:I568)</f>
        <v>1796</v>
      </c>
      <c r="AU577">
        <f>SUM(J568:R568)</f>
        <v>374</v>
      </c>
      <c r="AV577">
        <f>SUM(S568:X568)</f>
        <v>0</v>
      </c>
      <c r="AW577">
        <f>SUM(Y568:AG568)</f>
        <v>0</v>
      </c>
      <c r="AY577" t="s">
        <v>77</v>
      </c>
      <c r="BA577">
        <f>SUM($B569:$AG569)</f>
        <v>2149</v>
      </c>
      <c r="BB577">
        <f>SUM(B569:I569)</f>
        <v>1730</v>
      </c>
      <c r="BC577">
        <f>SUM(J569:R569)</f>
        <v>419</v>
      </c>
      <c r="BD577">
        <f>SUM(S569:X569)</f>
        <v>0</v>
      </c>
      <c r="BE577">
        <f>SUM(Y569:AG569)</f>
        <v>0</v>
      </c>
    </row>
    <row r="578" spans="13:57" x14ac:dyDescent="0.25">
      <c r="S578" t="s">
        <v>63</v>
      </c>
      <c r="U578">
        <f>$U577/$U576</f>
        <v>0.26516453831041259</v>
      </c>
      <c r="AA578" t="s">
        <v>64</v>
      </c>
      <c r="AC578">
        <f>AC577/AC576</f>
        <v>0.24659090909090908</v>
      </c>
      <c r="AE578" t="s">
        <v>65</v>
      </c>
      <c r="AG578">
        <f>AG577/AG576</f>
        <v>0.28699252136752135</v>
      </c>
      <c r="AI578" t="s">
        <v>63</v>
      </c>
      <c r="AK578">
        <f>AK577/AK576</f>
        <v>0.26516453831041259</v>
      </c>
      <c r="AL578">
        <f t="shared" ref="AL578:AO578" si="61">AL577/AL576</f>
        <v>0.86591355599214148</v>
      </c>
      <c r="AM578">
        <f t="shared" si="61"/>
        <v>0.17310630866623009</v>
      </c>
      <c r="AN578">
        <f t="shared" si="61"/>
        <v>0</v>
      </c>
      <c r="AO578">
        <f t="shared" si="61"/>
        <v>0</v>
      </c>
      <c r="AQ578" t="s">
        <v>64</v>
      </c>
      <c r="AS578">
        <f>AS577/AS576</f>
        <v>0.24659090909090908</v>
      </c>
      <c r="AT578">
        <f t="shared" ref="AT578:AW578" si="62">AT577/AT576</f>
        <v>0.8163636363636364</v>
      </c>
      <c r="AU578">
        <f t="shared" si="62"/>
        <v>0.15111111111111111</v>
      </c>
      <c r="AV578">
        <f t="shared" si="62"/>
        <v>0</v>
      </c>
      <c r="AW578">
        <f t="shared" si="62"/>
        <v>0</v>
      </c>
      <c r="AY578" t="s">
        <v>65</v>
      </c>
      <c r="BA578">
        <f>BA577/BA576</f>
        <v>0.28699252136752135</v>
      </c>
      <c r="BB578">
        <f t="shared" ref="BB578:BE578" si="63">BB577/BB576</f>
        <v>0.92414529914529919</v>
      </c>
      <c r="BC578">
        <f t="shared" si="63"/>
        <v>0.19895536562203228</v>
      </c>
      <c r="BD578">
        <f t="shared" si="63"/>
        <v>0</v>
      </c>
      <c r="BE578">
        <f t="shared" si="63"/>
        <v>0</v>
      </c>
    </row>
  </sheetData>
  <mergeCells count="4">
    <mergeCell ref="B1:I1"/>
    <mergeCell ref="J1:R1"/>
    <mergeCell ref="S1:X1"/>
    <mergeCell ref="Y1:AG1"/>
  </mergeCells>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OVERALL</vt:lpstr>
      <vt:lpstr>Run 15</vt:lpstr>
      <vt:lpstr>Run 16</vt:lpstr>
      <vt:lpstr>Run 17</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COSMOCRATOR</dc:creator>
  <cp:lastModifiedBy>Isaac Sanchez Terrazas</cp:lastModifiedBy>
  <dcterms:created xsi:type="dcterms:W3CDTF">2026-10-10T20:41:57Z</dcterms:created>
  <dcterms:modified xsi:type="dcterms:W3CDTF">2026-10-22T21:04:32Z</dcterms:modified>
</cp:coreProperties>
</file>