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9B82781C-CD01-4718-91E6-B5AD19A66308}" xr6:coauthVersionLast="47" xr6:coauthVersionMax="47" xr10:uidLastSave="{00000000-0000-0000-0000-000000000000}"/>
  <bookViews>
    <workbookView xWindow="38280" yWindow="-120" windowWidth="38640" windowHeight="21120" firstSheet="1" activeTab="2" xr2:uid="{00000000-000D-0000-FFFF-FFFF00000000}"/>
  </bookViews>
  <sheets>
    <sheet name="Overall Acres" sheetId="7" state="hidden" r:id="rId1"/>
    <sheet name="Overall $" sheetId="8" r:id="rId2"/>
    <sheet name="Overall Restoration (Acres)" sheetId="6" r:id="rId3"/>
    <sheet name="Restoration ($) Combined" sheetId="5" r:id="rId4"/>
    <sheet name="100% Restoration ($)" sheetId="1" r:id="rId5"/>
    <sheet name="50% Restoration ($)" sheetId="2" r:id="rId6"/>
    <sheet name="25% Restoration ($)" sheetId="3" r:id="rId7"/>
    <sheet name="References" sheetId="4" r:id="rId8"/>
  </sheets>
  <definedNames>
    <definedName name="_xlnm._FilterDatabase" localSheetId="3" hidden="1">'Restoration ($) Combined'!$B$95:$B$130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8" l="1"/>
  <c r="P19" i="6"/>
  <c r="V18" i="6"/>
  <c r="U18" i="6"/>
  <c r="T18" i="6"/>
  <c r="S18" i="6"/>
  <c r="R18" i="6"/>
  <c r="Q18" i="6"/>
  <c r="P18" i="6"/>
  <c r="V17" i="6"/>
  <c r="U17" i="6"/>
  <c r="T17" i="6"/>
  <c r="S17" i="6"/>
  <c r="R17" i="6"/>
  <c r="Q17" i="6"/>
  <c r="P17" i="6"/>
  <c r="V16" i="6"/>
  <c r="U16" i="6"/>
  <c r="T16" i="6"/>
  <c r="S16" i="6"/>
  <c r="R16" i="6"/>
  <c r="Q16" i="6"/>
  <c r="P16" i="6"/>
  <c r="V15" i="6"/>
  <c r="U15" i="6"/>
  <c r="T15" i="6"/>
  <c r="S15" i="6"/>
  <c r="R15" i="6"/>
  <c r="Q15" i="6"/>
  <c r="P15" i="6"/>
  <c r="O18" i="6"/>
  <c r="O17" i="6"/>
  <c r="O16" i="6"/>
  <c r="O15" i="6"/>
  <c r="O11" i="8"/>
  <c r="P11" i="8"/>
  <c r="Q11" i="8"/>
  <c r="R11" i="8"/>
  <c r="P12" i="8"/>
  <c r="Q12" i="8"/>
  <c r="R12" i="8"/>
  <c r="O13" i="8"/>
  <c r="P13" i="8"/>
  <c r="Q13" i="8"/>
  <c r="R13" i="8"/>
  <c r="O10" i="8"/>
  <c r="P10" i="8"/>
  <c r="Q10" i="8"/>
  <c r="R10" i="8"/>
  <c r="O9" i="8"/>
  <c r="P9" i="8"/>
  <c r="Q9" i="8"/>
  <c r="R9" i="8"/>
  <c r="O8" i="8"/>
  <c r="P8" i="8"/>
  <c r="Q8" i="8"/>
  <c r="R8" i="8"/>
  <c r="O7" i="8"/>
  <c r="P7" i="8"/>
  <c r="Q7" i="8"/>
  <c r="R7" i="8"/>
  <c r="E54" i="8"/>
  <c r="L19" i="6"/>
  <c r="E46" i="8"/>
  <c r="F14" i="8" s="1"/>
  <c r="G38" i="8"/>
  <c r="D62" i="8"/>
  <c r="F62" i="8"/>
  <c r="D54" i="8"/>
  <c r="E21" i="8" s="1"/>
  <c r="F54" i="8"/>
  <c r="D46" i="8"/>
  <c r="F46" i="8"/>
  <c r="E7" i="8"/>
  <c r="E14" i="8"/>
  <c r="F70" i="8"/>
  <c r="J70" i="8"/>
  <c r="R70" i="8"/>
  <c r="F71" i="8"/>
  <c r="J71" i="8"/>
  <c r="R71" i="8"/>
  <c r="F72" i="8"/>
  <c r="J72" i="8"/>
  <c r="R72" i="8"/>
  <c r="F73" i="8"/>
  <c r="J73" i="8"/>
  <c r="R73" i="8"/>
  <c r="F74" i="8"/>
  <c r="J74" i="8"/>
  <c r="R74" i="8"/>
  <c r="F75" i="8"/>
  <c r="J75" i="8"/>
  <c r="R75" i="8"/>
  <c r="F76" i="8"/>
  <c r="J76" i="8"/>
  <c r="R76" i="8"/>
  <c r="F77" i="8"/>
  <c r="J77" i="8"/>
  <c r="R77" i="8"/>
  <c r="F78" i="8"/>
  <c r="J78" i="8"/>
  <c r="R78" i="8"/>
  <c r="F79" i="8"/>
  <c r="J79" i="8"/>
  <c r="R79" i="8"/>
  <c r="F80" i="8"/>
  <c r="J80" i="8"/>
  <c r="R80" i="8"/>
  <c r="F85" i="8"/>
  <c r="J85" i="8"/>
  <c r="R85" i="8"/>
  <c r="F86" i="8"/>
  <c r="J86" i="8"/>
  <c r="R86" i="8"/>
  <c r="F87" i="8"/>
  <c r="J87" i="8"/>
  <c r="R87" i="8"/>
  <c r="F88" i="8"/>
  <c r="J88" i="8"/>
  <c r="R88" i="8"/>
  <c r="F89" i="8"/>
  <c r="J89" i="8"/>
  <c r="R89" i="8"/>
  <c r="F90" i="8"/>
  <c r="J90" i="8"/>
  <c r="R90" i="8"/>
  <c r="F91" i="8"/>
  <c r="J91" i="8"/>
  <c r="R91" i="8"/>
  <c r="F92" i="8"/>
  <c r="J92" i="8"/>
  <c r="R92" i="8"/>
  <c r="F93" i="8"/>
  <c r="J93" i="8"/>
  <c r="R93" i="8"/>
  <c r="F94" i="8"/>
  <c r="J94" i="8"/>
  <c r="R94" i="8"/>
  <c r="F95" i="8"/>
  <c r="J95" i="8"/>
  <c r="R95" i="8"/>
  <c r="F100" i="8"/>
  <c r="J100" i="8"/>
  <c r="R100" i="8"/>
  <c r="F101" i="8"/>
  <c r="J101" i="8"/>
  <c r="R101" i="8"/>
  <c r="F102" i="8"/>
  <c r="J102" i="8"/>
  <c r="R102" i="8"/>
  <c r="F103" i="8"/>
  <c r="J103" i="8"/>
  <c r="R103" i="8"/>
  <c r="F104" i="8"/>
  <c r="J104" i="8"/>
  <c r="R104" i="8"/>
  <c r="F105" i="8"/>
  <c r="J105" i="8"/>
  <c r="R105" i="8"/>
  <c r="F106" i="8"/>
  <c r="J106" i="8"/>
  <c r="R106" i="8"/>
  <c r="F107" i="8"/>
  <c r="J107" i="8"/>
  <c r="R107" i="8"/>
  <c r="F108" i="8"/>
  <c r="J108" i="8"/>
  <c r="R108" i="8"/>
  <c r="F109" i="8"/>
  <c r="J109" i="8"/>
  <c r="R109" i="8"/>
  <c r="F110" i="8"/>
  <c r="J110" i="8"/>
  <c r="R110" i="8"/>
  <c r="F115" i="8"/>
  <c r="J115" i="8"/>
  <c r="R115" i="8"/>
  <c r="F116" i="8"/>
  <c r="J116" i="8"/>
  <c r="R116" i="8"/>
  <c r="F117" i="8"/>
  <c r="J117" i="8"/>
  <c r="R117" i="8"/>
  <c r="F118" i="8"/>
  <c r="J118" i="8"/>
  <c r="R118" i="8"/>
  <c r="F119" i="8"/>
  <c r="J119" i="8"/>
  <c r="R119" i="8"/>
  <c r="F120" i="8"/>
  <c r="J120" i="8"/>
  <c r="R120" i="8"/>
  <c r="F121" i="8"/>
  <c r="J121" i="8"/>
  <c r="R121" i="8"/>
  <c r="F122" i="8"/>
  <c r="J122" i="8"/>
  <c r="R122" i="8"/>
  <c r="F123" i="8"/>
  <c r="J123" i="8"/>
  <c r="R123" i="8"/>
  <c r="F124" i="8"/>
  <c r="J124" i="8"/>
  <c r="R124" i="8"/>
  <c r="F125" i="8"/>
  <c r="J125" i="8"/>
  <c r="R125" i="8"/>
  <c r="G29" i="8"/>
  <c r="F29" i="8"/>
  <c r="E29" i="8"/>
  <c r="D29" i="8"/>
  <c r="G28" i="8"/>
  <c r="F28" i="8"/>
  <c r="E28" i="8"/>
  <c r="D28" i="8"/>
  <c r="G27" i="8"/>
  <c r="F27" i="8"/>
  <c r="E27" i="8"/>
  <c r="D27" i="8"/>
  <c r="G26" i="8"/>
  <c r="F26" i="8"/>
  <c r="E26" i="8"/>
  <c r="D26" i="8"/>
  <c r="G22" i="8"/>
  <c r="F22" i="8"/>
  <c r="E22" i="8"/>
  <c r="D22" i="8"/>
  <c r="G21" i="8"/>
  <c r="F21" i="8"/>
  <c r="D21" i="8"/>
  <c r="G20" i="8"/>
  <c r="F20" i="8"/>
  <c r="E20" i="8"/>
  <c r="D20" i="8"/>
  <c r="G19" i="8"/>
  <c r="F19" i="8"/>
  <c r="E19" i="8"/>
  <c r="D19" i="8"/>
  <c r="G15" i="8"/>
  <c r="F15" i="8"/>
  <c r="E15" i="8"/>
  <c r="D15" i="8"/>
  <c r="G14" i="8"/>
  <c r="D14" i="8"/>
  <c r="G13" i="8"/>
  <c r="F13" i="8"/>
  <c r="E13" i="8"/>
  <c r="D13" i="8"/>
  <c r="G12" i="8"/>
  <c r="F12" i="8"/>
  <c r="E12" i="8"/>
  <c r="D12" i="8"/>
  <c r="G8" i="8"/>
  <c r="F8" i="8"/>
  <c r="E8" i="8"/>
  <c r="D8" i="8"/>
  <c r="G6" i="8"/>
  <c r="F6" i="8"/>
  <c r="E6" i="8"/>
  <c r="D6" i="8"/>
  <c r="G5" i="8"/>
  <c r="F5" i="8"/>
  <c r="E5" i="8"/>
  <c r="D5" i="8"/>
  <c r="G63" i="8"/>
  <c r="G62" i="8"/>
  <c r="G61" i="8"/>
  <c r="G60" i="8"/>
  <c r="G55" i="8"/>
  <c r="G54" i="8"/>
  <c r="G53" i="8"/>
  <c r="G52" i="8"/>
  <c r="G47" i="8"/>
  <c r="G46" i="8"/>
  <c r="G45" i="8"/>
  <c r="G44" i="8"/>
  <c r="G39" i="8"/>
  <c r="G37" i="8"/>
  <c r="G36" i="8"/>
  <c r="H61" i="6"/>
  <c r="H19" i="6"/>
  <c r="I19" i="6"/>
  <c r="J19" i="6"/>
  <c r="K19" i="6"/>
  <c r="H4" i="6"/>
  <c r="I18" i="6"/>
  <c r="D18" i="7"/>
  <c r="D8" i="7" s="1"/>
  <c r="I2" i="6"/>
  <c r="I5" i="6"/>
  <c r="L17" i="6"/>
  <c r="L10" i="6"/>
  <c r="L11" i="6"/>
  <c r="I30" i="7"/>
  <c r="D61" i="8"/>
  <c r="E61" i="8"/>
  <c r="F61" i="8"/>
  <c r="E62" i="8"/>
  <c r="D63" i="8"/>
  <c r="E63" i="8"/>
  <c r="F63" i="8"/>
  <c r="D64" i="8"/>
  <c r="E64" i="8"/>
  <c r="F64" i="8"/>
  <c r="D53" i="8"/>
  <c r="E53" i="8"/>
  <c r="F53" i="8"/>
  <c r="D55" i="8"/>
  <c r="E55" i="8"/>
  <c r="F55" i="8"/>
  <c r="D56" i="8"/>
  <c r="E56" i="8"/>
  <c r="F56" i="8"/>
  <c r="D45" i="8"/>
  <c r="E45" i="8"/>
  <c r="F45" i="8"/>
  <c r="D47" i="8"/>
  <c r="E47" i="8"/>
  <c r="F47" i="8"/>
  <c r="D48" i="8"/>
  <c r="E48" i="8"/>
  <c r="F48" i="8"/>
  <c r="D37" i="8"/>
  <c r="E37" i="8"/>
  <c r="F37" i="8"/>
  <c r="E38" i="8"/>
  <c r="D39" i="8"/>
  <c r="E39" i="8"/>
  <c r="F39" i="8"/>
  <c r="D40" i="8"/>
  <c r="E40" i="8"/>
  <c r="F40" i="8"/>
  <c r="U25" i="7"/>
  <c r="U26" i="7"/>
  <c r="U27" i="7"/>
  <c r="U28" i="7"/>
  <c r="U29" i="7"/>
  <c r="U30" i="7"/>
  <c r="U31" i="7"/>
  <c r="U32" i="7"/>
  <c r="U33" i="7"/>
  <c r="U34" i="7"/>
  <c r="U35" i="7"/>
  <c r="M25" i="7"/>
  <c r="M26" i="7"/>
  <c r="M27" i="7"/>
  <c r="M28" i="7"/>
  <c r="M29" i="7"/>
  <c r="M30" i="7"/>
  <c r="M31" i="7"/>
  <c r="M32" i="7"/>
  <c r="M33" i="7"/>
  <c r="M34" i="7"/>
  <c r="M35" i="7"/>
  <c r="I25" i="7"/>
  <c r="I26" i="7"/>
  <c r="I27" i="7"/>
  <c r="I28" i="7"/>
  <c r="I29" i="7"/>
  <c r="I31" i="7"/>
  <c r="I32" i="7"/>
  <c r="I33" i="7"/>
  <c r="I34" i="7"/>
  <c r="I35" i="7"/>
  <c r="C6" i="7"/>
  <c r="D6" i="7"/>
  <c r="E6" i="7"/>
  <c r="C7" i="7"/>
  <c r="D7" i="7"/>
  <c r="E7" i="7"/>
  <c r="C8" i="7"/>
  <c r="E8" i="7"/>
  <c r="C9" i="7"/>
  <c r="D9" i="7"/>
  <c r="E9" i="7"/>
  <c r="C16" i="7"/>
  <c r="D16" i="7"/>
  <c r="E16" i="7"/>
  <c r="C17" i="7"/>
  <c r="D17" i="7"/>
  <c r="E17" i="7"/>
  <c r="C18" i="7"/>
  <c r="E18" i="7"/>
  <c r="C19" i="7"/>
  <c r="D19" i="7"/>
  <c r="E19" i="7"/>
  <c r="D42" i="2"/>
  <c r="D43" i="2"/>
  <c r="D44" i="2"/>
  <c r="I44" i="2"/>
  <c r="C18" i="6"/>
  <c r="L60" i="5"/>
  <c r="E133" i="5"/>
  <c r="F133" i="5"/>
  <c r="G133" i="5"/>
  <c r="H133" i="5"/>
  <c r="I133" i="5"/>
  <c r="J133" i="5"/>
  <c r="K133" i="5"/>
  <c r="L133" i="5"/>
  <c r="M133" i="5"/>
  <c r="E132" i="5"/>
  <c r="F132" i="5"/>
  <c r="G132" i="5"/>
  <c r="H132" i="5"/>
  <c r="I132" i="5"/>
  <c r="J132" i="5"/>
  <c r="K132" i="5"/>
  <c r="L132" i="5"/>
  <c r="M132" i="5"/>
  <c r="E131" i="5"/>
  <c r="F131" i="5"/>
  <c r="G131" i="5"/>
  <c r="H131" i="5"/>
  <c r="I131" i="5"/>
  <c r="J131" i="5"/>
  <c r="K131" i="5"/>
  <c r="L131" i="5"/>
  <c r="M131" i="5"/>
  <c r="D131" i="5"/>
  <c r="D132" i="5"/>
  <c r="D133" i="5"/>
  <c r="E45" i="5"/>
  <c r="F45" i="5"/>
  <c r="G45" i="5"/>
  <c r="H45" i="5"/>
  <c r="I45" i="5"/>
  <c r="J45" i="5"/>
  <c r="K45" i="5"/>
  <c r="L45" i="5"/>
  <c r="M45" i="5"/>
  <c r="E44" i="5"/>
  <c r="F44" i="5"/>
  <c r="G44" i="5"/>
  <c r="H44" i="5"/>
  <c r="I44" i="5"/>
  <c r="J44" i="5"/>
  <c r="K44" i="5"/>
  <c r="L44" i="5"/>
  <c r="M44" i="5"/>
  <c r="E43" i="5"/>
  <c r="F43" i="5"/>
  <c r="G43" i="5"/>
  <c r="H43" i="5"/>
  <c r="I43" i="5"/>
  <c r="J43" i="5"/>
  <c r="K43" i="5"/>
  <c r="L43" i="5"/>
  <c r="M43" i="5"/>
  <c r="D43" i="5"/>
  <c r="D44" i="5"/>
  <c r="D45" i="5"/>
  <c r="O7" i="5"/>
  <c r="Q7" i="5" s="1"/>
  <c r="C39" i="4"/>
  <c r="E42" i="4"/>
  <c r="E43" i="4"/>
  <c r="E44" i="4"/>
  <c r="E45" i="4" s="1"/>
  <c r="L6" i="6"/>
  <c r="L9" i="6" s="1"/>
  <c r="L16" i="6" s="1"/>
  <c r="L7" i="6"/>
  <c r="L15" i="6" s="1"/>
  <c r="H2" i="6"/>
  <c r="J2" i="6"/>
  <c r="K2" i="6"/>
  <c r="H3" i="6"/>
  <c r="I3" i="6"/>
  <c r="J3" i="6"/>
  <c r="K3" i="6"/>
  <c r="I4" i="6"/>
  <c r="J4" i="6"/>
  <c r="K4" i="6"/>
  <c r="H5" i="6"/>
  <c r="J5" i="6"/>
  <c r="K5" i="6"/>
  <c r="O4" i="5"/>
  <c r="O130" i="5"/>
  <c r="Q130" i="5" s="1"/>
  <c r="O129" i="5"/>
  <c r="Q129" i="5" s="1"/>
  <c r="O128" i="5"/>
  <c r="Q128" i="5" s="1"/>
  <c r="O127" i="5"/>
  <c r="Q127" i="5" s="1"/>
  <c r="O126" i="5"/>
  <c r="Q126" i="5" s="1"/>
  <c r="O125" i="5"/>
  <c r="Q125" i="5" s="1"/>
  <c r="O124" i="5"/>
  <c r="Q124" i="5" s="1"/>
  <c r="O123" i="5"/>
  <c r="Q123" i="5" s="1"/>
  <c r="O122" i="5"/>
  <c r="Q122" i="5" s="1"/>
  <c r="O121" i="5"/>
  <c r="Q121" i="5" s="1"/>
  <c r="O120" i="5"/>
  <c r="Q120" i="5" s="1"/>
  <c r="O119" i="5"/>
  <c r="Q119" i="5" s="1"/>
  <c r="O118" i="5"/>
  <c r="Q118" i="5" s="1"/>
  <c r="O117" i="5"/>
  <c r="Q117" i="5" s="1"/>
  <c r="O116" i="5"/>
  <c r="Q116" i="5" s="1"/>
  <c r="O115" i="5"/>
  <c r="Q115" i="5" s="1"/>
  <c r="O114" i="5"/>
  <c r="Q114" i="5" s="1"/>
  <c r="O113" i="5"/>
  <c r="Q113" i="5" s="1"/>
  <c r="O112" i="5"/>
  <c r="Q112" i="5" s="1"/>
  <c r="O111" i="5"/>
  <c r="Q111" i="5" s="1"/>
  <c r="O110" i="5"/>
  <c r="Q110" i="5" s="1"/>
  <c r="O109" i="5"/>
  <c r="Q109" i="5" s="1"/>
  <c r="O108" i="5"/>
  <c r="Q108" i="5" s="1"/>
  <c r="O107" i="5"/>
  <c r="Q107" i="5" s="1"/>
  <c r="O106" i="5"/>
  <c r="Q106" i="5" s="1"/>
  <c r="O105" i="5"/>
  <c r="Q105" i="5" s="1"/>
  <c r="O104" i="5"/>
  <c r="Q104" i="5" s="1"/>
  <c r="O103" i="5"/>
  <c r="Q103" i="5" s="1"/>
  <c r="O102" i="5"/>
  <c r="Q102" i="5" s="1"/>
  <c r="O101" i="5"/>
  <c r="Q101" i="5" s="1"/>
  <c r="Q100" i="5"/>
  <c r="O99" i="5"/>
  <c r="Q99" i="5" s="1"/>
  <c r="O98" i="5"/>
  <c r="Q98" i="5" s="1"/>
  <c r="O97" i="5"/>
  <c r="Q97" i="5" s="1"/>
  <c r="O96" i="5"/>
  <c r="Q96" i="5" s="1"/>
  <c r="O95" i="5"/>
  <c r="Q95" i="5" s="1"/>
  <c r="O94" i="5"/>
  <c r="O136" i="5" s="1"/>
  <c r="O89" i="5"/>
  <c r="Q89" i="5" s="1"/>
  <c r="O88" i="5"/>
  <c r="Q88" i="5" s="1"/>
  <c r="O87" i="5"/>
  <c r="Q87" i="5" s="1"/>
  <c r="O86" i="5"/>
  <c r="Q86" i="5" s="1"/>
  <c r="O85" i="5"/>
  <c r="Q85" i="5" s="1"/>
  <c r="O84" i="5"/>
  <c r="Q84" i="5" s="1"/>
  <c r="O83" i="5"/>
  <c r="Q83" i="5" s="1"/>
  <c r="O82" i="5"/>
  <c r="Q82" i="5" s="1"/>
  <c r="O81" i="5"/>
  <c r="Q81" i="5" s="1"/>
  <c r="O80" i="5"/>
  <c r="Q80" i="5" s="1"/>
  <c r="O79" i="5"/>
  <c r="Q79" i="5" s="1"/>
  <c r="O78" i="5"/>
  <c r="Q78" i="5" s="1"/>
  <c r="O77" i="5"/>
  <c r="Q77" i="5" s="1"/>
  <c r="O76" i="5"/>
  <c r="Q76" i="5" s="1"/>
  <c r="O75" i="5"/>
  <c r="Q75" i="5" s="1"/>
  <c r="O74" i="5"/>
  <c r="Q74" i="5" s="1"/>
  <c r="O73" i="5"/>
  <c r="Q73" i="5" s="1"/>
  <c r="O72" i="5"/>
  <c r="Q72" i="5" s="1"/>
  <c r="O71" i="5"/>
  <c r="Q71" i="5" s="1"/>
  <c r="O70" i="5"/>
  <c r="Q70" i="5" s="1"/>
  <c r="O69" i="5"/>
  <c r="Q69" i="5" s="1"/>
  <c r="O68" i="5"/>
  <c r="Q68" i="5" s="1"/>
  <c r="O67" i="5"/>
  <c r="Q67" i="5" s="1"/>
  <c r="O66" i="5"/>
  <c r="Q66" i="5" s="1"/>
  <c r="O65" i="5"/>
  <c r="Q65" i="5" s="1"/>
  <c r="O64" i="5"/>
  <c r="Q64" i="5" s="1"/>
  <c r="O63" i="5"/>
  <c r="Q63" i="5" s="1"/>
  <c r="O62" i="5"/>
  <c r="Q62" i="5" s="1"/>
  <c r="O61" i="5"/>
  <c r="Q61" i="5" s="1"/>
  <c r="O60" i="5"/>
  <c r="Q60" i="5" s="1"/>
  <c r="O59" i="5"/>
  <c r="Q59" i="5" s="1"/>
  <c r="O58" i="5"/>
  <c r="Q58" i="5" s="1"/>
  <c r="Q57" i="5"/>
  <c r="O56" i="5"/>
  <c r="O55" i="5"/>
  <c r="Q55" i="5" s="1"/>
  <c r="O54" i="5"/>
  <c r="Q54" i="5" s="1"/>
  <c r="O53" i="5"/>
  <c r="Q53" i="5" s="1"/>
  <c r="O52" i="5"/>
  <c r="Q52" i="5" s="1"/>
  <c r="O51" i="5"/>
  <c r="O42" i="5"/>
  <c r="Q42" i="5" s="1"/>
  <c r="O41" i="5"/>
  <c r="Q41" i="5" s="1"/>
  <c r="O40" i="5"/>
  <c r="Q40" i="5" s="1"/>
  <c r="O39" i="5"/>
  <c r="Q39" i="5" s="1"/>
  <c r="O38" i="5"/>
  <c r="Q38" i="5" s="1"/>
  <c r="O37" i="5"/>
  <c r="Q37" i="5" s="1"/>
  <c r="O36" i="5"/>
  <c r="Q36" i="5" s="1"/>
  <c r="O35" i="5"/>
  <c r="Q35" i="5" s="1"/>
  <c r="O34" i="5"/>
  <c r="Q34" i="5" s="1"/>
  <c r="O33" i="5"/>
  <c r="Q33" i="5" s="1"/>
  <c r="O32" i="5"/>
  <c r="Q32" i="5" s="1"/>
  <c r="O31" i="5"/>
  <c r="Q31" i="5" s="1"/>
  <c r="O30" i="5"/>
  <c r="Q30" i="5" s="1"/>
  <c r="O29" i="5"/>
  <c r="Q29" i="5" s="1"/>
  <c r="O28" i="5"/>
  <c r="Q28" i="5" s="1"/>
  <c r="O27" i="5"/>
  <c r="Q27" i="5" s="1"/>
  <c r="O26" i="5"/>
  <c r="Q26" i="5" s="1"/>
  <c r="O25" i="5"/>
  <c r="Q25" i="5" s="1"/>
  <c r="O24" i="5"/>
  <c r="Q24" i="5" s="1"/>
  <c r="O23" i="5"/>
  <c r="Q23" i="5" s="1"/>
  <c r="O22" i="5"/>
  <c r="Q22" i="5" s="1"/>
  <c r="O21" i="5"/>
  <c r="Q21" i="5" s="1"/>
  <c r="O20" i="5"/>
  <c r="Q20" i="5" s="1"/>
  <c r="O19" i="5"/>
  <c r="Q19" i="5" s="1"/>
  <c r="O18" i="5"/>
  <c r="Q18" i="5" s="1"/>
  <c r="O17" i="5"/>
  <c r="Q17" i="5" s="1"/>
  <c r="O16" i="5"/>
  <c r="Q16" i="5" s="1"/>
  <c r="O15" i="5"/>
  <c r="Q15" i="5" s="1"/>
  <c r="O14" i="5"/>
  <c r="Q14" i="5" s="1"/>
  <c r="O13" i="5"/>
  <c r="Q13" i="5" s="1"/>
  <c r="O12" i="5"/>
  <c r="Q12" i="5" s="1"/>
  <c r="O11" i="5"/>
  <c r="Q11" i="5" s="1"/>
  <c r="Q10" i="5"/>
  <c r="O9" i="5"/>
  <c r="Q9" i="5" s="1"/>
  <c r="O8" i="5"/>
  <c r="Q8" i="5" s="1"/>
  <c r="O6" i="5"/>
  <c r="Q6" i="5" s="1"/>
  <c r="O5" i="5"/>
  <c r="N2" i="5"/>
  <c r="I44" i="1"/>
  <c r="J44" i="1"/>
  <c r="K44" i="1"/>
  <c r="L44" i="1"/>
  <c r="M44" i="1"/>
  <c r="N44" i="1"/>
  <c r="O44" i="1"/>
  <c r="P44" i="1"/>
  <c r="Q44" i="1"/>
  <c r="R44" i="1"/>
  <c r="H44" i="1"/>
  <c r="I42" i="3"/>
  <c r="J42" i="3"/>
  <c r="K42" i="3"/>
  <c r="L42" i="3"/>
  <c r="M42" i="3"/>
  <c r="N42" i="3"/>
  <c r="O42" i="3"/>
  <c r="P42" i="3"/>
  <c r="Q42" i="3"/>
  <c r="R42" i="3"/>
  <c r="H42" i="3"/>
  <c r="I41" i="3"/>
  <c r="J41" i="3"/>
  <c r="K41" i="3"/>
  <c r="L41" i="3"/>
  <c r="M41" i="3"/>
  <c r="N41" i="3"/>
  <c r="O41" i="3"/>
  <c r="P41" i="3"/>
  <c r="Q41" i="3"/>
  <c r="R41" i="3"/>
  <c r="H41" i="3"/>
  <c r="I40" i="3"/>
  <c r="J40" i="3"/>
  <c r="K40" i="3"/>
  <c r="L40" i="3"/>
  <c r="M40" i="3"/>
  <c r="N40" i="3"/>
  <c r="O40" i="3"/>
  <c r="P40" i="3"/>
  <c r="Q40" i="3"/>
  <c r="R40" i="3"/>
  <c r="H40" i="3"/>
  <c r="I43" i="1"/>
  <c r="J43" i="1"/>
  <c r="K43" i="1"/>
  <c r="L43" i="1"/>
  <c r="M43" i="1"/>
  <c r="N43" i="1"/>
  <c r="O43" i="1"/>
  <c r="P43" i="1"/>
  <c r="Q43" i="1"/>
  <c r="R43" i="1"/>
  <c r="H43" i="1"/>
  <c r="I42" i="1"/>
  <c r="J42" i="1"/>
  <c r="K42" i="1"/>
  <c r="L42" i="1"/>
  <c r="M42" i="1"/>
  <c r="N42" i="1"/>
  <c r="O42" i="1"/>
  <c r="P42" i="1"/>
  <c r="Q42" i="1"/>
  <c r="R42" i="1"/>
  <c r="H42" i="1"/>
  <c r="D48" i="1"/>
  <c r="D46" i="1"/>
  <c r="D47" i="1"/>
  <c r="D45" i="1"/>
  <c r="D45" i="2"/>
  <c r="D43" i="3"/>
  <c r="R31" i="2"/>
  <c r="Q31" i="2"/>
  <c r="P31" i="2"/>
  <c r="O31" i="2"/>
  <c r="N31" i="2"/>
  <c r="M31" i="2"/>
  <c r="L31" i="2"/>
  <c r="K31" i="2"/>
  <c r="J31" i="2"/>
  <c r="I31" i="2"/>
  <c r="H31" i="2"/>
  <c r="H31" i="1"/>
  <c r="I31" i="1"/>
  <c r="J31" i="1"/>
  <c r="K31" i="1"/>
  <c r="L31" i="1"/>
  <c r="M31" i="1"/>
  <c r="N31" i="1"/>
  <c r="O31" i="1"/>
  <c r="P31" i="1"/>
  <c r="Q31" i="1"/>
  <c r="R31" i="1"/>
  <c r="I3" i="1"/>
  <c r="J3" i="1"/>
  <c r="K3" i="1"/>
  <c r="L3" i="1"/>
  <c r="M3" i="1"/>
  <c r="N3" i="1"/>
  <c r="O3" i="1"/>
  <c r="P3" i="1"/>
  <c r="Q3" i="1"/>
  <c r="R3" i="1"/>
  <c r="H3" i="1"/>
  <c r="I3" i="2"/>
  <c r="J3" i="2"/>
  <c r="K3" i="2"/>
  <c r="L3" i="2"/>
  <c r="M3" i="2"/>
  <c r="N3" i="2"/>
  <c r="O3" i="2"/>
  <c r="P3" i="2"/>
  <c r="Q3" i="2"/>
  <c r="R3" i="2"/>
  <c r="H3" i="2"/>
  <c r="H4" i="2"/>
  <c r="I3" i="3"/>
  <c r="J3" i="3"/>
  <c r="K3" i="3"/>
  <c r="L3" i="3"/>
  <c r="M3" i="3"/>
  <c r="N3" i="3"/>
  <c r="O3" i="3"/>
  <c r="P3" i="3"/>
  <c r="Q3" i="3"/>
  <c r="R3" i="3"/>
  <c r="H3" i="3"/>
  <c r="H12" i="2"/>
  <c r="H8" i="2"/>
  <c r="H4" i="1"/>
  <c r="G64" i="8" l="1"/>
  <c r="G40" i="8"/>
  <c r="G56" i="8"/>
  <c r="G48" i="8"/>
  <c r="E30" i="8"/>
  <c r="F30" i="8"/>
  <c r="G30" i="8"/>
  <c r="D30" i="8"/>
  <c r="G59" i="8"/>
  <c r="F23" i="8"/>
  <c r="E23" i="8"/>
  <c r="G23" i="8"/>
  <c r="D23" i="8"/>
  <c r="G51" i="8"/>
  <c r="G16" i="8"/>
  <c r="D16" i="8"/>
  <c r="E16" i="8"/>
  <c r="F16" i="8"/>
  <c r="G43" i="8"/>
  <c r="G11" i="8" s="1"/>
  <c r="G9" i="8"/>
  <c r="D9" i="8"/>
  <c r="F9" i="8"/>
  <c r="E9" i="8"/>
  <c r="G35" i="8"/>
  <c r="G4" i="8" s="1"/>
  <c r="G7" i="8"/>
  <c r="F7" i="8"/>
  <c r="D7" i="8"/>
  <c r="F4" i="8"/>
  <c r="N115" i="8"/>
  <c r="N118" i="8"/>
  <c r="N121" i="8"/>
  <c r="N117" i="8"/>
  <c r="N119" i="8"/>
  <c r="N120" i="8"/>
  <c r="N122" i="8"/>
  <c r="N123" i="8"/>
  <c r="N125" i="8"/>
  <c r="N116" i="8"/>
  <c r="N124" i="8"/>
  <c r="N105" i="8"/>
  <c r="N100" i="8"/>
  <c r="N101" i="8"/>
  <c r="N102" i="8"/>
  <c r="N103" i="8"/>
  <c r="N104" i="8"/>
  <c r="N106" i="8"/>
  <c r="N107" i="8"/>
  <c r="N108" i="8"/>
  <c r="N109" i="8"/>
  <c r="N110" i="8"/>
  <c r="N85" i="8"/>
  <c r="N86" i="8"/>
  <c r="N87" i="8"/>
  <c r="N88" i="8"/>
  <c r="N89" i="8"/>
  <c r="N90" i="8"/>
  <c r="N91" i="8"/>
  <c r="N92" i="8"/>
  <c r="N93" i="8"/>
  <c r="N94" i="8"/>
  <c r="N95" i="8"/>
  <c r="N70" i="8"/>
  <c r="N71" i="8"/>
  <c r="N72" i="8"/>
  <c r="N73" i="8"/>
  <c r="N74" i="8"/>
  <c r="N75" i="8"/>
  <c r="N76" i="8"/>
  <c r="N77" i="8"/>
  <c r="N78" i="8"/>
  <c r="N79" i="8"/>
  <c r="N80" i="8"/>
  <c r="G19" i="6"/>
  <c r="Q34" i="7"/>
  <c r="Q33" i="7"/>
  <c r="Q30" i="7"/>
  <c r="Q28" i="7"/>
  <c r="Q26" i="7"/>
  <c r="Q35" i="7"/>
  <c r="Q32" i="7"/>
  <c r="Q31" i="7"/>
  <c r="Q29" i="7"/>
  <c r="Q25" i="7"/>
  <c r="Q27" i="7"/>
  <c r="H18" i="6"/>
  <c r="G18" i="6" s="1"/>
  <c r="H17" i="6"/>
  <c r="H16" i="6"/>
  <c r="H15" i="6"/>
  <c r="K17" i="6"/>
  <c r="K16" i="6"/>
  <c r="K15" i="6"/>
  <c r="J17" i="6"/>
  <c r="J16" i="6"/>
  <c r="J15" i="6"/>
  <c r="I15" i="6"/>
  <c r="I16" i="6"/>
  <c r="I17" i="6"/>
  <c r="H42" i="2"/>
  <c r="L42" i="2"/>
  <c r="Q42" i="2"/>
  <c r="I42" i="2"/>
  <c r="K42" i="2"/>
  <c r="N42" i="2"/>
  <c r="R42" i="2"/>
  <c r="J42" i="2"/>
  <c r="P42" i="2"/>
  <c r="M42" i="2"/>
  <c r="O42" i="2"/>
  <c r="H43" i="2"/>
  <c r="J43" i="2"/>
  <c r="K43" i="2"/>
  <c r="L43" i="2"/>
  <c r="M43" i="2"/>
  <c r="N43" i="2"/>
  <c r="Q43" i="2"/>
  <c r="O43" i="2"/>
  <c r="P43" i="2"/>
  <c r="R43" i="2"/>
  <c r="I43" i="2"/>
  <c r="Q44" i="2"/>
  <c r="P44" i="2"/>
  <c r="L44" i="2"/>
  <c r="K44" i="2"/>
  <c r="N44" i="2"/>
  <c r="J44" i="2"/>
  <c r="O44" i="2"/>
  <c r="R44" i="2"/>
  <c r="M44" i="2"/>
  <c r="H44" i="2"/>
  <c r="Q51" i="5"/>
  <c r="C15" i="7" s="1"/>
  <c r="O91" i="5"/>
  <c r="Q4" i="5"/>
  <c r="D15" i="7" s="1"/>
  <c r="D14" i="7" s="1"/>
  <c r="O47" i="5"/>
  <c r="O48" i="5"/>
  <c r="Q94" i="5"/>
  <c r="E15" i="7" s="1"/>
  <c r="E14" i="7" s="1"/>
  <c r="O135" i="5"/>
  <c r="O134" i="5"/>
  <c r="Q5" i="5"/>
  <c r="O46" i="5"/>
  <c r="N133" i="5"/>
  <c r="N132" i="5"/>
  <c r="N131" i="5"/>
  <c r="N45" i="5"/>
  <c r="N44" i="5"/>
  <c r="N43" i="5"/>
  <c r="I116" i="5"/>
  <c r="M116" i="5"/>
  <c r="K116" i="5"/>
  <c r="E116" i="5"/>
  <c r="L116" i="5"/>
  <c r="F116" i="5"/>
  <c r="J116" i="5"/>
  <c r="G116" i="5"/>
  <c r="D116" i="5"/>
  <c r="H116" i="5"/>
  <c r="D107" i="5"/>
  <c r="E107" i="5"/>
  <c r="J99" i="5"/>
  <c r="D99" i="5"/>
  <c r="K99" i="5"/>
  <c r="H99" i="5"/>
  <c r="I99" i="5"/>
  <c r="F99" i="5"/>
  <c r="E99" i="5"/>
  <c r="G99" i="5"/>
  <c r="H72" i="5"/>
  <c r="D72" i="5"/>
  <c r="I72" i="5"/>
  <c r="F72" i="5"/>
  <c r="G72" i="5"/>
  <c r="E72" i="5"/>
  <c r="K72" i="5"/>
  <c r="M72" i="5"/>
  <c r="L72" i="5"/>
  <c r="J72" i="5"/>
  <c r="I55" i="5"/>
  <c r="J55" i="5"/>
  <c r="K55" i="5"/>
  <c r="G55" i="5"/>
  <c r="D55" i="5"/>
  <c r="E55" i="5"/>
  <c r="F55" i="5"/>
  <c r="H55" i="5"/>
  <c r="F32" i="5"/>
  <c r="H32" i="5"/>
  <c r="G32" i="5"/>
  <c r="D32" i="5"/>
  <c r="E32" i="5"/>
  <c r="D15" i="5"/>
  <c r="E15" i="5"/>
  <c r="I7" i="5"/>
  <c r="D7" i="5"/>
  <c r="E7" i="5"/>
  <c r="F7" i="5"/>
  <c r="H7" i="5"/>
  <c r="K7" i="5"/>
  <c r="J7" i="5"/>
  <c r="G7" i="5"/>
  <c r="M130" i="5"/>
  <c r="K130" i="5"/>
  <c r="L130" i="5"/>
  <c r="J130" i="5"/>
  <c r="H130" i="5"/>
  <c r="F130" i="5"/>
  <c r="E130" i="5"/>
  <c r="I130" i="5"/>
  <c r="G130" i="5"/>
  <c r="D130" i="5"/>
  <c r="L129" i="5"/>
  <c r="J129" i="5"/>
  <c r="H129" i="5"/>
  <c r="F129" i="5"/>
  <c r="G129" i="5"/>
  <c r="D129" i="5"/>
  <c r="M129" i="5"/>
  <c r="K129" i="5"/>
  <c r="I129" i="5"/>
  <c r="E129" i="5"/>
  <c r="L128" i="5"/>
  <c r="J128" i="5"/>
  <c r="G128" i="5"/>
  <c r="E128" i="5"/>
  <c r="M128" i="5"/>
  <c r="K128" i="5"/>
  <c r="I128" i="5"/>
  <c r="H128" i="5"/>
  <c r="F128" i="5"/>
  <c r="D128" i="5"/>
  <c r="N128" i="5" s="1"/>
  <c r="L127" i="5"/>
  <c r="K127" i="5"/>
  <c r="I127" i="5"/>
  <c r="H127" i="5"/>
  <c r="G127" i="5"/>
  <c r="F127" i="5"/>
  <c r="D127" i="5"/>
  <c r="M127" i="5"/>
  <c r="J127" i="5"/>
  <c r="E127" i="5"/>
  <c r="M126" i="5"/>
  <c r="L126" i="5"/>
  <c r="K126" i="5"/>
  <c r="J126" i="5"/>
  <c r="I126" i="5"/>
  <c r="H126" i="5"/>
  <c r="G126" i="5"/>
  <c r="F126" i="5"/>
  <c r="E126" i="5"/>
  <c r="D126" i="5"/>
  <c r="M125" i="5"/>
  <c r="L125" i="5"/>
  <c r="K125" i="5"/>
  <c r="J125" i="5"/>
  <c r="I125" i="5"/>
  <c r="H125" i="5"/>
  <c r="G125" i="5"/>
  <c r="F125" i="5"/>
  <c r="E125" i="5"/>
  <c r="D125" i="5"/>
  <c r="H124" i="5"/>
  <c r="G124" i="5"/>
  <c r="F124" i="5"/>
  <c r="E124" i="5"/>
  <c r="D124" i="5"/>
  <c r="M124" i="5"/>
  <c r="L124" i="5"/>
  <c r="K124" i="5"/>
  <c r="J124" i="5"/>
  <c r="I124" i="5"/>
  <c r="M123" i="5"/>
  <c r="L123" i="5"/>
  <c r="K123" i="5"/>
  <c r="J123" i="5"/>
  <c r="I123" i="5"/>
  <c r="H123" i="5"/>
  <c r="G123" i="5"/>
  <c r="F123" i="5"/>
  <c r="E123" i="5"/>
  <c r="D123" i="5"/>
  <c r="N123" i="5" s="1"/>
  <c r="M122" i="5"/>
  <c r="L122" i="5"/>
  <c r="K122" i="5"/>
  <c r="J122" i="5"/>
  <c r="I122" i="5"/>
  <c r="H122" i="5"/>
  <c r="G122" i="5"/>
  <c r="F122" i="5"/>
  <c r="E122" i="5"/>
  <c r="D122" i="5"/>
  <c r="N122" i="5" s="1"/>
  <c r="M121" i="5"/>
  <c r="L121" i="5"/>
  <c r="K121" i="5"/>
  <c r="J121" i="5"/>
  <c r="I121" i="5"/>
  <c r="H121" i="5"/>
  <c r="G121" i="5"/>
  <c r="F121" i="5"/>
  <c r="E121" i="5"/>
  <c r="D121" i="5"/>
  <c r="N121" i="5" s="1"/>
  <c r="M120" i="5"/>
  <c r="L120" i="5"/>
  <c r="K120" i="5"/>
  <c r="J120" i="5"/>
  <c r="I120" i="5"/>
  <c r="H120" i="5"/>
  <c r="G120" i="5"/>
  <c r="F120" i="5"/>
  <c r="E120" i="5"/>
  <c r="D120" i="5"/>
  <c r="L119" i="5"/>
  <c r="I119" i="5"/>
  <c r="F119" i="5"/>
  <c r="E119" i="5"/>
  <c r="M119" i="5"/>
  <c r="K119" i="5"/>
  <c r="H119" i="5"/>
  <c r="D119" i="5"/>
  <c r="G119" i="5"/>
  <c r="J119" i="5"/>
  <c r="K118" i="5"/>
  <c r="D118" i="5"/>
  <c r="I118" i="5"/>
  <c r="G118" i="5"/>
  <c r="M118" i="5"/>
  <c r="H118" i="5"/>
  <c r="F118" i="5"/>
  <c r="L118" i="5"/>
  <c r="J118" i="5"/>
  <c r="E118" i="5"/>
  <c r="H117" i="5"/>
  <c r="D117" i="5"/>
  <c r="L117" i="5"/>
  <c r="K117" i="5"/>
  <c r="M117" i="5"/>
  <c r="J117" i="5"/>
  <c r="F117" i="5"/>
  <c r="I117" i="5"/>
  <c r="G117" i="5"/>
  <c r="E117" i="5"/>
  <c r="M115" i="5"/>
  <c r="L115" i="5"/>
  <c r="K115" i="5"/>
  <c r="J115" i="5"/>
  <c r="I115" i="5"/>
  <c r="H115" i="5"/>
  <c r="G115" i="5"/>
  <c r="F115" i="5"/>
  <c r="E115" i="5"/>
  <c r="D115" i="5"/>
  <c r="I114" i="5"/>
  <c r="G114" i="5"/>
  <c r="J114" i="5"/>
  <c r="M114" i="5"/>
  <c r="E114" i="5"/>
  <c r="K114" i="5"/>
  <c r="F114" i="5"/>
  <c r="L114" i="5"/>
  <c r="D114" i="5"/>
  <c r="H114" i="5"/>
  <c r="I113" i="5"/>
  <c r="F113" i="5"/>
  <c r="K113" i="5"/>
  <c r="H113" i="5"/>
  <c r="E113" i="5"/>
  <c r="G113" i="5"/>
  <c r="D113" i="5"/>
  <c r="M113" i="5"/>
  <c r="L113" i="5"/>
  <c r="J113" i="5"/>
  <c r="D112" i="5"/>
  <c r="I112" i="5"/>
  <c r="M112" i="5"/>
  <c r="G112" i="5"/>
  <c r="L112" i="5"/>
  <c r="J112" i="5"/>
  <c r="F112" i="5"/>
  <c r="K112" i="5"/>
  <c r="E112" i="5"/>
  <c r="H112" i="5"/>
  <c r="M111" i="5"/>
  <c r="H111" i="5"/>
  <c r="E111" i="5"/>
  <c r="F111" i="5"/>
  <c r="J111" i="5"/>
  <c r="K111" i="5"/>
  <c r="I111" i="5"/>
  <c r="L111" i="5"/>
  <c r="G111" i="5"/>
  <c r="D111" i="5"/>
  <c r="I110" i="5"/>
  <c r="D110" i="5"/>
  <c r="M110" i="5"/>
  <c r="E110" i="5"/>
  <c r="K110" i="5"/>
  <c r="J110" i="5"/>
  <c r="G110" i="5"/>
  <c r="F110" i="5"/>
  <c r="H110" i="5"/>
  <c r="L110" i="5"/>
  <c r="L109" i="5"/>
  <c r="E109" i="5"/>
  <c r="F109" i="5"/>
  <c r="K109" i="5"/>
  <c r="H109" i="5"/>
  <c r="D109" i="5"/>
  <c r="G109" i="5"/>
  <c r="I109" i="5"/>
  <c r="M109" i="5"/>
  <c r="J109" i="5"/>
  <c r="J108" i="5"/>
  <c r="G108" i="5"/>
  <c r="H108" i="5"/>
  <c r="E108" i="5"/>
  <c r="L108" i="5"/>
  <c r="I108" i="5"/>
  <c r="F108" i="5"/>
  <c r="M108" i="5"/>
  <c r="K108" i="5"/>
  <c r="D108" i="5"/>
  <c r="N108" i="5" s="1"/>
  <c r="F107" i="5"/>
  <c r="G107" i="5"/>
  <c r="I107" i="5"/>
  <c r="J107" i="5"/>
  <c r="K107" i="5"/>
  <c r="L107" i="5"/>
  <c r="M107" i="5"/>
  <c r="H107" i="5"/>
  <c r="D106" i="5"/>
  <c r="E106" i="5"/>
  <c r="F106" i="5"/>
  <c r="G106" i="5"/>
  <c r="M106" i="5"/>
  <c r="L106" i="5"/>
  <c r="K106" i="5"/>
  <c r="J106" i="5"/>
  <c r="I106" i="5"/>
  <c r="H106" i="5"/>
  <c r="E105" i="5"/>
  <c r="M105" i="5"/>
  <c r="L105" i="5"/>
  <c r="K105" i="5"/>
  <c r="J105" i="5"/>
  <c r="I105" i="5"/>
  <c r="H105" i="5"/>
  <c r="G105" i="5"/>
  <c r="F105" i="5"/>
  <c r="D105" i="5"/>
  <c r="N105" i="5" s="1"/>
  <c r="E104" i="5"/>
  <c r="F104" i="5"/>
  <c r="G104" i="5"/>
  <c r="H104" i="5"/>
  <c r="I104" i="5"/>
  <c r="J104" i="5"/>
  <c r="K104" i="5"/>
  <c r="L104" i="5"/>
  <c r="M104" i="5"/>
  <c r="D104" i="5"/>
  <c r="N104" i="5" s="1"/>
  <c r="D103" i="5"/>
  <c r="L103" i="5"/>
  <c r="M103" i="5"/>
  <c r="E103" i="5"/>
  <c r="F103" i="5"/>
  <c r="G103" i="5"/>
  <c r="H103" i="5"/>
  <c r="I103" i="5"/>
  <c r="J103" i="5"/>
  <c r="K103" i="5"/>
  <c r="J102" i="5"/>
  <c r="K102" i="5"/>
  <c r="L102" i="5"/>
  <c r="M102" i="5"/>
  <c r="D102" i="5"/>
  <c r="E102" i="5"/>
  <c r="F102" i="5"/>
  <c r="G102" i="5"/>
  <c r="H102" i="5"/>
  <c r="I102" i="5"/>
  <c r="F101" i="5"/>
  <c r="D101" i="5"/>
  <c r="E101" i="5"/>
  <c r="M101" i="5"/>
  <c r="L101" i="5"/>
  <c r="K101" i="5"/>
  <c r="J101" i="5"/>
  <c r="I101" i="5"/>
  <c r="H101" i="5"/>
  <c r="G101" i="5"/>
  <c r="J100" i="5"/>
  <c r="K100" i="5"/>
  <c r="L100" i="5"/>
  <c r="M100" i="5"/>
  <c r="E100" i="5"/>
  <c r="H100" i="5"/>
  <c r="G100" i="5"/>
  <c r="F100" i="5"/>
  <c r="D100" i="5"/>
  <c r="I100" i="5"/>
  <c r="L99" i="5"/>
  <c r="M99" i="5"/>
  <c r="H98" i="5"/>
  <c r="M98" i="5"/>
  <c r="L98" i="5"/>
  <c r="K98" i="5"/>
  <c r="J98" i="5"/>
  <c r="I98" i="5"/>
  <c r="G98" i="5"/>
  <c r="F98" i="5"/>
  <c r="E98" i="5"/>
  <c r="D98" i="5"/>
  <c r="I97" i="5"/>
  <c r="J97" i="5"/>
  <c r="K97" i="5"/>
  <c r="L97" i="5"/>
  <c r="F97" i="5"/>
  <c r="E97" i="5"/>
  <c r="D97" i="5"/>
  <c r="G97" i="5"/>
  <c r="H97" i="5"/>
  <c r="M97" i="5"/>
  <c r="I96" i="5"/>
  <c r="J96" i="5"/>
  <c r="K96" i="5"/>
  <c r="L96" i="5"/>
  <c r="M96" i="5"/>
  <c r="D96" i="5"/>
  <c r="E96" i="5"/>
  <c r="F96" i="5"/>
  <c r="G96" i="5"/>
  <c r="H96" i="5"/>
  <c r="E95" i="5"/>
  <c r="D95" i="5"/>
  <c r="J95" i="5"/>
  <c r="M95" i="5"/>
  <c r="L95" i="5"/>
  <c r="K95" i="5"/>
  <c r="I95" i="5"/>
  <c r="H95" i="5"/>
  <c r="G95" i="5"/>
  <c r="F95" i="5"/>
  <c r="J89" i="5"/>
  <c r="E89" i="5"/>
  <c r="D89" i="5"/>
  <c r="L89" i="5"/>
  <c r="M89" i="5"/>
  <c r="H89" i="5"/>
  <c r="F89" i="5"/>
  <c r="G89" i="5"/>
  <c r="K89" i="5"/>
  <c r="I89" i="5"/>
  <c r="M88" i="5"/>
  <c r="H88" i="5"/>
  <c r="D88" i="5"/>
  <c r="E88" i="5"/>
  <c r="F88" i="5"/>
  <c r="G88" i="5"/>
  <c r="I88" i="5"/>
  <c r="J88" i="5"/>
  <c r="K88" i="5"/>
  <c r="L88" i="5"/>
  <c r="H87" i="5"/>
  <c r="D87" i="5"/>
  <c r="E87" i="5"/>
  <c r="F87" i="5"/>
  <c r="G87" i="5"/>
  <c r="I87" i="5"/>
  <c r="J87" i="5"/>
  <c r="K87" i="5"/>
  <c r="L87" i="5"/>
  <c r="M87" i="5"/>
  <c r="J86" i="5"/>
  <c r="M86" i="5"/>
  <c r="L86" i="5"/>
  <c r="K86" i="5"/>
  <c r="I86" i="5"/>
  <c r="H86" i="5"/>
  <c r="G86" i="5"/>
  <c r="F86" i="5"/>
  <c r="E86" i="5"/>
  <c r="D86" i="5"/>
  <c r="J85" i="5"/>
  <c r="L85" i="5"/>
  <c r="E85" i="5"/>
  <c r="M85" i="5"/>
  <c r="F85" i="5"/>
  <c r="G85" i="5"/>
  <c r="H85" i="5"/>
  <c r="I85" i="5"/>
  <c r="D85" i="5"/>
  <c r="K85" i="5"/>
  <c r="J84" i="5"/>
  <c r="D84" i="5"/>
  <c r="E84" i="5"/>
  <c r="F84" i="5"/>
  <c r="G84" i="5"/>
  <c r="H84" i="5"/>
  <c r="M84" i="5"/>
  <c r="L84" i="5"/>
  <c r="K84" i="5"/>
  <c r="I84" i="5"/>
  <c r="M83" i="5"/>
  <c r="L83" i="5"/>
  <c r="J83" i="5"/>
  <c r="E83" i="5"/>
  <c r="I83" i="5"/>
  <c r="K83" i="5"/>
  <c r="H83" i="5"/>
  <c r="G83" i="5"/>
  <c r="F83" i="5"/>
  <c r="D83" i="5"/>
  <c r="N83" i="5" s="1"/>
  <c r="F82" i="5"/>
  <c r="K82" i="5"/>
  <c r="E82" i="5"/>
  <c r="I82" i="5"/>
  <c r="G82" i="5"/>
  <c r="L82" i="5"/>
  <c r="D82" i="5"/>
  <c r="J82" i="5"/>
  <c r="M82" i="5"/>
  <c r="H82" i="5"/>
  <c r="F81" i="5"/>
  <c r="I81" i="5"/>
  <c r="J81" i="5"/>
  <c r="G81" i="5"/>
  <c r="D81" i="5"/>
  <c r="K81" i="5"/>
  <c r="H81" i="5"/>
  <c r="E81" i="5"/>
  <c r="M81" i="5"/>
  <c r="L81" i="5"/>
  <c r="G80" i="5"/>
  <c r="F80" i="5"/>
  <c r="M80" i="5"/>
  <c r="L80" i="5"/>
  <c r="K80" i="5"/>
  <c r="J80" i="5"/>
  <c r="I80" i="5"/>
  <c r="E80" i="5"/>
  <c r="H80" i="5"/>
  <c r="D80" i="5"/>
  <c r="N80" i="5" s="1"/>
  <c r="L79" i="5"/>
  <c r="K79" i="5"/>
  <c r="E79" i="5"/>
  <c r="M79" i="5"/>
  <c r="J79" i="5"/>
  <c r="H79" i="5"/>
  <c r="G79" i="5"/>
  <c r="F79" i="5"/>
  <c r="I79" i="5"/>
  <c r="D79" i="5"/>
  <c r="N79" i="5" s="1"/>
  <c r="J78" i="5"/>
  <c r="G78" i="5"/>
  <c r="K78" i="5"/>
  <c r="I78" i="5"/>
  <c r="D78" i="5"/>
  <c r="H78" i="5"/>
  <c r="E78" i="5"/>
  <c r="L78" i="5"/>
  <c r="F78" i="5"/>
  <c r="M78" i="5"/>
  <c r="I77" i="5"/>
  <c r="D77" i="5"/>
  <c r="M77" i="5"/>
  <c r="L77" i="5"/>
  <c r="F77" i="5"/>
  <c r="K77" i="5"/>
  <c r="E77" i="5"/>
  <c r="J77" i="5"/>
  <c r="G77" i="5"/>
  <c r="H77" i="5"/>
  <c r="G76" i="5"/>
  <c r="K76" i="5"/>
  <c r="D76" i="5"/>
  <c r="L76" i="5"/>
  <c r="J76" i="5"/>
  <c r="I76" i="5"/>
  <c r="E76" i="5"/>
  <c r="M76" i="5"/>
  <c r="H76" i="5"/>
  <c r="F76" i="5"/>
  <c r="G75" i="5"/>
  <c r="I75" i="5"/>
  <c r="F75" i="5"/>
  <c r="M75" i="5"/>
  <c r="K75" i="5"/>
  <c r="E75" i="5"/>
  <c r="H75" i="5"/>
  <c r="D75" i="5"/>
  <c r="L75" i="5"/>
  <c r="J75" i="5"/>
  <c r="M74" i="5"/>
  <c r="G74" i="5"/>
  <c r="F74" i="5"/>
  <c r="L74" i="5"/>
  <c r="K74" i="5"/>
  <c r="D74" i="5"/>
  <c r="J74" i="5"/>
  <c r="E74" i="5"/>
  <c r="I74" i="5"/>
  <c r="H74" i="5"/>
  <c r="L73" i="5"/>
  <c r="D73" i="5"/>
  <c r="F73" i="5"/>
  <c r="I73" i="5"/>
  <c r="M73" i="5"/>
  <c r="K73" i="5"/>
  <c r="E73" i="5"/>
  <c r="G73" i="5"/>
  <c r="J73" i="5"/>
  <c r="H73" i="5"/>
  <c r="F71" i="5"/>
  <c r="E71" i="5"/>
  <c r="D71" i="5"/>
  <c r="G71" i="5"/>
  <c r="L71" i="5"/>
  <c r="M71" i="5"/>
  <c r="K71" i="5"/>
  <c r="J71" i="5"/>
  <c r="I71" i="5"/>
  <c r="H71" i="5"/>
  <c r="M70" i="5"/>
  <c r="L70" i="5"/>
  <c r="K70" i="5"/>
  <c r="J70" i="5"/>
  <c r="I70" i="5"/>
  <c r="H70" i="5"/>
  <c r="G70" i="5"/>
  <c r="F70" i="5"/>
  <c r="E70" i="5"/>
  <c r="D70" i="5"/>
  <c r="E69" i="5"/>
  <c r="F69" i="5"/>
  <c r="G69" i="5"/>
  <c r="H69" i="5"/>
  <c r="I69" i="5"/>
  <c r="J69" i="5"/>
  <c r="M69" i="5"/>
  <c r="K69" i="5"/>
  <c r="L69" i="5"/>
  <c r="D69" i="5"/>
  <c r="N69" i="5" s="1"/>
  <c r="D68" i="5"/>
  <c r="E68" i="5"/>
  <c r="G68" i="5"/>
  <c r="H68" i="5"/>
  <c r="I68" i="5"/>
  <c r="J68" i="5"/>
  <c r="K68" i="5"/>
  <c r="L68" i="5"/>
  <c r="M68" i="5"/>
  <c r="F68" i="5"/>
  <c r="D67" i="5"/>
  <c r="E67" i="5"/>
  <c r="F67" i="5"/>
  <c r="G67" i="5"/>
  <c r="M67" i="5"/>
  <c r="L67" i="5"/>
  <c r="K67" i="5"/>
  <c r="J67" i="5"/>
  <c r="I67" i="5"/>
  <c r="H67" i="5"/>
  <c r="M66" i="5"/>
  <c r="K66" i="5"/>
  <c r="L66" i="5"/>
  <c r="J66" i="5"/>
  <c r="I66" i="5"/>
  <c r="H66" i="5"/>
  <c r="G66" i="5"/>
  <c r="F66" i="5"/>
  <c r="E66" i="5"/>
  <c r="D66" i="5"/>
  <c r="N66" i="5" s="1"/>
  <c r="M65" i="5"/>
  <c r="L65" i="5"/>
  <c r="D65" i="5"/>
  <c r="E65" i="5"/>
  <c r="F65" i="5"/>
  <c r="G65" i="5"/>
  <c r="H65" i="5"/>
  <c r="I65" i="5"/>
  <c r="K65" i="5"/>
  <c r="J65" i="5"/>
  <c r="I64" i="5"/>
  <c r="J64" i="5"/>
  <c r="K64" i="5"/>
  <c r="M64" i="5"/>
  <c r="E64" i="5"/>
  <c r="D64" i="5"/>
  <c r="F64" i="5"/>
  <c r="G64" i="5"/>
  <c r="H64" i="5"/>
  <c r="L64" i="5"/>
  <c r="E63" i="5"/>
  <c r="D63" i="5"/>
  <c r="M63" i="5"/>
  <c r="L63" i="5"/>
  <c r="K63" i="5"/>
  <c r="J63" i="5"/>
  <c r="I63" i="5"/>
  <c r="H63" i="5"/>
  <c r="G63" i="5"/>
  <c r="F63" i="5"/>
  <c r="H62" i="5"/>
  <c r="M62" i="5"/>
  <c r="F62" i="5"/>
  <c r="E62" i="5"/>
  <c r="G62" i="5"/>
  <c r="D62" i="5"/>
  <c r="L62" i="5"/>
  <c r="K62" i="5"/>
  <c r="J62" i="5"/>
  <c r="I62" i="5"/>
  <c r="I61" i="5"/>
  <c r="J61" i="5"/>
  <c r="K61" i="5"/>
  <c r="L61" i="5"/>
  <c r="M61" i="5"/>
  <c r="D61" i="5"/>
  <c r="E61" i="5"/>
  <c r="F61" i="5"/>
  <c r="G61" i="5"/>
  <c r="H61" i="5"/>
  <c r="H60" i="5"/>
  <c r="J60" i="5"/>
  <c r="I60" i="5"/>
  <c r="F60" i="5"/>
  <c r="G60" i="5"/>
  <c r="E60" i="5"/>
  <c r="M60" i="5"/>
  <c r="K60" i="5"/>
  <c r="D60" i="5"/>
  <c r="N60" i="5" s="1"/>
  <c r="K59" i="5"/>
  <c r="J59" i="5"/>
  <c r="I59" i="5"/>
  <c r="H59" i="5"/>
  <c r="G59" i="5"/>
  <c r="F59" i="5"/>
  <c r="E59" i="5"/>
  <c r="D59" i="5"/>
  <c r="L59" i="5"/>
  <c r="M59" i="5"/>
  <c r="L58" i="5"/>
  <c r="M58" i="5"/>
  <c r="D58" i="5"/>
  <c r="G58" i="5"/>
  <c r="I58" i="5"/>
  <c r="J58" i="5"/>
  <c r="E58" i="5"/>
  <c r="F58" i="5"/>
  <c r="K58" i="5"/>
  <c r="H58" i="5"/>
  <c r="L57" i="5"/>
  <c r="K57" i="5"/>
  <c r="J57" i="5"/>
  <c r="I57" i="5"/>
  <c r="H57" i="5"/>
  <c r="F57" i="5"/>
  <c r="E57" i="5"/>
  <c r="D57" i="5"/>
  <c r="M57" i="5"/>
  <c r="G57" i="5"/>
  <c r="Q56" i="5"/>
  <c r="O90" i="5"/>
  <c r="M55" i="5"/>
  <c r="L55" i="5"/>
  <c r="K54" i="5"/>
  <c r="L54" i="5"/>
  <c r="M54" i="5"/>
  <c r="D54" i="5"/>
  <c r="E54" i="5"/>
  <c r="F54" i="5"/>
  <c r="G54" i="5"/>
  <c r="H54" i="5"/>
  <c r="I54" i="5"/>
  <c r="J54" i="5"/>
  <c r="L53" i="5"/>
  <c r="K53" i="5"/>
  <c r="G53" i="5"/>
  <c r="F53" i="5"/>
  <c r="E53" i="5"/>
  <c r="M53" i="5"/>
  <c r="J53" i="5"/>
  <c r="I53" i="5"/>
  <c r="H53" i="5"/>
  <c r="D53" i="5"/>
  <c r="N53" i="5" s="1"/>
  <c r="D52" i="5"/>
  <c r="E52" i="5"/>
  <c r="F52" i="5"/>
  <c r="G52" i="5"/>
  <c r="H52" i="5"/>
  <c r="I52" i="5"/>
  <c r="J52" i="5"/>
  <c r="K52" i="5"/>
  <c r="L52" i="5"/>
  <c r="M52" i="5"/>
  <c r="D42" i="5"/>
  <c r="E42" i="5"/>
  <c r="F42" i="5"/>
  <c r="G42" i="5"/>
  <c r="H42" i="5"/>
  <c r="J42" i="5"/>
  <c r="K42" i="5"/>
  <c r="L42" i="5"/>
  <c r="M42" i="5"/>
  <c r="I42" i="5"/>
  <c r="D41" i="5"/>
  <c r="F41" i="5"/>
  <c r="E41" i="5"/>
  <c r="M41" i="5"/>
  <c r="L41" i="5"/>
  <c r="K41" i="5"/>
  <c r="J41" i="5"/>
  <c r="I41" i="5"/>
  <c r="H41" i="5"/>
  <c r="G41" i="5"/>
  <c r="D40" i="5"/>
  <c r="L40" i="5"/>
  <c r="K40" i="5"/>
  <c r="J40" i="5"/>
  <c r="I40" i="5"/>
  <c r="H40" i="5"/>
  <c r="G40" i="5"/>
  <c r="F40" i="5"/>
  <c r="E40" i="5"/>
  <c r="M40" i="5"/>
  <c r="F39" i="5"/>
  <c r="G39" i="5"/>
  <c r="H39" i="5"/>
  <c r="I39" i="5"/>
  <c r="J39" i="5"/>
  <c r="K39" i="5"/>
  <c r="L39" i="5"/>
  <c r="M39" i="5"/>
  <c r="D39" i="5"/>
  <c r="E39" i="5"/>
  <c r="D38" i="5"/>
  <c r="E38" i="5"/>
  <c r="F38" i="5"/>
  <c r="G38" i="5"/>
  <c r="H38" i="5"/>
  <c r="I38" i="5"/>
  <c r="J38" i="5"/>
  <c r="K38" i="5"/>
  <c r="L38" i="5"/>
  <c r="M38" i="5"/>
  <c r="E37" i="5"/>
  <c r="F37" i="5"/>
  <c r="G37" i="5"/>
  <c r="H37" i="5"/>
  <c r="I37" i="5"/>
  <c r="J37" i="5"/>
  <c r="L37" i="5"/>
  <c r="M37" i="5"/>
  <c r="K37" i="5"/>
  <c r="D37" i="5"/>
  <c r="N37" i="5" s="1"/>
  <c r="J36" i="5"/>
  <c r="L36" i="5"/>
  <c r="D36" i="5"/>
  <c r="E36" i="5"/>
  <c r="F36" i="5"/>
  <c r="G36" i="5"/>
  <c r="H36" i="5"/>
  <c r="I36" i="5"/>
  <c r="K36" i="5"/>
  <c r="M36" i="5"/>
  <c r="M35" i="5"/>
  <c r="E35" i="5"/>
  <c r="J35" i="5"/>
  <c r="F35" i="5"/>
  <c r="G35" i="5"/>
  <c r="I35" i="5"/>
  <c r="H35" i="5"/>
  <c r="K35" i="5"/>
  <c r="D35" i="5"/>
  <c r="L35" i="5"/>
  <c r="F34" i="5"/>
  <c r="G34" i="5"/>
  <c r="H34" i="5"/>
  <c r="I34" i="5"/>
  <c r="J34" i="5"/>
  <c r="K34" i="5"/>
  <c r="M34" i="5"/>
  <c r="E34" i="5"/>
  <c r="L34" i="5"/>
  <c r="D34" i="5"/>
  <c r="E33" i="5"/>
  <c r="M33" i="5"/>
  <c r="L33" i="5"/>
  <c r="K33" i="5"/>
  <c r="J33" i="5"/>
  <c r="I33" i="5"/>
  <c r="H33" i="5"/>
  <c r="G33" i="5"/>
  <c r="F33" i="5"/>
  <c r="D33" i="5"/>
  <c r="N33" i="5" s="1"/>
  <c r="M32" i="5"/>
  <c r="L32" i="5"/>
  <c r="K32" i="5"/>
  <c r="J32" i="5"/>
  <c r="I32" i="5"/>
  <c r="F31" i="5"/>
  <c r="G31" i="5"/>
  <c r="H31" i="5"/>
  <c r="I31" i="5"/>
  <c r="J31" i="5"/>
  <c r="K31" i="5"/>
  <c r="L31" i="5"/>
  <c r="M31" i="5"/>
  <c r="D31" i="5"/>
  <c r="E31" i="5"/>
  <c r="L30" i="5"/>
  <c r="M30" i="5"/>
  <c r="G30" i="5"/>
  <c r="D30" i="5"/>
  <c r="E30" i="5"/>
  <c r="F30" i="5"/>
  <c r="H30" i="5"/>
  <c r="I30" i="5"/>
  <c r="J30" i="5"/>
  <c r="K30" i="5"/>
  <c r="F29" i="5"/>
  <c r="G29" i="5"/>
  <c r="H29" i="5"/>
  <c r="I29" i="5"/>
  <c r="J29" i="5"/>
  <c r="K29" i="5"/>
  <c r="L29" i="5"/>
  <c r="M29" i="5"/>
  <c r="D29" i="5"/>
  <c r="E29" i="5"/>
  <c r="L28" i="5"/>
  <c r="M28" i="5"/>
  <c r="K28" i="5"/>
  <c r="D28" i="5"/>
  <c r="E28" i="5"/>
  <c r="F28" i="5"/>
  <c r="G28" i="5"/>
  <c r="H28" i="5"/>
  <c r="J28" i="5"/>
  <c r="I28" i="5"/>
  <c r="L27" i="5"/>
  <c r="M27" i="5"/>
  <c r="D27" i="5"/>
  <c r="E27" i="5"/>
  <c r="F27" i="5"/>
  <c r="G27" i="5"/>
  <c r="H27" i="5"/>
  <c r="I27" i="5"/>
  <c r="J27" i="5"/>
  <c r="K27" i="5"/>
  <c r="L26" i="5"/>
  <c r="K26" i="5"/>
  <c r="I26" i="5"/>
  <c r="H26" i="5"/>
  <c r="G26" i="5"/>
  <c r="F26" i="5"/>
  <c r="J26" i="5"/>
  <c r="D26" i="5"/>
  <c r="E26" i="5"/>
  <c r="M26" i="5"/>
  <c r="L25" i="5"/>
  <c r="M25" i="5"/>
  <c r="K25" i="5"/>
  <c r="J25" i="5"/>
  <c r="I25" i="5"/>
  <c r="H25" i="5"/>
  <c r="G25" i="5"/>
  <c r="F25" i="5"/>
  <c r="E25" i="5"/>
  <c r="D25" i="5"/>
  <c r="N25" i="5" s="1"/>
  <c r="M24" i="5"/>
  <c r="L24" i="5"/>
  <c r="J24" i="5"/>
  <c r="I24" i="5"/>
  <c r="G24" i="5"/>
  <c r="E24" i="5"/>
  <c r="K24" i="5"/>
  <c r="H24" i="5"/>
  <c r="F24" i="5"/>
  <c r="D24" i="5"/>
  <c r="L23" i="5"/>
  <c r="K23" i="5"/>
  <c r="I23" i="5"/>
  <c r="G23" i="5"/>
  <c r="E23" i="5"/>
  <c r="D23" i="5"/>
  <c r="M23" i="5"/>
  <c r="J23" i="5"/>
  <c r="H23" i="5"/>
  <c r="F23" i="5"/>
  <c r="L22" i="5"/>
  <c r="H22" i="5"/>
  <c r="M22" i="5"/>
  <c r="J22" i="5"/>
  <c r="G22" i="5"/>
  <c r="F22" i="5"/>
  <c r="D22" i="5"/>
  <c r="K22" i="5"/>
  <c r="I22" i="5"/>
  <c r="E22" i="5"/>
  <c r="J21" i="5"/>
  <c r="H21" i="5"/>
  <c r="F21" i="5"/>
  <c r="D21" i="5"/>
  <c r="M21" i="5"/>
  <c r="K21" i="5"/>
  <c r="I21" i="5"/>
  <c r="G21" i="5"/>
  <c r="L21" i="5"/>
  <c r="E21" i="5"/>
  <c r="M20" i="5"/>
  <c r="J20" i="5"/>
  <c r="G20" i="5"/>
  <c r="D20" i="5"/>
  <c r="L20" i="5"/>
  <c r="I20" i="5"/>
  <c r="F20" i="5"/>
  <c r="E20" i="5"/>
  <c r="K20" i="5"/>
  <c r="H20" i="5"/>
  <c r="M19" i="5"/>
  <c r="I19" i="5"/>
  <c r="F19" i="5"/>
  <c r="D19" i="5"/>
  <c r="K19" i="5"/>
  <c r="H19" i="5"/>
  <c r="E19" i="5"/>
  <c r="L19" i="5"/>
  <c r="J19" i="5"/>
  <c r="G19" i="5"/>
  <c r="M18" i="5"/>
  <c r="K18" i="5"/>
  <c r="H18" i="5"/>
  <c r="E18" i="5"/>
  <c r="J18" i="5"/>
  <c r="L18" i="5"/>
  <c r="I18" i="5"/>
  <c r="G18" i="5"/>
  <c r="F18" i="5"/>
  <c r="D18" i="5"/>
  <c r="M17" i="5"/>
  <c r="J17" i="5"/>
  <c r="I17" i="5"/>
  <c r="E17" i="5"/>
  <c r="L17" i="5"/>
  <c r="K17" i="5"/>
  <c r="H17" i="5"/>
  <c r="G17" i="5"/>
  <c r="F17" i="5"/>
  <c r="D17" i="5"/>
  <c r="N17" i="5" s="1"/>
  <c r="L16" i="5"/>
  <c r="J16" i="5"/>
  <c r="I16" i="5"/>
  <c r="G16" i="5"/>
  <c r="F16" i="5"/>
  <c r="D16" i="5"/>
  <c r="M16" i="5"/>
  <c r="K16" i="5"/>
  <c r="H16" i="5"/>
  <c r="E16" i="5"/>
  <c r="F15" i="5"/>
  <c r="G15" i="5"/>
  <c r="H15" i="5"/>
  <c r="I15" i="5"/>
  <c r="J15" i="5"/>
  <c r="K15" i="5"/>
  <c r="M15" i="5"/>
  <c r="L15" i="5"/>
  <c r="D14" i="5"/>
  <c r="E14" i="5"/>
  <c r="F14" i="5"/>
  <c r="G14" i="5"/>
  <c r="H14" i="5"/>
  <c r="I14" i="5"/>
  <c r="J14" i="5"/>
  <c r="L14" i="5"/>
  <c r="M14" i="5"/>
  <c r="K14" i="5"/>
  <c r="H13" i="5"/>
  <c r="F13" i="5"/>
  <c r="E13" i="5"/>
  <c r="D13" i="5"/>
  <c r="G13" i="5"/>
  <c r="L13" i="5"/>
  <c r="M13" i="5"/>
  <c r="K13" i="5"/>
  <c r="J13" i="5"/>
  <c r="I13" i="5"/>
  <c r="M12" i="5"/>
  <c r="H12" i="5"/>
  <c r="D12" i="5"/>
  <c r="L12" i="5"/>
  <c r="K12" i="5"/>
  <c r="J12" i="5"/>
  <c r="I12" i="5"/>
  <c r="G12" i="5"/>
  <c r="F12" i="5"/>
  <c r="E12" i="5"/>
  <c r="E11" i="5"/>
  <c r="F11" i="5"/>
  <c r="G11" i="5"/>
  <c r="H11" i="5"/>
  <c r="I11" i="5"/>
  <c r="J11" i="5"/>
  <c r="K11" i="5"/>
  <c r="L11" i="5"/>
  <c r="D11" i="5"/>
  <c r="M11" i="5"/>
  <c r="D10" i="5"/>
  <c r="E10" i="5"/>
  <c r="F10" i="5"/>
  <c r="H10" i="5"/>
  <c r="I10" i="5"/>
  <c r="J10" i="5"/>
  <c r="L10" i="5"/>
  <c r="G10" i="5"/>
  <c r="M10" i="5"/>
  <c r="K10" i="5"/>
  <c r="H9" i="5"/>
  <c r="I9" i="5"/>
  <c r="J9" i="5"/>
  <c r="K9" i="5"/>
  <c r="L9" i="5"/>
  <c r="M9" i="5"/>
  <c r="D9" i="5"/>
  <c r="E9" i="5"/>
  <c r="F9" i="5"/>
  <c r="G9" i="5"/>
  <c r="E8" i="5"/>
  <c r="D8" i="5"/>
  <c r="I8" i="5"/>
  <c r="J8" i="5"/>
  <c r="F8" i="5"/>
  <c r="G8" i="5"/>
  <c r="H8" i="5"/>
  <c r="M8" i="5"/>
  <c r="L8" i="5"/>
  <c r="K8" i="5"/>
  <c r="M7" i="5"/>
  <c r="L7" i="5"/>
  <c r="J6" i="5"/>
  <c r="D6" i="5"/>
  <c r="E6" i="5"/>
  <c r="F6" i="5"/>
  <c r="G6" i="5"/>
  <c r="H6" i="5"/>
  <c r="I6" i="5"/>
  <c r="K6" i="5"/>
  <c r="L6" i="5"/>
  <c r="M6" i="5"/>
  <c r="I5" i="5"/>
  <c r="K5" i="5"/>
  <c r="L5" i="5"/>
  <c r="M5" i="5"/>
  <c r="J5" i="5"/>
  <c r="H5" i="5"/>
  <c r="E5" i="5"/>
  <c r="F5" i="5"/>
  <c r="G5" i="5"/>
  <c r="D5" i="5"/>
  <c r="R39" i="3"/>
  <c r="Q39" i="3"/>
  <c r="P39" i="3"/>
  <c r="O39" i="3"/>
  <c r="N39" i="3"/>
  <c r="M39" i="3"/>
  <c r="L39" i="3"/>
  <c r="K39" i="3"/>
  <c r="J39" i="3"/>
  <c r="I39" i="3"/>
  <c r="H39" i="3"/>
  <c r="R38" i="3"/>
  <c r="Q38" i="3"/>
  <c r="P38" i="3"/>
  <c r="O38" i="3"/>
  <c r="N38" i="3"/>
  <c r="M38" i="3"/>
  <c r="L38" i="3"/>
  <c r="K38" i="3"/>
  <c r="J38" i="3"/>
  <c r="I38" i="3"/>
  <c r="H38" i="3"/>
  <c r="R37" i="3"/>
  <c r="Q37" i="3"/>
  <c r="P37" i="3"/>
  <c r="O37" i="3"/>
  <c r="N37" i="3"/>
  <c r="M37" i="3"/>
  <c r="L37" i="3"/>
  <c r="K37" i="3"/>
  <c r="J37" i="3"/>
  <c r="I37" i="3"/>
  <c r="H37" i="3"/>
  <c r="R36" i="3"/>
  <c r="Q36" i="3"/>
  <c r="P36" i="3"/>
  <c r="O36" i="3"/>
  <c r="N36" i="3"/>
  <c r="M36" i="3"/>
  <c r="L36" i="3"/>
  <c r="K36" i="3"/>
  <c r="J36" i="3"/>
  <c r="I36" i="3"/>
  <c r="H36" i="3"/>
  <c r="R35" i="3"/>
  <c r="Q35" i="3"/>
  <c r="P35" i="3"/>
  <c r="O35" i="3"/>
  <c r="N35" i="3"/>
  <c r="M35" i="3"/>
  <c r="L35" i="3"/>
  <c r="K35" i="3"/>
  <c r="J35" i="3"/>
  <c r="I35" i="3"/>
  <c r="H35" i="3"/>
  <c r="R34" i="3"/>
  <c r="Q34" i="3"/>
  <c r="P34" i="3"/>
  <c r="O34" i="3"/>
  <c r="N34" i="3"/>
  <c r="M34" i="3"/>
  <c r="L34" i="3"/>
  <c r="K34" i="3"/>
  <c r="J34" i="3"/>
  <c r="I34" i="3"/>
  <c r="H34" i="3"/>
  <c r="R33" i="3"/>
  <c r="Q33" i="3"/>
  <c r="P33" i="3"/>
  <c r="O33" i="3"/>
  <c r="N33" i="3"/>
  <c r="M33" i="3"/>
  <c r="L33" i="3"/>
  <c r="K33" i="3"/>
  <c r="J33" i="3"/>
  <c r="I33" i="3"/>
  <c r="H33" i="3"/>
  <c r="R32" i="3"/>
  <c r="Q32" i="3"/>
  <c r="P32" i="3"/>
  <c r="O32" i="3"/>
  <c r="N32" i="3"/>
  <c r="M32" i="3"/>
  <c r="L32" i="3"/>
  <c r="K32" i="3"/>
  <c r="J32" i="3"/>
  <c r="I32" i="3"/>
  <c r="H32" i="3"/>
  <c r="R31" i="3"/>
  <c r="Q31" i="3"/>
  <c r="P31" i="3"/>
  <c r="O31" i="3"/>
  <c r="N31" i="3"/>
  <c r="M31" i="3"/>
  <c r="L31" i="3"/>
  <c r="K31" i="3"/>
  <c r="J31" i="3"/>
  <c r="I31" i="3"/>
  <c r="H31" i="3"/>
  <c r="R30" i="3"/>
  <c r="Q30" i="3"/>
  <c r="P30" i="3"/>
  <c r="O30" i="3"/>
  <c r="N30" i="3"/>
  <c r="M30" i="3"/>
  <c r="L30" i="3"/>
  <c r="K30" i="3"/>
  <c r="J30" i="3"/>
  <c r="I30" i="3"/>
  <c r="H30" i="3"/>
  <c r="R28" i="3"/>
  <c r="Q28" i="3"/>
  <c r="P28" i="3"/>
  <c r="O28" i="3"/>
  <c r="N28" i="3"/>
  <c r="M28" i="3"/>
  <c r="L28" i="3"/>
  <c r="K28" i="3"/>
  <c r="J28" i="3"/>
  <c r="I28" i="3"/>
  <c r="H28" i="3"/>
  <c r="R27" i="3"/>
  <c r="Q27" i="3"/>
  <c r="P27" i="3"/>
  <c r="O27" i="3"/>
  <c r="N27" i="3"/>
  <c r="M27" i="3"/>
  <c r="L27" i="3"/>
  <c r="K27" i="3"/>
  <c r="J27" i="3"/>
  <c r="I27" i="3"/>
  <c r="H27" i="3"/>
  <c r="R26" i="3"/>
  <c r="Q26" i="3"/>
  <c r="P26" i="3"/>
  <c r="O26" i="3"/>
  <c r="N26" i="3"/>
  <c r="M26" i="3"/>
  <c r="L26" i="3"/>
  <c r="K26" i="3"/>
  <c r="J26" i="3"/>
  <c r="I26" i="3"/>
  <c r="H26" i="3"/>
  <c r="R25" i="3"/>
  <c r="Q25" i="3"/>
  <c r="P25" i="3"/>
  <c r="O25" i="3"/>
  <c r="N25" i="3"/>
  <c r="M25" i="3"/>
  <c r="L25" i="3"/>
  <c r="K25" i="3"/>
  <c r="J25" i="3"/>
  <c r="I25" i="3"/>
  <c r="H25" i="3"/>
  <c r="R24" i="3"/>
  <c r="Q24" i="3"/>
  <c r="P24" i="3"/>
  <c r="O24" i="3"/>
  <c r="N24" i="3"/>
  <c r="M24" i="3"/>
  <c r="L24" i="3"/>
  <c r="K24" i="3"/>
  <c r="J24" i="3"/>
  <c r="I24" i="3"/>
  <c r="H24" i="3"/>
  <c r="R23" i="3"/>
  <c r="Q23" i="3"/>
  <c r="P23" i="3"/>
  <c r="O23" i="3"/>
  <c r="N23" i="3"/>
  <c r="M23" i="3"/>
  <c r="L23" i="3"/>
  <c r="K23" i="3"/>
  <c r="J23" i="3"/>
  <c r="I23" i="3"/>
  <c r="H23" i="3"/>
  <c r="R22" i="3"/>
  <c r="Q22" i="3"/>
  <c r="P22" i="3"/>
  <c r="O22" i="3"/>
  <c r="N22" i="3"/>
  <c r="M22" i="3"/>
  <c r="L22" i="3"/>
  <c r="K22" i="3"/>
  <c r="J22" i="3"/>
  <c r="I22" i="3"/>
  <c r="H22" i="3"/>
  <c r="R21" i="3"/>
  <c r="Q21" i="3"/>
  <c r="P21" i="3"/>
  <c r="O21" i="3"/>
  <c r="N21" i="3"/>
  <c r="M21" i="3"/>
  <c r="L21" i="3"/>
  <c r="K21" i="3"/>
  <c r="J21" i="3"/>
  <c r="I21" i="3"/>
  <c r="H21" i="3"/>
  <c r="R20" i="3"/>
  <c r="Q20" i="3"/>
  <c r="P20" i="3"/>
  <c r="O20" i="3"/>
  <c r="N20" i="3"/>
  <c r="M20" i="3"/>
  <c r="L20" i="3"/>
  <c r="K20" i="3"/>
  <c r="J20" i="3"/>
  <c r="I20" i="3"/>
  <c r="H20" i="3"/>
  <c r="R19" i="3"/>
  <c r="Q19" i="3"/>
  <c r="P19" i="3"/>
  <c r="O19" i="3"/>
  <c r="N19" i="3"/>
  <c r="M19" i="3"/>
  <c r="L19" i="3"/>
  <c r="K19" i="3"/>
  <c r="J19" i="3"/>
  <c r="I19" i="3"/>
  <c r="H19" i="3"/>
  <c r="R18" i="3"/>
  <c r="Q18" i="3"/>
  <c r="P18" i="3"/>
  <c r="O18" i="3"/>
  <c r="N18" i="3"/>
  <c r="M18" i="3"/>
  <c r="L18" i="3"/>
  <c r="K18" i="3"/>
  <c r="J18" i="3"/>
  <c r="I18" i="3"/>
  <c r="H18" i="3"/>
  <c r="R17" i="3"/>
  <c r="Q17" i="3"/>
  <c r="P17" i="3"/>
  <c r="O17" i="3"/>
  <c r="N17" i="3"/>
  <c r="M17" i="3"/>
  <c r="L17" i="3"/>
  <c r="K17" i="3"/>
  <c r="J17" i="3"/>
  <c r="I17" i="3"/>
  <c r="H17" i="3"/>
  <c r="R16" i="3"/>
  <c r="Q16" i="3"/>
  <c r="P16" i="3"/>
  <c r="O16" i="3"/>
  <c r="N16" i="3"/>
  <c r="M16" i="3"/>
  <c r="L16" i="3"/>
  <c r="K16" i="3"/>
  <c r="J16" i="3"/>
  <c r="I16" i="3"/>
  <c r="H16" i="3"/>
  <c r="R15" i="3"/>
  <c r="Q15" i="3"/>
  <c r="P15" i="3"/>
  <c r="O15" i="3"/>
  <c r="N15" i="3"/>
  <c r="M15" i="3"/>
  <c r="L15" i="3"/>
  <c r="K15" i="3"/>
  <c r="J15" i="3"/>
  <c r="I15" i="3"/>
  <c r="H15" i="3"/>
  <c r="R14" i="3"/>
  <c r="Q14" i="3"/>
  <c r="P14" i="3"/>
  <c r="O14" i="3"/>
  <c r="N14" i="3"/>
  <c r="M14" i="3"/>
  <c r="L14" i="3"/>
  <c r="K14" i="3"/>
  <c r="J14" i="3"/>
  <c r="I14" i="3"/>
  <c r="H14" i="3"/>
  <c r="R13" i="3"/>
  <c r="Q13" i="3"/>
  <c r="P13" i="3"/>
  <c r="O13" i="3"/>
  <c r="N13" i="3"/>
  <c r="M13" i="3"/>
  <c r="L13" i="3"/>
  <c r="K13" i="3"/>
  <c r="J13" i="3"/>
  <c r="I13" i="3"/>
  <c r="H13" i="3"/>
  <c r="R12" i="3"/>
  <c r="Q12" i="3"/>
  <c r="P12" i="3"/>
  <c r="O12" i="3"/>
  <c r="N12" i="3"/>
  <c r="M12" i="3"/>
  <c r="L12" i="3"/>
  <c r="K12" i="3"/>
  <c r="J12" i="3"/>
  <c r="I12" i="3"/>
  <c r="H12" i="3"/>
  <c r="R11" i="3"/>
  <c r="Q11" i="3"/>
  <c r="P11" i="3"/>
  <c r="O11" i="3"/>
  <c r="N11" i="3"/>
  <c r="M11" i="3"/>
  <c r="L11" i="3"/>
  <c r="K11" i="3"/>
  <c r="J11" i="3"/>
  <c r="I11" i="3"/>
  <c r="H11" i="3"/>
  <c r="R10" i="3"/>
  <c r="Q10" i="3"/>
  <c r="P10" i="3"/>
  <c r="O10" i="3"/>
  <c r="N10" i="3"/>
  <c r="M10" i="3"/>
  <c r="L10" i="3"/>
  <c r="K10" i="3"/>
  <c r="J10" i="3"/>
  <c r="I10" i="3"/>
  <c r="H10" i="3"/>
  <c r="R9" i="3"/>
  <c r="Q9" i="3"/>
  <c r="P9" i="3"/>
  <c r="O9" i="3"/>
  <c r="N9" i="3"/>
  <c r="M9" i="3"/>
  <c r="L9" i="3"/>
  <c r="K9" i="3"/>
  <c r="J9" i="3"/>
  <c r="I9" i="3"/>
  <c r="H9" i="3"/>
  <c r="R8" i="3"/>
  <c r="Q8" i="3"/>
  <c r="P8" i="3"/>
  <c r="O8" i="3"/>
  <c r="N8" i="3"/>
  <c r="M8" i="3"/>
  <c r="L8" i="3"/>
  <c r="K8" i="3"/>
  <c r="J8" i="3"/>
  <c r="I8" i="3"/>
  <c r="H8" i="3"/>
  <c r="R7" i="3"/>
  <c r="Q7" i="3"/>
  <c r="P7" i="3"/>
  <c r="O7" i="3"/>
  <c r="N7" i="3"/>
  <c r="M7" i="3"/>
  <c r="L7" i="3"/>
  <c r="K7" i="3"/>
  <c r="J7" i="3"/>
  <c r="I7" i="3"/>
  <c r="H7" i="3"/>
  <c r="R6" i="3"/>
  <c r="Q6" i="3"/>
  <c r="P6" i="3"/>
  <c r="O6" i="3"/>
  <c r="N6" i="3"/>
  <c r="M6" i="3"/>
  <c r="L6" i="3"/>
  <c r="K6" i="3"/>
  <c r="J6" i="3"/>
  <c r="I6" i="3"/>
  <c r="H6" i="3"/>
  <c r="R5" i="3"/>
  <c r="Q5" i="3"/>
  <c r="P5" i="3"/>
  <c r="O5" i="3"/>
  <c r="N5" i="3"/>
  <c r="M5" i="3"/>
  <c r="L5" i="3"/>
  <c r="K5" i="3"/>
  <c r="J5" i="3"/>
  <c r="I5" i="3"/>
  <c r="H5" i="3"/>
  <c r="R4" i="3"/>
  <c r="Q4" i="3"/>
  <c r="P4" i="3"/>
  <c r="O4" i="3"/>
  <c r="N4" i="3"/>
  <c r="M4" i="3"/>
  <c r="L4" i="3"/>
  <c r="K4" i="3"/>
  <c r="J4" i="3"/>
  <c r="I4" i="3"/>
  <c r="H4" i="3"/>
  <c r="R41" i="2"/>
  <c r="Q41" i="2"/>
  <c r="P41" i="2"/>
  <c r="O41" i="2"/>
  <c r="N41" i="2"/>
  <c r="M41" i="2"/>
  <c r="L41" i="2"/>
  <c r="K41" i="2"/>
  <c r="J41" i="2"/>
  <c r="I41" i="2"/>
  <c r="H41" i="2"/>
  <c r="R40" i="2"/>
  <c r="Q40" i="2"/>
  <c r="P40" i="2"/>
  <c r="O40" i="2"/>
  <c r="N40" i="2"/>
  <c r="M40" i="2"/>
  <c r="L40" i="2"/>
  <c r="K40" i="2"/>
  <c r="J40" i="2"/>
  <c r="I40" i="2"/>
  <c r="H40" i="2"/>
  <c r="R39" i="2"/>
  <c r="Q39" i="2"/>
  <c r="P39" i="2"/>
  <c r="O39" i="2"/>
  <c r="N39" i="2"/>
  <c r="M39" i="2"/>
  <c r="L39" i="2"/>
  <c r="K39" i="2"/>
  <c r="J39" i="2"/>
  <c r="I39" i="2"/>
  <c r="H39" i="2"/>
  <c r="R38" i="2"/>
  <c r="Q38" i="2"/>
  <c r="P38" i="2"/>
  <c r="O38" i="2"/>
  <c r="N38" i="2"/>
  <c r="M38" i="2"/>
  <c r="L38" i="2"/>
  <c r="K38" i="2"/>
  <c r="J38" i="2"/>
  <c r="I38" i="2"/>
  <c r="H38" i="2"/>
  <c r="R37" i="2"/>
  <c r="Q37" i="2"/>
  <c r="P37" i="2"/>
  <c r="O37" i="2"/>
  <c r="N37" i="2"/>
  <c r="M37" i="2"/>
  <c r="L37" i="2"/>
  <c r="K37" i="2"/>
  <c r="J37" i="2"/>
  <c r="I37" i="2"/>
  <c r="H37" i="2"/>
  <c r="R36" i="2"/>
  <c r="Q36" i="2"/>
  <c r="P36" i="2"/>
  <c r="O36" i="2"/>
  <c r="N36" i="2"/>
  <c r="M36" i="2"/>
  <c r="L36" i="2"/>
  <c r="K36" i="2"/>
  <c r="J36" i="2"/>
  <c r="I36" i="2"/>
  <c r="H36" i="2"/>
  <c r="R35" i="2"/>
  <c r="Q35" i="2"/>
  <c r="P35" i="2"/>
  <c r="O35" i="2"/>
  <c r="N35" i="2"/>
  <c r="M35" i="2"/>
  <c r="L35" i="2"/>
  <c r="K35" i="2"/>
  <c r="J35" i="2"/>
  <c r="I35" i="2"/>
  <c r="H35" i="2"/>
  <c r="R34" i="2"/>
  <c r="Q34" i="2"/>
  <c r="P34" i="2"/>
  <c r="O34" i="2"/>
  <c r="N34" i="2"/>
  <c r="M34" i="2"/>
  <c r="L34" i="2"/>
  <c r="K34" i="2"/>
  <c r="J34" i="2"/>
  <c r="I34" i="2"/>
  <c r="H34" i="2"/>
  <c r="R33" i="2"/>
  <c r="Q33" i="2"/>
  <c r="P33" i="2"/>
  <c r="O33" i="2"/>
  <c r="N33" i="2"/>
  <c r="M33" i="2"/>
  <c r="L33" i="2"/>
  <c r="K33" i="2"/>
  <c r="J33" i="2"/>
  <c r="I33" i="2"/>
  <c r="H33" i="2"/>
  <c r="R32" i="2"/>
  <c r="Q32" i="2"/>
  <c r="P32" i="2"/>
  <c r="O32" i="2"/>
  <c r="N32" i="2"/>
  <c r="M32" i="2"/>
  <c r="L32" i="2"/>
  <c r="K32" i="2"/>
  <c r="J32" i="2"/>
  <c r="I32" i="2"/>
  <c r="H32" i="2"/>
  <c r="R30" i="2"/>
  <c r="Q30" i="2"/>
  <c r="P30" i="2"/>
  <c r="O30" i="2"/>
  <c r="N30" i="2"/>
  <c r="M30" i="2"/>
  <c r="L30" i="2"/>
  <c r="K30" i="2"/>
  <c r="J30" i="2"/>
  <c r="I30" i="2"/>
  <c r="H30" i="2"/>
  <c r="R29" i="2"/>
  <c r="Q29" i="2"/>
  <c r="P29" i="2"/>
  <c r="O29" i="2"/>
  <c r="N29" i="2"/>
  <c r="M29" i="2"/>
  <c r="L29" i="2"/>
  <c r="K29" i="2"/>
  <c r="J29" i="2"/>
  <c r="I29" i="2"/>
  <c r="H29" i="2"/>
  <c r="R28" i="2"/>
  <c r="Q28" i="2"/>
  <c r="P28" i="2"/>
  <c r="O28" i="2"/>
  <c r="N28" i="2"/>
  <c r="M28" i="2"/>
  <c r="L28" i="2"/>
  <c r="K28" i="2"/>
  <c r="J28" i="2"/>
  <c r="I28" i="2"/>
  <c r="H28" i="2"/>
  <c r="R27" i="2"/>
  <c r="Q27" i="2"/>
  <c r="P27" i="2"/>
  <c r="O27" i="2"/>
  <c r="N27" i="2"/>
  <c r="M27" i="2"/>
  <c r="L27" i="2"/>
  <c r="K27" i="2"/>
  <c r="J27" i="2"/>
  <c r="I27" i="2"/>
  <c r="H27" i="2"/>
  <c r="R26" i="2"/>
  <c r="Q26" i="2"/>
  <c r="P26" i="2"/>
  <c r="O26" i="2"/>
  <c r="N26" i="2"/>
  <c r="M26" i="2"/>
  <c r="L26" i="2"/>
  <c r="K26" i="2"/>
  <c r="J26" i="2"/>
  <c r="I26" i="2"/>
  <c r="H26" i="2"/>
  <c r="R25" i="2"/>
  <c r="Q25" i="2"/>
  <c r="P25" i="2"/>
  <c r="O25" i="2"/>
  <c r="N25" i="2"/>
  <c r="M25" i="2"/>
  <c r="L25" i="2"/>
  <c r="K25" i="2"/>
  <c r="J25" i="2"/>
  <c r="I25" i="2"/>
  <c r="H25" i="2"/>
  <c r="R24" i="2"/>
  <c r="Q24" i="2"/>
  <c r="P24" i="2"/>
  <c r="O24" i="2"/>
  <c r="N24" i="2"/>
  <c r="M24" i="2"/>
  <c r="L24" i="2"/>
  <c r="K24" i="2"/>
  <c r="J24" i="2"/>
  <c r="I24" i="2"/>
  <c r="H24" i="2"/>
  <c r="R23" i="2"/>
  <c r="Q23" i="2"/>
  <c r="P23" i="2"/>
  <c r="O23" i="2"/>
  <c r="N23" i="2"/>
  <c r="M23" i="2"/>
  <c r="L23" i="2"/>
  <c r="K23" i="2"/>
  <c r="J23" i="2"/>
  <c r="I23" i="2"/>
  <c r="H23" i="2"/>
  <c r="R22" i="2"/>
  <c r="Q22" i="2"/>
  <c r="P22" i="2"/>
  <c r="O22" i="2"/>
  <c r="N22" i="2"/>
  <c r="M22" i="2"/>
  <c r="L22" i="2"/>
  <c r="K22" i="2"/>
  <c r="J22" i="2"/>
  <c r="I22" i="2"/>
  <c r="H22" i="2"/>
  <c r="R21" i="2"/>
  <c r="Q21" i="2"/>
  <c r="P21" i="2"/>
  <c r="O21" i="2"/>
  <c r="N21" i="2"/>
  <c r="M21" i="2"/>
  <c r="L21" i="2"/>
  <c r="K21" i="2"/>
  <c r="J21" i="2"/>
  <c r="I21" i="2"/>
  <c r="H21" i="2"/>
  <c r="R20" i="2"/>
  <c r="Q20" i="2"/>
  <c r="P20" i="2"/>
  <c r="O20" i="2"/>
  <c r="N20" i="2"/>
  <c r="M20" i="2"/>
  <c r="L20" i="2"/>
  <c r="K20" i="2"/>
  <c r="J20" i="2"/>
  <c r="I20" i="2"/>
  <c r="H20" i="2"/>
  <c r="R19" i="2"/>
  <c r="Q19" i="2"/>
  <c r="P19" i="2"/>
  <c r="O19" i="2"/>
  <c r="N19" i="2"/>
  <c r="M19" i="2"/>
  <c r="L19" i="2"/>
  <c r="K19" i="2"/>
  <c r="J19" i="2"/>
  <c r="I19" i="2"/>
  <c r="H19" i="2"/>
  <c r="R18" i="2"/>
  <c r="Q18" i="2"/>
  <c r="P18" i="2"/>
  <c r="O18" i="2"/>
  <c r="N18" i="2"/>
  <c r="M18" i="2"/>
  <c r="L18" i="2"/>
  <c r="K18" i="2"/>
  <c r="J18" i="2"/>
  <c r="I18" i="2"/>
  <c r="H18" i="2"/>
  <c r="R17" i="2"/>
  <c r="Q17" i="2"/>
  <c r="P17" i="2"/>
  <c r="O17" i="2"/>
  <c r="N17" i="2"/>
  <c r="M17" i="2"/>
  <c r="L17" i="2"/>
  <c r="K17" i="2"/>
  <c r="J17" i="2"/>
  <c r="I17" i="2"/>
  <c r="H17" i="2"/>
  <c r="R16" i="2"/>
  <c r="Q16" i="2"/>
  <c r="P16" i="2"/>
  <c r="O16" i="2"/>
  <c r="N16" i="2"/>
  <c r="M16" i="2"/>
  <c r="L16" i="2"/>
  <c r="K16" i="2"/>
  <c r="J16" i="2"/>
  <c r="I16" i="2"/>
  <c r="H16" i="2"/>
  <c r="R15" i="2"/>
  <c r="Q15" i="2"/>
  <c r="P15" i="2"/>
  <c r="O15" i="2"/>
  <c r="N15" i="2"/>
  <c r="M15" i="2"/>
  <c r="L15" i="2"/>
  <c r="K15" i="2"/>
  <c r="J15" i="2"/>
  <c r="I15" i="2"/>
  <c r="H15" i="2"/>
  <c r="R14" i="2"/>
  <c r="Q14" i="2"/>
  <c r="P14" i="2"/>
  <c r="O14" i="2"/>
  <c r="N14" i="2"/>
  <c r="M14" i="2"/>
  <c r="L14" i="2"/>
  <c r="K14" i="2"/>
  <c r="J14" i="2"/>
  <c r="I14" i="2"/>
  <c r="H14" i="2"/>
  <c r="R13" i="2"/>
  <c r="Q13" i="2"/>
  <c r="P13" i="2"/>
  <c r="O13" i="2"/>
  <c r="N13" i="2"/>
  <c r="M13" i="2"/>
  <c r="L13" i="2"/>
  <c r="K13" i="2"/>
  <c r="J13" i="2"/>
  <c r="I13" i="2"/>
  <c r="H13" i="2"/>
  <c r="R12" i="2"/>
  <c r="Q12" i="2"/>
  <c r="P12" i="2"/>
  <c r="O12" i="2"/>
  <c r="N12" i="2"/>
  <c r="M12" i="2"/>
  <c r="L12" i="2"/>
  <c r="K12" i="2"/>
  <c r="J12" i="2"/>
  <c r="I12" i="2"/>
  <c r="R11" i="2"/>
  <c r="Q11" i="2"/>
  <c r="P11" i="2"/>
  <c r="O11" i="2"/>
  <c r="N11" i="2"/>
  <c r="M11" i="2"/>
  <c r="L11" i="2"/>
  <c r="K11" i="2"/>
  <c r="J11" i="2"/>
  <c r="I11" i="2"/>
  <c r="H11" i="2"/>
  <c r="R10" i="2"/>
  <c r="Q10" i="2"/>
  <c r="P10" i="2"/>
  <c r="O10" i="2"/>
  <c r="N10" i="2"/>
  <c r="M10" i="2"/>
  <c r="L10" i="2"/>
  <c r="K10" i="2"/>
  <c r="J10" i="2"/>
  <c r="I10" i="2"/>
  <c r="H10" i="2"/>
  <c r="R9" i="2"/>
  <c r="Q9" i="2"/>
  <c r="P9" i="2"/>
  <c r="O9" i="2"/>
  <c r="N9" i="2"/>
  <c r="M9" i="2"/>
  <c r="L9" i="2"/>
  <c r="K9" i="2"/>
  <c r="J9" i="2"/>
  <c r="I9" i="2"/>
  <c r="H9" i="2"/>
  <c r="R8" i="2"/>
  <c r="Q8" i="2"/>
  <c r="P8" i="2"/>
  <c r="O8" i="2"/>
  <c r="N8" i="2"/>
  <c r="M8" i="2"/>
  <c r="L8" i="2"/>
  <c r="K8" i="2"/>
  <c r="J8" i="2"/>
  <c r="I8" i="2"/>
  <c r="R7" i="2"/>
  <c r="Q7" i="2"/>
  <c r="P7" i="2"/>
  <c r="O7" i="2"/>
  <c r="N7" i="2"/>
  <c r="M7" i="2"/>
  <c r="L7" i="2"/>
  <c r="K7" i="2"/>
  <c r="J7" i="2"/>
  <c r="I7" i="2"/>
  <c r="H7" i="2"/>
  <c r="R6" i="2"/>
  <c r="Q6" i="2"/>
  <c r="P6" i="2"/>
  <c r="O6" i="2"/>
  <c r="N6" i="2"/>
  <c r="M6" i="2"/>
  <c r="L6" i="2"/>
  <c r="K6" i="2"/>
  <c r="J6" i="2"/>
  <c r="I6" i="2"/>
  <c r="H6" i="2"/>
  <c r="R5" i="2"/>
  <c r="Q5" i="2"/>
  <c r="P5" i="2"/>
  <c r="O5" i="2"/>
  <c r="N5" i="2"/>
  <c r="M5" i="2"/>
  <c r="L5" i="2"/>
  <c r="K5" i="2"/>
  <c r="J5" i="2"/>
  <c r="I5" i="2"/>
  <c r="H5" i="2"/>
  <c r="R4" i="2"/>
  <c r="Q4" i="2"/>
  <c r="P4" i="2"/>
  <c r="O4" i="2"/>
  <c r="N4" i="2"/>
  <c r="M4" i="2"/>
  <c r="L4" i="2"/>
  <c r="K4" i="2"/>
  <c r="J4" i="2"/>
  <c r="I4" i="2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39" i="1"/>
  <c r="R40" i="1"/>
  <c r="R41" i="1"/>
  <c r="R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2" i="1"/>
  <c r="Q33" i="1"/>
  <c r="Q34" i="1"/>
  <c r="Q35" i="1"/>
  <c r="Q36" i="1"/>
  <c r="Q37" i="1"/>
  <c r="Q38" i="1"/>
  <c r="Q39" i="1"/>
  <c r="Q40" i="1"/>
  <c r="Q41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5" i="1"/>
  <c r="P36" i="1"/>
  <c r="P37" i="1"/>
  <c r="P38" i="1"/>
  <c r="P39" i="1"/>
  <c r="P40" i="1"/>
  <c r="P41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2" i="1"/>
  <c r="O33" i="1"/>
  <c r="O34" i="1"/>
  <c r="O35" i="1"/>
  <c r="O36" i="1"/>
  <c r="O37" i="1"/>
  <c r="O38" i="1"/>
  <c r="O39" i="1"/>
  <c r="O40" i="1"/>
  <c r="O41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5" i="1"/>
  <c r="M36" i="1"/>
  <c r="M37" i="1"/>
  <c r="M38" i="1"/>
  <c r="M39" i="1"/>
  <c r="M40" i="1"/>
  <c r="M41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2" i="1"/>
  <c r="L33" i="1"/>
  <c r="L34" i="1"/>
  <c r="L35" i="1"/>
  <c r="L36" i="1"/>
  <c r="L37" i="1"/>
  <c r="L38" i="1"/>
  <c r="L39" i="1"/>
  <c r="L40" i="1"/>
  <c r="L41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2" i="1"/>
  <c r="K33" i="1"/>
  <c r="K34" i="1"/>
  <c r="K35" i="1"/>
  <c r="K36" i="1"/>
  <c r="K37" i="1"/>
  <c r="K38" i="1"/>
  <c r="K39" i="1"/>
  <c r="K40" i="1"/>
  <c r="K41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" i="1"/>
  <c r="H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V125" i="8" l="1"/>
  <c r="V124" i="8"/>
  <c r="V123" i="8"/>
  <c r="V122" i="8"/>
  <c r="V121" i="8"/>
  <c r="V120" i="8"/>
  <c r="V119" i="8"/>
  <c r="V118" i="8"/>
  <c r="V117" i="8"/>
  <c r="V116" i="8"/>
  <c r="V115" i="8"/>
  <c r="F25" i="8"/>
  <c r="G25" i="8"/>
  <c r="V110" i="8"/>
  <c r="V109" i="8"/>
  <c r="V107" i="8"/>
  <c r="V106" i="8"/>
  <c r="V105" i="8"/>
  <c r="V104" i="8"/>
  <c r="V103" i="8"/>
  <c r="V102" i="8"/>
  <c r="V101" i="8"/>
  <c r="V100" i="8"/>
  <c r="V108" i="8"/>
  <c r="G18" i="8"/>
  <c r="V88" i="8"/>
  <c r="V87" i="8"/>
  <c r="V86" i="8"/>
  <c r="V85" i="8"/>
  <c r="V95" i="8"/>
  <c r="V94" i="8"/>
  <c r="V93" i="8"/>
  <c r="V92" i="8"/>
  <c r="V91" i="8"/>
  <c r="V90" i="8"/>
  <c r="V89" i="8"/>
  <c r="V80" i="8"/>
  <c r="V79" i="8"/>
  <c r="V78" i="8"/>
  <c r="V77" i="8"/>
  <c r="V76" i="8"/>
  <c r="V75" i="8"/>
  <c r="V74" i="8"/>
  <c r="V73" i="8"/>
  <c r="V72" i="8"/>
  <c r="V71" i="8"/>
  <c r="V70" i="8"/>
  <c r="G16" i="6"/>
  <c r="G17" i="6"/>
  <c r="G15" i="6"/>
  <c r="C5" i="7"/>
  <c r="E5" i="7"/>
  <c r="D5" i="7"/>
  <c r="C14" i="7"/>
  <c r="E51" i="5"/>
  <c r="G51" i="5"/>
  <c r="G91" i="5" s="1"/>
  <c r="F51" i="5"/>
  <c r="Q91" i="5"/>
  <c r="M51" i="5"/>
  <c r="M91" i="5" s="1"/>
  <c r="I51" i="5"/>
  <c r="I91" i="5" s="1"/>
  <c r="D51" i="5"/>
  <c r="K51" i="5"/>
  <c r="K91" i="5" s="1"/>
  <c r="L51" i="5"/>
  <c r="L91" i="5" s="1"/>
  <c r="J51" i="5"/>
  <c r="H51" i="5"/>
  <c r="L4" i="5"/>
  <c r="L46" i="5" s="1"/>
  <c r="Q46" i="5"/>
  <c r="Q48" i="5"/>
  <c r="I4" i="5"/>
  <c r="I94" i="5"/>
  <c r="J94" i="5"/>
  <c r="K94" i="5"/>
  <c r="L94" i="5"/>
  <c r="M94" i="5"/>
  <c r="H94" i="5"/>
  <c r="F44" i="8" s="1"/>
  <c r="F43" i="8" s="1"/>
  <c r="D11" i="8" s="1"/>
  <c r="G94" i="5"/>
  <c r="F94" i="5"/>
  <c r="F36" i="8" s="1"/>
  <c r="E94" i="5"/>
  <c r="F60" i="8" s="1"/>
  <c r="F59" i="8" s="1"/>
  <c r="D25" i="8" s="1"/>
  <c r="D94" i="5"/>
  <c r="Q134" i="5"/>
  <c r="Q136" i="5"/>
  <c r="N115" i="5"/>
  <c r="N126" i="5"/>
  <c r="N34" i="5"/>
  <c r="N18" i="5"/>
  <c r="H4" i="5"/>
  <c r="G4" i="5"/>
  <c r="G47" i="5" s="1"/>
  <c r="F4" i="5"/>
  <c r="D4" i="5"/>
  <c r="M4" i="5"/>
  <c r="M47" i="5" s="1"/>
  <c r="K4" i="5"/>
  <c r="K47" i="5" s="1"/>
  <c r="J4" i="5"/>
  <c r="E4" i="5"/>
  <c r="N130" i="5"/>
  <c r="N24" i="5"/>
  <c r="N120" i="5"/>
  <c r="N98" i="5"/>
  <c r="N55" i="5"/>
  <c r="N125" i="5"/>
  <c r="N61" i="5"/>
  <c r="N114" i="5"/>
  <c r="N72" i="5"/>
  <c r="N35" i="5"/>
  <c r="N86" i="5"/>
  <c r="N70" i="5"/>
  <c r="N22" i="5"/>
  <c r="N16" i="5"/>
  <c r="N7" i="5"/>
  <c r="N116" i="5"/>
  <c r="N5" i="5"/>
  <c r="L56" i="5"/>
  <c r="K56" i="5"/>
  <c r="J56" i="5"/>
  <c r="I56" i="5"/>
  <c r="H56" i="5"/>
  <c r="G56" i="5"/>
  <c r="F56" i="5"/>
  <c r="E56" i="5"/>
  <c r="D56" i="5"/>
  <c r="Q90" i="5"/>
  <c r="M56" i="5"/>
  <c r="N129" i="5"/>
  <c r="N127" i="5"/>
  <c r="N124" i="5"/>
  <c r="N15" i="5"/>
  <c r="N111" i="5"/>
  <c r="N110" i="5"/>
  <c r="N109" i="5"/>
  <c r="N107" i="5"/>
  <c r="N106" i="5"/>
  <c r="N103" i="5"/>
  <c r="N102" i="5"/>
  <c r="N101" i="5"/>
  <c r="N100" i="5"/>
  <c r="N99" i="5"/>
  <c r="N97" i="5"/>
  <c r="N96" i="5"/>
  <c r="N95" i="5"/>
  <c r="N88" i="5"/>
  <c r="N87" i="5"/>
  <c r="N85" i="5"/>
  <c r="N84" i="5"/>
  <c r="N82" i="5"/>
  <c r="N81" i="5"/>
  <c r="N78" i="5"/>
  <c r="N77" i="5"/>
  <c r="N76" i="5"/>
  <c r="N75" i="5"/>
  <c r="N74" i="5"/>
  <c r="N73" i="5"/>
  <c r="N71" i="5"/>
  <c r="N68" i="5"/>
  <c r="N67" i="5"/>
  <c r="N65" i="5"/>
  <c r="N64" i="5"/>
  <c r="N63" i="5"/>
  <c r="N62" i="5"/>
  <c r="N58" i="5"/>
  <c r="N57" i="5"/>
  <c r="N54" i="5"/>
  <c r="N13" i="5"/>
  <c r="N59" i="5"/>
  <c r="N52" i="5"/>
  <c r="N41" i="5"/>
  <c r="N40" i="5"/>
  <c r="N39" i="5"/>
  <c r="N38" i="5"/>
  <c r="N36" i="5"/>
  <c r="N14" i="5"/>
  <c r="N32" i="5"/>
  <c r="N31" i="5"/>
  <c r="N30" i="5"/>
  <c r="N29" i="5"/>
  <c r="N28" i="5"/>
  <c r="N27" i="5"/>
  <c r="N26" i="5"/>
  <c r="N23" i="5"/>
  <c r="N21" i="5"/>
  <c r="N19" i="5"/>
  <c r="N20" i="5"/>
  <c r="N12" i="5"/>
  <c r="N11" i="5"/>
  <c r="N10" i="5"/>
  <c r="N9" i="5"/>
  <c r="N8" i="5"/>
  <c r="N6" i="5"/>
  <c r="N42" i="5"/>
  <c r="N118" i="5"/>
  <c r="N112" i="5"/>
  <c r="N113" i="5"/>
  <c r="N89" i="5"/>
  <c r="N117" i="5"/>
  <c r="N119" i="5"/>
  <c r="K45" i="2"/>
  <c r="H45" i="2"/>
  <c r="L45" i="2"/>
  <c r="R45" i="2"/>
  <c r="M45" i="2"/>
  <c r="N45" i="2"/>
  <c r="O45" i="2"/>
  <c r="P45" i="2"/>
  <c r="J45" i="2"/>
  <c r="Q45" i="2"/>
  <c r="I45" i="2"/>
  <c r="M45" i="1"/>
  <c r="P45" i="1"/>
  <c r="I45" i="1"/>
  <c r="K45" i="1"/>
  <c r="O45" i="1"/>
  <c r="Q45" i="1"/>
  <c r="H45" i="1"/>
  <c r="J45" i="1"/>
  <c r="R45" i="1"/>
  <c r="L45" i="1"/>
  <c r="N45" i="1"/>
  <c r="Q43" i="3"/>
  <c r="R43" i="3"/>
  <c r="H43" i="3"/>
  <c r="I43" i="3"/>
  <c r="J43" i="3"/>
  <c r="K43" i="3"/>
  <c r="L43" i="3"/>
  <c r="M43" i="3"/>
  <c r="N43" i="3"/>
  <c r="O43" i="3"/>
  <c r="P43" i="3"/>
  <c r="E35" i="7" l="1"/>
  <c r="E31" i="7"/>
  <c r="E29" i="7"/>
  <c r="E26" i="7"/>
  <c r="E34" i="7"/>
  <c r="E33" i="7"/>
  <c r="E32" i="7"/>
  <c r="E30" i="7"/>
  <c r="E28" i="7"/>
  <c r="E27" i="7"/>
  <c r="E25" i="7"/>
  <c r="D4" i="7"/>
  <c r="C4" i="7"/>
  <c r="E4" i="7"/>
  <c r="E91" i="5"/>
  <c r="D60" i="8"/>
  <c r="F91" i="5"/>
  <c r="D36" i="8"/>
  <c r="J91" i="5"/>
  <c r="D52" i="8"/>
  <c r="H91" i="5"/>
  <c r="D44" i="8"/>
  <c r="J135" i="5"/>
  <c r="F52" i="8"/>
  <c r="F51" i="8" s="1"/>
  <c r="D18" i="8" s="1"/>
  <c r="F35" i="8"/>
  <c r="D4" i="8" s="1"/>
  <c r="H47" i="5"/>
  <c r="E44" i="8"/>
  <c r="E43" i="8" s="1"/>
  <c r="F11" i="8" s="1"/>
  <c r="F47" i="5"/>
  <c r="E36" i="8"/>
  <c r="J47" i="5"/>
  <c r="E52" i="8"/>
  <c r="E51" i="8" s="1"/>
  <c r="F18" i="8" s="1"/>
  <c r="E47" i="5"/>
  <c r="E60" i="8"/>
  <c r="E59" i="8" s="1"/>
  <c r="I136" i="5"/>
  <c r="I135" i="5"/>
  <c r="I134" i="5"/>
  <c r="G90" i="5"/>
  <c r="F90" i="5"/>
  <c r="E90" i="5"/>
  <c r="N4" i="5"/>
  <c r="D47" i="5"/>
  <c r="L90" i="5"/>
  <c r="K90" i="5"/>
  <c r="J90" i="5"/>
  <c r="I90" i="5"/>
  <c r="H90" i="5"/>
  <c r="D90" i="5"/>
  <c r="M90" i="5"/>
  <c r="D91" i="5"/>
  <c r="N51" i="5"/>
  <c r="N91" i="5" s="1"/>
  <c r="L48" i="5"/>
  <c r="L47" i="5"/>
  <c r="I48" i="5"/>
  <c r="I47" i="5"/>
  <c r="I46" i="5"/>
  <c r="J136" i="5"/>
  <c r="J134" i="5"/>
  <c r="K136" i="5"/>
  <c r="K135" i="5"/>
  <c r="K134" i="5"/>
  <c r="L136" i="5"/>
  <c r="L135" i="5"/>
  <c r="L134" i="5"/>
  <c r="M136" i="5"/>
  <c r="M135" i="5"/>
  <c r="M134" i="5"/>
  <c r="H136" i="5"/>
  <c r="H135" i="5"/>
  <c r="H134" i="5"/>
  <c r="G136" i="5"/>
  <c r="G135" i="5"/>
  <c r="G134" i="5"/>
  <c r="F136" i="5"/>
  <c r="F135" i="5"/>
  <c r="F134" i="5"/>
  <c r="E136" i="5"/>
  <c r="E135" i="5"/>
  <c r="E134" i="5"/>
  <c r="D136" i="5"/>
  <c r="D135" i="5"/>
  <c r="D134" i="5"/>
  <c r="N94" i="5"/>
  <c r="N135" i="5" s="1"/>
  <c r="H46" i="5"/>
  <c r="H48" i="5"/>
  <c r="G46" i="5"/>
  <c r="G48" i="5"/>
  <c r="F46" i="5"/>
  <c r="F48" i="5"/>
  <c r="D46" i="5"/>
  <c r="D48" i="5"/>
  <c r="M46" i="5"/>
  <c r="M48" i="5"/>
  <c r="K46" i="5"/>
  <c r="K48" i="5"/>
  <c r="J46" i="5"/>
  <c r="J48" i="5"/>
  <c r="E46" i="5"/>
  <c r="E48" i="5"/>
  <c r="N56" i="5"/>
  <c r="A35" i="7" l="1"/>
  <c r="A33" i="7"/>
  <c r="A31" i="7"/>
  <c r="A30" i="7"/>
  <c r="A29" i="7"/>
  <c r="A28" i="7"/>
  <c r="A25" i="7"/>
  <c r="A34" i="7"/>
  <c r="A32" i="7"/>
  <c r="A27" i="7"/>
  <c r="A26" i="7"/>
  <c r="D59" i="8"/>
  <c r="E25" i="8" s="1"/>
  <c r="D35" i="8"/>
  <c r="E4" i="8" s="1"/>
  <c r="D51" i="8"/>
  <c r="E18" i="8" s="1"/>
  <c r="D43" i="8"/>
  <c r="E11" i="8" s="1"/>
  <c r="E35" i="8"/>
  <c r="N48" i="5"/>
  <c r="N46" i="5"/>
  <c r="N47" i="5"/>
  <c r="N90" i="5"/>
  <c r="N136" i="5"/>
  <c r="N134" i="5"/>
  <c r="B115" i="8" l="1"/>
  <c r="B123" i="8"/>
  <c r="B116" i="8"/>
  <c r="B117" i="8"/>
  <c r="B118" i="8"/>
  <c r="B119" i="8"/>
  <c r="B122" i="8"/>
  <c r="B124" i="8"/>
  <c r="B121" i="8"/>
  <c r="B125" i="8"/>
  <c r="B120" i="8"/>
  <c r="B105" i="8"/>
  <c r="B101" i="8"/>
  <c r="B110" i="8"/>
  <c r="B100" i="8"/>
  <c r="B102" i="8"/>
  <c r="B103" i="8"/>
  <c r="B104" i="8"/>
  <c r="B106" i="8"/>
  <c r="B107" i="8"/>
  <c r="B108" i="8"/>
  <c r="B109" i="8"/>
  <c r="B87" i="8"/>
  <c r="B89" i="8"/>
  <c r="B85" i="8"/>
  <c r="B86" i="8"/>
  <c r="B88" i="8"/>
  <c r="B90" i="8"/>
  <c r="B91" i="8"/>
  <c r="B92" i="8"/>
  <c r="B93" i="8"/>
  <c r="B94" i="8"/>
  <c r="B95" i="8"/>
  <c r="B70" i="8"/>
  <c r="B71" i="8"/>
  <c r="B72" i="8"/>
  <c r="B73" i="8"/>
  <c r="B74" i="8"/>
  <c r="B76" i="8"/>
  <c r="B77" i="8"/>
  <c r="B79" i="8"/>
  <c r="B75" i="8"/>
  <c r="B78" i="8"/>
  <c r="B8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COSMOCRATOR</author>
  </authors>
  <commentList>
    <comment ref="L8" authorId="0" shapeId="0" xr:uid="{1ED588C4-2C96-409A-B39F-CB3412BBBEE2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Upland wetland (full) and all Slight Restoration upland values have no row in the A:D list. Typed inputs from Slide 56 BDSC Presentation.</t>
        </r>
      </text>
    </comment>
    <comment ref="F56" authorId="0" shapeId="0" xr:uid="{EA8B3FE2-E023-42CD-ACE3-72CE7FCE1CBB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Source: User's protected-areas inventory analysis (PivotTable, Sum of Acres by region), 4 rows, provided 2026-10-22 17:51 PDT. Pasted into chat by user; not run by Claude. Full request on the Data Sources tab.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COSMOCRATOR</author>
  </authors>
  <commentList>
    <comment ref="D2" authorId="0" shapeId="0" xr:uid="{D6445495-C682-422E-9FE8-E98A17CBB0D9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Per-acre annual values ($/acre/yr), applied uniformly to all islands. Backed out of the original hardcoded table (e.g., Union Island flood control $8,694,427.50 / 24,750 ac = $351.29). Original literature source not documented in this workbook - confirm and cite.</t>
        </r>
      </text>
    </comment>
    <comment ref="O4" authorId="0" shapeId="0" xr:uid="{775766E1-5AD6-4E1F-AD3E-751D7A4A6331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Suisun acres = tidal habitat acres for Suisun Marsh from 'Regional Habitat Acres'!D9.</t>
        </r>
      </text>
    </comment>
    <comment ref="P4" authorId="0" shapeId="0" xr:uid="{DE28D8E8-EA79-4BC1-B9C0-1729E62CF9CE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1 = island restored in this scenario, 0 = not. Set to match which islands had nonzero values in the original table.</t>
        </r>
      </text>
    </comment>
    <comment ref="O10" authorId="0" shapeId="0" xr:uid="{514DA312-8975-4A07-9DAF-BB3920F8D7F0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Franks Tract is not in the acreage reference sheet. 1,380 ac is the acreage implied by the original values ($484,780.20 / $351.29). Verify.</t>
        </r>
      </text>
    </comment>
  </commentList>
</comments>
</file>

<file path=xl/sharedStrings.xml><?xml version="1.0" encoding="utf-8"?>
<sst xmlns="http://schemas.openxmlformats.org/spreadsheetml/2006/main" count="1818" uniqueCount="216">
  <si>
    <t>Island</t>
  </si>
  <si>
    <t>ArcGIS object ID</t>
  </si>
  <si>
    <t>Acres</t>
  </si>
  <si>
    <t>Elevation (categorical)</t>
  </si>
  <si>
    <t>Landcover Type (R = Rice; MW = Managed Wetland)</t>
  </si>
  <si>
    <t>Grand Island</t>
  </si>
  <si>
    <t>Mimimal</t>
  </si>
  <si>
    <t>MW</t>
  </si>
  <si>
    <t>Ryer Island</t>
  </si>
  <si>
    <t>Minimal</t>
  </si>
  <si>
    <t>Tyler Island</t>
  </si>
  <si>
    <t>Key:</t>
  </si>
  <si>
    <t>Staten Island</t>
  </si>
  <si>
    <t>Moderate</t>
  </si>
  <si>
    <t>grey = restoration/managed wetlands</t>
  </si>
  <si>
    <t>Brannan Island</t>
  </si>
  <si>
    <t>Severe</t>
  </si>
  <si>
    <t>tan - Wet soil agriculture (rice)</t>
  </si>
  <si>
    <t>Bouldin Island</t>
  </si>
  <si>
    <t>Venice Island</t>
  </si>
  <si>
    <t>Medford Island</t>
  </si>
  <si>
    <t>Empire Tract</t>
  </si>
  <si>
    <t>King Island</t>
  </si>
  <si>
    <t>Terminous Tract</t>
  </si>
  <si>
    <t>Rindge Tract</t>
  </si>
  <si>
    <t>Wright-Elmwood Tract</t>
  </si>
  <si>
    <t>McDonald Tract</t>
  </si>
  <si>
    <t>Jones Tract</t>
  </si>
  <si>
    <t>Rough and Ready</t>
  </si>
  <si>
    <t>Roberts Island</t>
  </si>
  <si>
    <t>31 + 22 + 12+23+ 8</t>
  </si>
  <si>
    <t>Union Island</t>
  </si>
  <si>
    <t>Victoria Island</t>
  </si>
  <si>
    <t>Woodward Island</t>
  </si>
  <si>
    <t>Coney Island</t>
  </si>
  <si>
    <t>Orowood Tract</t>
  </si>
  <si>
    <t>Palm Tract</t>
  </si>
  <si>
    <t>Bacon Island</t>
  </si>
  <si>
    <t>Holland Tract</t>
  </si>
  <si>
    <t>Quinby Island</t>
  </si>
  <si>
    <t>Mandeville Island</t>
  </si>
  <si>
    <t>Bethel Island</t>
  </si>
  <si>
    <t>Jersey Island</t>
  </si>
  <si>
    <t>Webb Tract</t>
  </si>
  <si>
    <t>Bradford Island</t>
  </si>
  <si>
    <t>Sherman Island</t>
  </si>
  <si>
    <t>Twitchell Island</t>
  </si>
  <si>
    <t>Dead Horse Island</t>
  </si>
  <si>
    <t>Sutter Island</t>
  </si>
  <si>
    <t>New Hope Tract</t>
  </si>
  <si>
    <t>Canal Ranch Tract</t>
  </si>
  <si>
    <t>Rice Acreage</t>
  </si>
  <si>
    <t>Rice Proportion</t>
  </si>
  <si>
    <t>50/50 (R = Rice; MW = Managed Wetland)</t>
  </si>
  <si>
    <t>R</t>
  </si>
  <si>
    <t>Total Acreage</t>
  </si>
  <si>
    <t>Total Rice Acreage</t>
  </si>
  <si>
    <t>Proportion of Rice Acres</t>
  </si>
  <si>
    <t>Landcover Type (R = Rice; MW = managed wetland)</t>
  </si>
  <si>
    <t>Total Rice Area:</t>
  </si>
  <si>
    <t xml:space="preserve">Total Rice Proportion: </t>
  </si>
  <si>
    <t>50/50</t>
  </si>
  <si>
    <t>25/75</t>
  </si>
  <si>
    <t>Not assigned to anything</t>
  </si>
  <si>
    <t>No polygon for this one because it's URBAN</t>
  </si>
  <si>
    <t>Note - only ~20% is subsided</t>
  </si>
  <si>
    <t xml:space="preserve">brack tract? </t>
  </si>
  <si>
    <t>East of Canal Ranch Tract</t>
  </si>
  <si>
    <t>Sum of Wet Soil Ag (not including points that have no corresponding name in spreadsheet)</t>
  </si>
  <si>
    <t>proportion of total Delta land area</t>
  </si>
  <si>
    <t>Wetland function</t>
  </si>
  <si>
    <t>US$/acre/yr (2000)</t>
  </si>
  <si>
    <t>Flood control</t>
  </si>
  <si>
    <t>Recreational fishing</t>
  </si>
  <si>
    <t>Amenity/recreation</t>
  </si>
  <si>
    <t>Water filtering</t>
  </si>
  <si>
    <t>Biodiversity</t>
  </si>
  <si>
    <t>Habitat nursery</t>
  </si>
  <si>
    <t>Recreational hunting</t>
  </si>
  <si>
    <t>Water supply</t>
  </si>
  <si>
    <t>Materials</t>
  </si>
  <si>
    <t>Fuel wood</t>
  </si>
  <si>
    <t>Sum of all ten</t>
  </si>
  <si>
    <t>US$/acre/yr (2025)</t>
  </si>
  <si>
    <t>Benefits US$/acre/yr (2025)</t>
  </si>
  <si>
    <t>Totals per Benefit</t>
  </si>
  <si>
    <t>Region</t>
  </si>
  <si>
    <t>North Delta</t>
  </si>
  <si>
    <t>North-Central</t>
  </si>
  <si>
    <t>South Delta</t>
  </si>
  <si>
    <t>North-South</t>
  </si>
  <si>
    <t>Central Delta</t>
  </si>
  <si>
    <r>
      <rPr>
        <b/>
        <sz val="18"/>
        <color rgb="FF000000"/>
        <rFont val="Arial"/>
        <family val="2"/>
        <scheme val="minor"/>
      </rPr>
      <t>Price adjustment Formula:</t>
    </r>
    <r>
      <rPr>
        <sz val="14"/>
        <color rgb="FF000000"/>
        <rFont val="Arial"/>
        <family val="2"/>
        <scheme val="minor"/>
      </rPr>
      <t xml:space="preserve"> (original formula based on Median values)
$-Value</t>
    </r>
    <r>
      <rPr>
        <i/>
        <sz val="12"/>
        <color rgb="FF000000"/>
        <rFont val="Arial"/>
        <family val="2"/>
        <scheme val="minor"/>
      </rPr>
      <t>2025</t>
    </r>
    <r>
      <rPr>
        <sz val="12"/>
        <color rgb="FF000000"/>
        <rFont val="Arial"/>
        <family val="2"/>
        <scheme val="minor"/>
      </rPr>
      <t xml:space="preserve"> </t>
    </r>
    <r>
      <rPr>
        <sz val="14"/>
        <color rgb="FF000000"/>
        <rFont val="Arial"/>
        <family val="2"/>
        <scheme val="minor"/>
      </rPr>
      <t>= Value</t>
    </r>
    <r>
      <rPr>
        <i/>
        <sz val="12"/>
        <color rgb="FF000000"/>
        <rFont val="Arial"/>
        <family val="2"/>
        <scheme val="minor"/>
      </rPr>
      <t>2000</t>
    </r>
    <r>
      <rPr>
        <sz val="14"/>
        <color rgb="FF000000"/>
        <rFont val="Arial"/>
        <family val="2"/>
        <scheme val="minor"/>
      </rPr>
      <t xml:space="preserve"> x (CPI</t>
    </r>
    <r>
      <rPr>
        <i/>
        <sz val="12"/>
        <color rgb="FF000000"/>
        <rFont val="Arial"/>
        <family val="2"/>
        <scheme val="minor"/>
      </rPr>
      <t>2025</t>
    </r>
    <r>
      <rPr>
        <sz val="14"/>
        <color rgb="FF000000"/>
        <rFont val="Arial"/>
        <family val="2"/>
        <scheme val="minor"/>
      </rPr>
      <t>/CPI</t>
    </r>
    <r>
      <rPr>
        <i/>
        <sz val="12"/>
        <color rgb="FF000000"/>
        <rFont val="Arial"/>
        <family val="2"/>
        <scheme val="minor"/>
      </rPr>
      <t>2000</t>
    </r>
    <r>
      <rPr>
        <sz val="14"/>
        <color rgb="FF000000"/>
        <rFont val="Arial"/>
        <family val="2"/>
        <scheme val="minor"/>
      </rPr>
      <t xml:space="preserve">)
</t>
    </r>
    <r>
      <rPr>
        <b/>
        <sz val="18"/>
        <color rgb="FF000000"/>
        <rFont val="Arial"/>
        <family val="2"/>
        <scheme val="minor"/>
      </rPr>
      <t xml:space="preserve">Hectares to Acres Formula: </t>
    </r>
    <r>
      <rPr>
        <sz val="14"/>
        <color rgb="FF000000"/>
        <rFont val="Arial"/>
        <family val="2"/>
        <scheme val="minor"/>
      </rPr>
      <t xml:space="preserve">
US Acre = (1-Hectare) / (2.47105-Acres)</t>
    </r>
  </si>
  <si>
    <t>100% Restoration</t>
  </si>
  <si>
    <t>Suisun Marsh</t>
  </si>
  <si>
    <t>Suisun</t>
  </si>
  <si>
    <t>Tidal</t>
  </si>
  <si>
    <t>Franks Tract</t>
  </si>
  <si>
    <t>Flooded</t>
  </si>
  <si>
    <t>Central</t>
  </si>
  <si>
    <t>Convergence Zone</t>
  </si>
  <si>
    <t>North</t>
  </si>
  <si>
    <t>South</t>
  </si>
  <si>
    <t>Regional Acres</t>
  </si>
  <si>
    <t>Region_Code</t>
  </si>
  <si>
    <t>Region_Nam</t>
  </si>
  <si>
    <t>Habitat Type</t>
  </si>
  <si>
    <t>Soil</t>
  </si>
  <si>
    <t>Non-Delta</t>
  </si>
  <si>
    <t>Upland</t>
  </si>
  <si>
    <t>Meadows</t>
  </si>
  <si>
    <t>Floodplain</t>
  </si>
  <si>
    <t>Wetland</t>
  </si>
  <si>
    <t>Upper Bound</t>
  </si>
  <si>
    <t>Lower Bound</t>
  </si>
  <si>
    <t>$/acre/yr (all islands)</t>
  </si>
  <si>
    <t>Island acres</t>
  </si>
  <si>
    <t>Restored (1=yes, 0=no)</t>
  </si>
  <si>
    <t>Restored acres</t>
  </si>
  <si>
    <t>Transitional</t>
  </si>
  <si>
    <t>50% Restoration</t>
  </si>
  <si>
    <t>25% Restoration</t>
  </si>
  <si>
    <t>Totals ECO (Suisun + Franks) Excluding NGW</t>
  </si>
  <si>
    <t>No Upland Range in 50% Restoration</t>
  </si>
  <si>
    <t>Upland (Lower Bound)</t>
  </si>
  <si>
    <t>Totals summed (ECO + NGW + NGW Upland)</t>
  </si>
  <si>
    <t>Totals (ECO + NGW) - NGW Upland</t>
  </si>
  <si>
    <t>Upland (Upper Bound)</t>
  </si>
  <si>
    <t>Upland Upper Bound (100%)</t>
  </si>
  <si>
    <t>Upland Lower Bound (25%)</t>
  </si>
  <si>
    <t>Full Restoration (In-Delta ECO + NGW) (100%)</t>
  </si>
  <si>
    <t>1. In-Delta Values derive from NGW and Eco Machine in-Delta Acres, and these sheets, used 100% Restoration for this slide
2. Upland  (Upper Bound and Lower Bound) restoration values derive from Slide 56 BDSC Presentation
Note: only Full Restoration analyzed with In-Delta restoration Objectives (This sheet), while upper and lower bounds are included for upland restoration  (Reflected on Restoration ($) Combined sheet 100% and 25% sums
Figures here are for Rec Criterion Manuscript and don't serve any other purpose, feel free to map at will for website.</t>
  </si>
  <si>
    <t>Wetland economic function</t>
  </si>
  <si>
    <t>Use These for landscape restoration</t>
  </si>
  <si>
    <t>Totals summed (ECO + NGW) In-Delta</t>
  </si>
  <si>
    <t>Wetlands</t>
  </si>
  <si>
    <t>Managed Wetland</t>
  </si>
  <si>
    <t>Wetland Function</t>
  </si>
  <si>
    <t>Midpoint (50%)</t>
  </si>
  <si>
    <t>OVERALL ACRES — Restoration Scenario Scores (-5 to 5 vs 50% Baseline)</t>
  </si>
  <si>
    <t>RESTORED ACRES SCORES</t>
  </si>
  <si>
    <t>REGION</t>
  </si>
  <si>
    <t>50% Restoration (Baseline)</t>
  </si>
  <si>
    <t>RESTORED ACRES</t>
  </si>
  <si>
    <t>Delta-Wide</t>
  </si>
  <si>
    <t>RESTORED ACRES BY SCENARIO (acres)</t>
  </si>
  <si>
    <t>RANKINGS — Restored Acres (vs 50% Baseline)</t>
  </si>
  <si>
    <t>Results</t>
  </si>
  <si>
    <t>Ranking</t>
  </si>
  <si>
    <t>Scale</t>
  </si>
  <si>
    <t>greater than or equal to 5% more acres</t>
  </si>
  <si>
    <t>4% more</t>
  </si>
  <si>
    <t>3% more</t>
  </si>
  <si>
    <t>2% more</t>
  </si>
  <si>
    <t>1% more than baseline</t>
  </si>
  <si>
    <t>No change from baseline</t>
  </si>
  <si>
    <t>1% less than baseline</t>
  </si>
  <si>
    <t>2% less</t>
  </si>
  <si>
    <t>3% less</t>
  </si>
  <si>
    <t>4% less</t>
  </si>
  <si>
    <t>greater than or equal to 5% less acres</t>
  </si>
  <si>
    <t>Notes: Score = % change in restored acres vs 50% Baseline, rounded to whole %, capped at ±5 (1% = 1 step). Positive = more acres restored. Delta-Wide = Suisun + Central + North + South + Upland. Brannan Island counted in Central; Terminous Tract in South. Upland 50% = midpoint of Upper (100%) and Lower (25%) bounds ('50% Restoration ($)' rows 42–44). North Delta has 0 restored acres at baseline: any gain = +5, none = 0.</t>
  </si>
  <si>
    <t>ECOSYSTEM SERVICE $ SCORES</t>
  </si>
  <si>
    <t>ECOSYSTEM SERVICE VALUE BY SCENARIO (US$/yr, 2025)</t>
  </si>
  <si>
    <t>AMENITY/RECREATION (SP Day Use &amp; Boating)</t>
  </si>
  <si>
    <t>BIODIVERSITY (Birding)</t>
  </si>
  <si>
    <t>RECREATIONAL HUNTING (Waterfowl)</t>
  </si>
  <si>
    <t>RECREATIONAL FISHING (Angling)</t>
  </si>
  <si>
    <t>Amenity/Recreation (SP Day Use &amp; Boating)</t>
  </si>
  <si>
    <t>greater than or equal to 5% more $</t>
  </si>
  <si>
    <t>greater than or equal to 5% less $</t>
  </si>
  <si>
    <t>Biodiversity (Birding)</t>
  </si>
  <si>
    <t>Recreational Hunting (Waterfowl)</t>
  </si>
  <si>
    <t>Recreational Fishing (Angling)</t>
  </si>
  <si>
    <t>Restored Acres</t>
  </si>
  <si>
    <t>Upland Middle Bound (50%)</t>
  </si>
  <si>
    <t>Habitat / Delta-Wide Total</t>
  </si>
  <si>
    <t>NGW Total (Upper, 100%)</t>
  </si>
  <si>
    <t>NGW Total (Middle, 50%)</t>
  </si>
  <si>
    <t>NGW Total (Lower, 25%)</t>
  </si>
  <si>
    <t>NGW = In-Delta + Upland band; ECO = In-Delta only (Upland excluded). Middle Bound = average of Upper and Lower.</t>
  </si>
  <si>
    <t>ECO Total (Only One Scenario)</t>
  </si>
  <si>
    <t>Franks Tract (ECO)</t>
  </si>
  <si>
    <t>NA</t>
  </si>
  <si>
    <t>BAU</t>
  </si>
  <si>
    <t>BAU Baseline</t>
  </si>
  <si>
    <t>Sum of Acres</t>
  </si>
  <si>
    <t>(blank)</t>
  </si>
  <si>
    <t>Grand Total</t>
  </si>
  <si>
    <t>Protected Acres (BAU)</t>
  </si>
  <si>
    <t>Total</t>
  </si>
  <si>
    <t>RANKINGS — Ecosystem Service $ (vs BAU Baseline)</t>
  </si>
  <si>
    <t>California Protected Areas (Current Inventory) used as BAU</t>
  </si>
  <si>
    <r>
      <rPr>
        <b/>
        <sz val="14"/>
        <color rgb="FF000000"/>
        <rFont val="Arial"/>
        <family val="2"/>
        <scheme val="minor"/>
      </rPr>
      <t>Sources:</t>
    </r>
    <r>
      <rPr>
        <sz val="10"/>
        <color rgb="FF000000"/>
        <rFont val="Arial"/>
        <family val="2"/>
        <scheme val="minor"/>
      </rPr>
      <t xml:space="preserve">
1. 2025 CPI Index: https://www.bls.gov/regions/mid-atlantic/data/ConsumerPriceIndexHistorical_US_Table.htm
2. 2000 Wetland Functions: Brander, L., &amp; Schuyt, K. (2004). The economic values of the world's wetlands.
3. Restoration Scenarios: Williams, Lynette (2026). Ecology Team: Wetland Restoration.
4.GreenInfo Network. (2026). California Protected Areas Database (CPAD), version 2024 [GIS shapefile]. www.calands.org</t>
    </r>
  </si>
  <si>
    <t>BAU — Existing Protected Areas (Current Inventory) NOT NEEDED FOR WEBSITE.</t>
  </si>
  <si>
    <t>Notes:
1. BAU baseline is derived from CA Protected Areas Shapefile acres broken down by region (as current available inventory). 25%, 50%, and 100% Restoration measures are measured as differences from BAU (current acreage inventory). Citation: GreenInfo Network. (2026). California Protected Areas Database (CPAD), version 2024 [GIS shapefile]. www.calands.org</t>
  </si>
  <si>
    <t>ECONOMY SCORE (D)</t>
  </si>
  <si>
    <t>RECREATION: ECONOMY SCORE (D) — Restoration Scenarios NGW and ECO</t>
  </si>
  <si>
    <t>Workflow: (1) Each activity = its Delta-Wide ecosystem service $ score (-5 to 5) from the grid at left. No sub-region rows, to avoid double counting. (2) Sum the activity scores. (3) Divide by # of activities = Economy Score (D). Scores are % change in $/yr vs BAU Baseline, rounded, capped at ±5. Final Recreation Score = (A Salinity + B Temperature + C Habitat + D Economy) / 4.</t>
  </si>
  <si>
    <t>ACTIVITY</t>
  </si>
  <si>
    <t>SOURCE</t>
  </si>
  <si>
    <t>Day Use &amp; Boating</t>
  </si>
  <si>
    <t>Row 4</t>
  </si>
  <si>
    <t>Birding</t>
  </si>
  <si>
    <t>Row 11</t>
  </si>
  <si>
    <t>Waterfowl</t>
  </si>
  <si>
    <t>Row 18</t>
  </si>
  <si>
    <t>Angling</t>
  </si>
  <si>
    <t>Row 25</t>
  </si>
  <si>
    <t>Sum of scores</t>
  </si>
  <si>
    <t># of activities</t>
  </si>
  <si>
    <t>RESTORED ACRES SCORES (-5 to 5 vs BAU Protected Areas, row 19)</t>
  </si>
  <si>
    <t>SCENARIO</t>
  </si>
  <si>
    <t>BAU — Existing Protected Areas (Baseline)</t>
  </si>
  <si>
    <t>BAU Baseline (Delta-Wide acres)</t>
  </si>
  <si>
    <t>Score = % gain over BAU protected acres (row 19), rounded, capped at ±5 (1% = 1 step). Scenario acres are ADDED on top of BAU: (BAU + restored − BAU) / BAU. NA = no restoration in that region, so BAU is unchanged = 0. BAU = 0 (Upland): any gain = +5. BAU row = 0 by definition.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</si>
</sst>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&quot;$&quot;#,##0.00"/>
    <numFmt numFmtId="166" formatCode="#,##0;\(#,##0\);&quot;-&quot;"/>
    <numFmt numFmtId="167" formatCode="_(* #,##0_);_(* \(#,##0\);_(* &quot;-&quot;??_);_(@_)"/>
    <numFmt numFmtId="168" formatCode="&quot;$&quot;#,##0"/>
    <numFmt numFmtId="169" formatCode="#,##0;\(#,##0\);\-"/>
  </numFmts>
  <fonts count="4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name val="Calibri"/>
      <family val="2"/>
    </font>
    <font>
      <b/>
      <sz val="11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rgb="FF0000FF"/>
      <name val="Arial"/>
      <family val="2"/>
      <scheme val="minor"/>
    </font>
    <font>
      <sz val="10"/>
      <color rgb="FF008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rial"/>
      <family val="2"/>
      <scheme val="minor"/>
    </font>
    <font>
      <sz val="11"/>
      <color rgb="FF0000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6100"/>
      <name val="Arial"/>
      <family val="2"/>
      <scheme val="minor"/>
    </font>
    <font>
      <sz val="11"/>
      <color theme="7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8000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9"/>
      <color theme="1"/>
      <name val="Arial"/>
      <family val="2"/>
      <scheme val="minor"/>
    </font>
    <font>
      <i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595959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595959"/>
      <name val="Arial"/>
      <family val="2"/>
      <scheme val="minor"/>
    </font>
    <font>
      <b/>
      <i/>
      <sz val="10"/>
      <color theme="1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6EFCE"/>
      </patternFill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/>
      <bottom style="thin">
        <color theme="0" tint="-0.149998474074526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/>
      <bottom style="medium">
        <color theme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 style="thin">
        <color theme="0" tint="-0.14999847407452621"/>
      </right>
      <top style="medium">
        <color theme="1"/>
      </top>
      <bottom/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/>
      <diagonal/>
    </border>
    <border>
      <left style="thin">
        <color theme="0" tint="-0.14999847407452621"/>
      </left>
      <right style="medium">
        <color indexed="64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0" fontId="17" fillId="6" borderId="0" applyNumberFormat="0" applyBorder="0" applyAlignment="0" applyProtection="0"/>
    <xf numFmtId="44" fontId="18" fillId="0" borderId="0" applyFont="0" applyFill="0" applyBorder="0" applyAlignment="0" applyProtection="0"/>
    <xf numFmtId="0" fontId="6" fillId="0" borderId="0"/>
    <xf numFmtId="0" fontId="19" fillId="7" borderId="1">
      <alignment horizontal="left"/>
    </xf>
    <xf numFmtId="43" fontId="29" fillId="0" borderId="0" applyFont="0" applyFill="0" applyBorder="0" applyAlignment="0" applyProtection="0"/>
  </cellStyleXfs>
  <cellXfs count="275">
    <xf numFmtId="0" fontId="0" fillId="0" borderId="0" xfId="0"/>
    <xf numFmtId="0" fontId="7" fillId="0" borderId="0" xfId="0" applyFont="1"/>
    <xf numFmtId="0" fontId="8" fillId="2" borderId="0" xfId="0" applyFont="1" applyFill="1"/>
    <xf numFmtId="0" fontId="8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5" borderId="0" xfId="0" applyFont="1" applyFill="1"/>
    <xf numFmtId="3" fontId="8" fillId="0" borderId="0" xfId="0" applyNumberFormat="1" applyFont="1"/>
    <xf numFmtId="3" fontId="7" fillId="0" borderId="0" xfId="0" applyNumberFormat="1" applyFont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4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64" fontId="0" fillId="0" borderId="0" xfId="0" applyNumberFormat="1"/>
    <xf numFmtId="0" fontId="10" fillId="0" borderId="0" xfId="0" applyFont="1"/>
    <xf numFmtId="9" fontId="17" fillId="6" borderId="0" xfId="1" applyNumberFormat="1"/>
    <xf numFmtId="0" fontId="17" fillId="6" borderId="0" xfId="1"/>
    <xf numFmtId="0" fontId="9" fillId="0" borderId="0" xfId="0" applyFont="1"/>
    <xf numFmtId="44" fontId="9" fillId="0" borderId="0" xfId="2" applyFont="1"/>
    <xf numFmtId="0" fontId="6" fillId="0" borderId="0" xfId="3"/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8" fillId="3" borderId="0" xfId="0" applyNumberFormat="1" applyFont="1" applyFill="1"/>
    <xf numFmtId="0" fontId="5" fillId="0" borderId="0" xfId="3" applyFont="1"/>
    <xf numFmtId="0" fontId="4" fillId="0" borderId="0" xfId="3" applyFont="1"/>
    <xf numFmtId="3" fontId="6" fillId="0" borderId="4" xfId="3" applyNumberFormat="1" applyBorder="1"/>
    <xf numFmtId="0" fontId="4" fillId="0" borderId="6" xfId="3" applyFont="1" applyBorder="1"/>
    <xf numFmtId="3" fontId="6" fillId="0" borderId="7" xfId="3" applyNumberFormat="1" applyBorder="1"/>
    <xf numFmtId="0" fontId="19" fillId="7" borderId="8" xfId="4" applyBorder="1">
      <alignment horizontal="left"/>
    </xf>
    <xf numFmtId="0" fontId="19" fillId="7" borderId="9" xfId="4" applyBorder="1">
      <alignment horizontal="left"/>
    </xf>
    <xf numFmtId="0" fontId="19" fillId="7" borderId="10" xfId="4" applyBorder="1">
      <alignment horizontal="left"/>
    </xf>
    <xf numFmtId="0" fontId="6" fillId="0" borderId="3" xfId="3" applyBorder="1"/>
    <xf numFmtId="0" fontId="5" fillId="0" borderId="3" xfId="3" applyFont="1" applyBorder="1"/>
    <xf numFmtId="0" fontId="4" fillId="0" borderId="3" xfId="3" applyFont="1" applyBorder="1"/>
    <xf numFmtId="0" fontId="4" fillId="0" borderId="5" xfId="3" applyFont="1" applyBorder="1"/>
    <xf numFmtId="0" fontId="19" fillId="7" borderId="2" xfId="4" applyBorder="1">
      <alignment horizontal="left"/>
    </xf>
    <xf numFmtId="3" fontId="6" fillId="0" borderId="0" xfId="3" applyNumberFormat="1"/>
    <xf numFmtId="165" fontId="22" fillId="0" borderId="0" xfId="0" applyNumberFormat="1" applyFont="1"/>
    <xf numFmtId="165" fontId="10" fillId="0" borderId="0" xfId="0" applyNumberFormat="1" applyFont="1"/>
    <xf numFmtId="3" fontId="23" fillId="0" borderId="0" xfId="0" applyNumberFormat="1" applyFont="1"/>
    <xf numFmtId="1" fontId="21" fillId="0" borderId="0" xfId="0" applyNumberFormat="1" applyFont="1" applyAlignment="1">
      <alignment horizontal="center"/>
    </xf>
    <xf numFmtId="3" fontId="9" fillId="0" borderId="0" xfId="0" applyNumberFormat="1" applyFont="1"/>
    <xf numFmtId="164" fontId="9" fillId="0" borderId="0" xfId="0" applyNumberFormat="1" applyFont="1"/>
    <xf numFmtId="3" fontId="21" fillId="8" borderId="0" xfId="0" applyNumberFormat="1" applyFont="1" applyFill="1"/>
    <xf numFmtId="3" fontId="10" fillId="0" borderId="0" xfId="0" applyNumberFormat="1" applyFont="1"/>
    <xf numFmtId="49" fontId="10" fillId="0" borderId="0" xfId="0" applyNumberFormat="1" applyFont="1"/>
    <xf numFmtId="164" fontId="24" fillId="0" borderId="0" xfId="0" applyNumberFormat="1" applyFont="1"/>
    <xf numFmtId="3" fontId="11" fillId="0" borderId="0" xfId="0" applyNumberFormat="1" applyFont="1"/>
    <xf numFmtId="49" fontId="11" fillId="0" borderId="0" xfId="0" applyNumberFormat="1" applyFont="1"/>
    <xf numFmtId="166" fontId="6" fillId="0" borderId="6" xfId="3" applyNumberFormat="1" applyBorder="1"/>
    <xf numFmtId="167" fontId="11" fillId="0" borderId="0" xfId="5" applyNumberFormat="1" applyFont="1"/>
    <xf numFmtId="0" fontId="30" fillId="6" borderId="0" xfId="1" applyFont="1"/>
    <xf numFmtId="9" fontId="30" fillId="6" borderId="0" xfId="1" applyNumberFormat="1" applyFont="1"/>
    <xf numFmtId="0" fontId="11" fillId="0" borderId="0" xfId="0" applyFont="1"/>
    <xf numFmtId="0" fontId="17" fillId="6" borderId="0" xfId="1" applyAlignment="1">
      <alignment wrapText="1"/>
    </xf>
    <xf numFmtId="44" fontId="0" fillId="0" borderId="0" xfId="0" applyNumberFormat="1"/>
    <xf numFmtId="0" fontId="6" fillId="0" borderId="2" xfId="3" applyBorder="1"/>
    <xf numFmtId="166" fontId="6" fillId="0" borderId="2" xfId="3" applyNumberFormat="1" applyBorder="1"/>
    <xf numFmtId="0" fontId="4" fillId="0" borderId="2" xfId="3" applyFont="1" applyBorder="1"/>
    <xf numFmtId="0" fontId="9" fillId="0" borderId="3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44" fontId="9" fillId="0" borderId="0" xfId="2" applyFont="1" applyBorder="1" applyAlignment="1">
      <alignment vertical="center" wrapText="1"/>
    </xf>
    <xf numFmtId="44" fontId="9" fillId="0" borderId="4" xfId="2" applyFont="1" applyBorder="1" applyAlignment="1">
      <alignment vertical="center" wrapText="1"/>
    </xf>
    <xf numFmtId="44" fontId="10" fillId="0" borderId="6" xfId="2" applyFont="1" applyBorder="1" applyAlignment="1">
      <alignment vertical="center" wrapText="1"/>
    </xf>
    <xf numFmtId="44" fontId="10" fillId="0" borderId="7" xfId="2" applyFont="1" applyBorder="1" applyAlignment="1">
      <alignment vertical="center" wrapText="1"/>
    </xf>
    <xf numFmtId="0" fontId="2" fillId="0" borderId="0" xfId="3" applyFont="1"/>
    <xf numFmtId="0" fontId="2" fillId="0" borderId="3" xfId="3" applyFont="1" applyBorder="1"/>
    <xf numFmtId="0" fontId="0" fillId="0" borderId="14" xfId="0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5" fillId="9" borderId="23" xfId="0" applyFont="1" applyFill="1" applyBorder="1" applyAlignment="1">
      <alignment horizontal="center" vertical="center" wrapText="1"/>
    </xf>
    <xf numFmtId="0" fontId="35" fillId="9" borderId="24" xfId="0" applyFont="1" applyFill="1" applyBorder="1" applyAlignment="1">
      <alignment horizontal="center" vertical="center" wrapText="1"/>
    </xf>
    <xf numFmtId="0" fontId="35" fillId="9" borderId="25" xfId="0" applyFont="1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35" fillId="9" borderId="14" xfId="0" applyFont="1" applyFill="1" applyBorder="1" applyAlignment="1">
      <alignment horizontal="center" wrapText="1"/>
    </xf>
    <xf numFmtId="0" fontId="35" fillId="0" borderId="15" xfId="0" applyFont="1" applyBorder="1"/>
    <xf numFmtId="0" fontId="35" fillId="9" borderId="20" xfId="0" applyFont="1" applyFill="1" applyBorder="1" applyAlignment="1">
      <alignment horizontal="center" vertical="center" wrapText="1"/>
    </xf>
    <xf numFmtId="0" fontId="0" fillId="9" borderId="0" xfId="0" applyFill="1"/>
    <xf numFmtId="0" fontId="0" fillId="9" borderId="14" xfId="0" applyFill="1" applyBorder="1"/>
    <xf numFmtId="0" fontId="0" fillId="9" borderId="31" xfId="0" applyFill="1" applyBorder="1"/>
    <xf numFmtId="0" fontId="0" fillId="0" borderId="39" xfId="0" applyBorder="1"/>
    <xf numFmtId="0" fontId="0" fillId="9" borderId="26" xfId="0" applyFill="1" applyBorder="1"/>
    <xf numFmtId="0" fontId="0" fillId="9" borderId="26" xfId="0" applyFill="1" applyBorder="1" applyAlignment="1">
      <alignment horizontal="center"/>
    </xf>
    <xf numFmtId="0" fontId="0" fillId="9" borderId="42" xfId="0" applyFill="1" applyBorder="1"/>
    <xf numFmtId="0" fontId="0" fillId="9" borderId="43" xfId="0" applyFill="1" applyBorder="1"/>
    <xf numFmtId="0" fontId="0" fillId="9" borderId="44" xfId="0" applyFill="1" applyBorder="1"/>
    <xf numFmtId="0" fontId="0" fillId="9" borderId="45" xfId="0" applyFill="1" applyBorder="1" applyAlignment="1">
      <alignment horizontal="center"/>
    </xf>
    <xf numFmtId="0" fontId="0" fillId="9" borderId="45" xfId="0" applyFill="1" applyBorder="1"/>
    <xf numFmtId="0" fontId="0" fillId="9" borderId="46" xfId="0" applyFill="1" applyBorder="1"/>
    <xf numFmtId="0" fontId="35" fillId="9" borderId="47" xfId="0" applyFont="1" applyFill="1" applyBorder="1"/>
    <xf numFmtId="0" fontId="35" fillId="9" borderId="41" xfId="0" applyFont="1" applyFill="1" applyBorder="1"/>
    <xf numFmtId="0" fontId="35" fillId="9" borderId="48" xfId="0" applyFont="1" applyFill="1" applyBorder="1"/>
    <xf numFmtId="3" fontId="7" fillId="0" borderId="14" xfId="0" applyNumberFormat="1" applyFont="1" applyBorder="1"/>
    <xf numFmtId="3" fontId="7" fillId="0" borderId="16" xfId="0" applyNumberFormat="1" applyFont="1" applyBorder="1"/>
    <xf numFmtId="3" fontId="8" fillId="0" borderId="14" xfId="0" applyNumberFormat="1" applyFont="1" applyBorder="1"/>
    <xf numFmtId="3" fontId="8" fillId="0" borderId="16" xfId="0" applyNumberFormat="1" applyFont="1" applyBorder="1"/>
    <xf numFmtId="3" fontId="8" fillId="0" borderId="18" xfId="0" applyNumberFormat="1" applyFont="1" applyBorder="1"/>
    <xf numFmtId="3" fontId="8" fillId="0" borderId="19" xfId="0" applyNumberFormat="1" applyFont="1" applyBorder="1"/>
    <xf numFmtId="0" fontId="35" fillId="10" borderId="21" xfId="0" applyFont="1" applyFill="1" applyBorder="1" applyAlignment="1">
      <alignment horizontal="center" vertical="center" wrapText="1"/>
    </xf>
    <xf numFmtId="0" fontId="35" fillId="11" borderId="21" xfId="0" applyFont="1" applyFill="1" applyBorder="1" applyAlignment="1">
      <alignment horizontal="center" vertical="center" wrapText="1"/>
    </xf>
    <xf numFmtId="0" fontId="35" fillId="9" borderId="30" xfId="0" applyFont="1" applyFill="1" applyBorder="1" applyAlignment="1">
      <alignment horizontal="center" wrapText="1"/>
    </xf>
    <xf numFmtId="0" fontId="0" fillId="0" borderId="38" xfId="0" applyBorder="1" applyAlignment="1">
      <alignment wrapText="1"/>
    </xf>
    <xf numFmtId="0" fontId="35" fillId="9" borderId="14" xfId="0" applyFont="1" applyFill="1" applyBorder="1"/>
    <xf numFmtId="0" fontId="0" fillId="9" borderId="49" xfId="0" applyFill="1" applyBorder="1"/>
    <xf numFmtId="168" fontId="35" fillId="12" borderId="14" xfId="0" applyNumberFormat="1" applyFont="1" applyFill="1" applyBorder="1"/>
    <xf numFmtId="168" fontId="35" fillId="12" borderId="30" xfId="0" applyNumberFormat="1" applyFont="1" applyFill="1" applyBorder="1"/>
    <xf numFmtId="168" fontId="36" fillId="12" borderId="14" xfId="0" applyNumberFormat="1" applyFont="1" applyFill="1" applyBorder="1"/>
    <xf numFmtId="168" fontId="36" fillId="12" borderId="30" xfId="0" applyNumberFormat="1" applyFont="1" applyFill="1" applyBorder="1"/>
    <xf numFmtId="168" fontId="36" fillId="12" borderId="31" xfId="0" applyNumberFormat="1" applyFont="1" applyFill="1" applyBorder="1"/>
    <xf numFmtId="168" fontId="36" fillId="12" borderId="33" xfId="0" applyNumberFormat="1" applyFont="1" applyFill="1" applyBorder="1"/>
    <xf numFmtId="0" fontId="0" fillId="9" borderId="57" xfId="0" applyFill="1" applyBorder="1"/>
    <xf numFmtId="0" fontId="0" fillId="9" borderId="58" xfId="0" applyFill="1" applyBorder="1"/>
    <xf numFmtId="0" fontId="35" fillId="12" borderId="22" xfId="0" applyFont="1" applyFill="1" applyBorder="1" applyAlignment="1">
      <alignment horizontal="center" vertical="center" wrapText="1"/>
    </xf>
    <xf numFmtId="166" fontId="6" fillId="0" borderId="0" xfId="3" applyNumberFormat="1"/>
    <xf numFmtId="0" fontId="38" fillId="0" borderId="0" xfId="3" applyFont="1"/>
    <xf numFmtId="0" fontId="31" fillId="0" borderId="59" xfId="3" applyFont="1" applyBorder="1" applyAlignment="1">
      <alignment wrapText="1"/>
    </xf>
    <xf numFmtId="0" fontId="20" fillId="0" borderId="60" xfId="3" applyFont="1" applyBorder="1"/>
    <xf numFmtId="0" fontId="20" fillId="0" borderId="61" xfId="3" applyFont="1" applyBorder="1"/>
    <xf numFmtId="166" fontId="27" fillId="0" borderId="0" xfId="3" applyNumberFormat="1" applyFont="1" applyAlignment="1">
      <alignment horizontal="right"/>
    </xf>
    <xf numFmtId="166" fontId="27" fillId="0" borderId="49" xfId="3" applyNumberFormat="1" applyFont="1" applyBorder="1"/>
    <xf numFmtId="166" fontId="27" fillId="0" borderId="63" xfId="3" applyNumberFormat="1" applyFont="1" applyBorder="1"/>
    <xf numFmtId="166" fontId="28" fillId="0" borderId="65" xfId="3" applyNumberFormat="1" applyFont="1" applyBorder="1"/>
    <xf numFmtId="3" fontId="27" fillId="0" borderId="63" xfId="3" applyNumberFormat="1" applyFont="1" applyBorder="1"/>
    <xf numFmtId="3" fontId="27" fillId="0" borderId="49" xfId="3" applyNumberFormat="1" applyFont="1" applyBorder="1"/>
    <xf numFmtId="3" fontId="27" fillId="0" borderId="65" xfId="3" applyNumberFormat="1" applyFont="1" applyBorder="1"/>
    <xf numFmtId="166" fontId="28" fillId="0" borderId="63" xfId="3" applyNumberFormat="1" applyFont="1" applyBorder="1"/>
    <xf numFmtId="166" fontId="28" fillId="0" borderId="49" xfId="3" applyNumberFormat="1" applyFont="1" applyBorder="1"/>
    <xf numFmtId="0" fontId="20" fillId="11" borderId="38" xfId="3" applyFont="1" applyFill="1" applyBorder="1" applyAlignment="1">
      <alignment horizontal="left" vertical="center"/>
    </xf>
    <xf numFmtId="169" fontId="32" fillId="11" borderId="0" xfId="3" applyNumberFormat="1" applyFont="1" applyFill="1"/>
    <xf numFmtId="169" fontId="6" fillId="11" borderId="0" xfId="3" applyNumberFormat="1" applyFill="1"/>
    <xf numFmtId="169" fontId="6" fillId="11" borderId="49" xfId="3" applyNumberFormat="1" applyFill="1" applyBorder="1"/>
    <xf numFmtId="0" fontId="20" fillId="11" borderId="38" xfId="3" applyFont="1" applyFill="1" applyBorder="1" applyAlignment="1">
      <alignment horizontal="left" vertical="top"/>
    </xf>
    <xf numFmtId="169" fontId="32" fillId="11" borderId="0" xfId="3" applyNumberFormat="1" applyFont="1" applyFill="1" applyAlignment="1">
      <alignment horizontal="right" vertical="top"/>
    </xf>
    <xf numFmtId="0" fontId="20" fillId="14" borderId="38" xfId="3" applyFont="1" applyFill="1" applyBorder="1" applyAlignment="1">
      <alignment horizontal="left" vertical="center"/>
    </xf>
    <xf numFmtId="169" fontId="32" fillId="14" borderId="0" xfId="3" applyNumberFormat="1" applyFont="1" applyFill="1"/>
    <xf numFmtId="169" fontId="6" fillId="14" borderId="0" xfId="3" applyNumberFormat="1" applyFill="1"/>
    <xf numFmtId="166" fontId="27" fillId="0" borderId="0" xfId="3" applyNumberFormat="1" applyFont="1"/>
    <xf numFmtId="0" fontId="1" fillId="0" borderId="11" xfId="3" applyFont="1" applyBorder="1"/>
    <xf numFmtId="3" fontId="1" fillId="0" borderId="13" xfId="3" applyNumberFormat="1" applyFont="1" applyBorder="1"/>
    <xf numFmtId="169" fontId="1" fillId="14" borderId="0" xfId="3" applyNumberFormat="1" applyFont="1" applyFill="1"/>
    <xf numFmtId="169" fontId="1" fillId="14" borderId="49" xfId="3" applyNumberFormat="1" applyFont="1" applyFill="1" applyBorder="1"/>
    <xf numFmtId="0" fontId="0" fillId="0" borderId="4" xfId="0" applyBorder="1"/>
    <xf numFmtId="0" fontId="0" fillId="0" borderId="7" xfId="0" applyBorder="1"/>
    <xf numFmtId="3" fontId="28" fillId="0" borderId="0" xfId="3" applyNumberFormat="1" applyFont="1"/>
    <xf numFmtId="0" fontId="20" fillId="0" borderId="68" xfId="3" applyFont="1" applyBorder="1"/>
    <xf numFmtId="3" fontId="20" fillId="0" borderId="68" xfId="3" applyNumberFormat="1" applyFont="1" applyBorder="1"/>
    <xf numFmtId="0" fontId="0" fillId="0" borderId="66" xfId="0" applyBorder="1"/>
    <xf numFmtId="0" fontId="0" fillId="0" borderId="3" xfId="0" applyBorder="1"/>
    <xf numFmtId="0" fontId="0" fillId="0" borderId="69" xfId="0" applyBorder="1" applyAlignment="1">
      <alignment wrapText="1"/>
    </xf>
    <xf numFmtId="0" fontId="35" fillId="9" borderId="70" xfId="0" applyFont="1" applyFill="1" applyBorder="1" applyAlignment="1">
      <alignment horizontal="center" vertical="center" wrapText="1"/>
    </xf>
    <xf numFmtId="0" fontId="35" fillId="9" borderId="71" xfId="0" applyFont="1" applyFill="1" applyBorder="1" applyAlignment="1">
      <alignment horizontal="center" vertical="center" wrapText="1"/>
    </xf>
    <xf numFmtId="0" fontId="10" fillId="9" borderId="72" xfId="0" applyFont="1" applyFill="1" applyBorder="1" applyAlignment="1">
      <alignment horizontal="center" vertical="center" wrapText="1"/>
    </xf>
    <xf numFmtId="0" fontId="35" fillId="9" borderId="72" xfId="0" applyFont="1" applyFill="1" applyBorder="1" applyAlignment="1">
      <alignment horizontal="center" vertical="center" wrapText="1"/>
    </xf>
    <xf numFmtId="0" fontId="35" fillId="9" borderId="7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wrapText="1"/>
    </xf>
    <xf numFmtId="0" fontId="0" fillId="9" borderId="16" xfId="0" applyFill="1" applyBorder="1" applyAlignment="1">
      <alignment horizontal="center"/>
    </xf>
    <xf numFmtId="0" fontId="35" fillId="9" borderId="16" xfId="0" applyFont="1" applyFill="1" applyBorder="1" applyAlignment="1">
      <alignment horizontal="center" wrapText="1"/>
    </xf>
    <xf numFmtId="0" fontId="0" fillId="9" borderId="18" xfId="0" applyFill="1" applyBorder="1"/>
    <xf numFmtId="0" fontId="0" fillId="9" borderId="19" xfId="0" applyFill="1" applyBorder="1" applyAlignment="1">
      <alignment horizontal="center"/>
    </xf>
    <xf numFmtId="0" fontId="35" fillId="9" borderId="21" xfId="0" applyFont="1" applyFill="1" applyBorder="1" applyAlignment="1">
      <alignment horizontal="center" wrapText="1"/>
    </xf>
    <xf numFmtId="0" fontId="35" fillId="9" borderId="74" xfId="0" applyFont="1" applyFill="1" applyBorder="1" applyAlignment="1">
      <alignment horizontal="center" wrapText="1"/>
    </xf>
    <xf numFmtId="0" fontId="9" fillId="0" borderId="66" xfId="0" applyFont="1" applyBorder="1"/>
    <xf numFmtId="0" fontId="0" fillId="0" borderId="67" xfId="0" applyBorder="1"/>
    <xf numFmtId="0" fontId="0" fillId="0" borderId="5" xfId="0" applyBorder="1"/>
    <xf numFmtId="0" fontId="35" fillId="9" borderId="37" xfId="0" applyFont="1" applyFill="1" applyBorder="1" applyAlignment="1">
      <alignment horizontal="center"/>
    </xf>
    <xf numFmtId="0" fontId="35" fillId="9" borderId="32" xfId="0" applyFont="1" applyFill="1" applyBorder="1" applyAlignment="1">
      <alignment horizontal="center"/>
    </xf>
    <xf numFmtId="0" fontId="35" fillId="9" borderId="50" xfId="0" applyFont="1" applyFill="1" applyBorder="1" applyAlignment="1">
      <alignment horizontal="center"/>
    </xf>
    <xf numFmtId="0" fontId="35" fillId="13" borderId="27" xfId="0" applyFont="1" applyFill="1" applyBorder="1" applyAlignment="1">
      <alignment horizontal="center"/>
    </xf>
    <xf numFmtId="0" fontId="35" fillId="13" borderId="28" xfId="0" applyFont="1" applyFill="1" applyBorder="1" applyAlignment="1">
      <alignment horizontal="center"/>
    </xf>
    <xf numFmtId="0" fontId="35" fillId="13" borderId="29" xfId="0" applyFont="1" applyFill="1" applyBorder="1" applyAlignment="1">
      <alignment horizontal="center"/>
    </xf>
    <xf numFmtId="0" fontId="35" fillId="14" borderId="27" xfId="0" applyFont="1" applyFill="1" applyBorder="1" applyAlignment="1">
      <alignment horizontal="center"/>
    </xf>
    <xf numFmtId="0" fontId="35" fillId="14" borderId="28" xfId="0" applyFont="1" applyFill="1" applyBorder="1" applyAlignment="1">
      <alignment horizontal="center"/>
    </xf>
    <xf numFmtId="0" fontId="35" fillId="14" borderId="29" xfId="0" applyFont="1" applyFill="1" applyBorder="1" applyAlignment="1">
      <alignment horizontal="center"/>
    </xf>
    <xf numFmtId="0" fontId="35" fillId="15" borderId="27" xfId="0" applyFont="1" applyFill="1" applyBorder="1" applyAlignment="1">
      <alignment horizontal="center"/>
    </xf>
    <xf numFmtId="0" fontId="35" fillId="15" borderId="28" xfId="0" applyFont="1" applyFill="1" applyBorder="1" applyAlignment="1">
      <alignment horizontal="center"/>
    </xf>
    <xf numFmtId="0" fontId="35" fillId="15" borderId="29" xfId="0" applyFont="1" applyFill="1" applyBorder="1" applyAlignment="1">
      <alignment horizontal="center"/>
    </xf>
    <xf numFmtId="0" fontId="35" fillId="9" borderId="54" xfId="0" applyFont="1" applyFill="1" applyBorder="1" applyAlignment="1">
      <alignment horizontal="center"/>
    </xf>
    <xf numFmtId="0" fontId="35" fillId="9" borderId="55" xfId="0" applyFont="1" applyFill="1" applyBorder="1" applyAlignment="1">
      <alignment horizontal="center"/>
    </xf>
    <xf numFmtId="0" fontId="35" fillId="9" borderId="56" xfId="0" applyFont="1" applyFill="1" applyBorder="1" applyAlignment="1">
      <alignment horizontal="center"/>
    </xf>
    <xf numFmtId="0" fontId="35" fillId="11" borderId="51" xfId="0" applyFont="1" applyFill="1" applyBorder="1" applyAlignment="1">
      <alignment horizontal="center"/>
    </xf>
    <xf numFmtId="0" fontId="35" fillId="11" borderId="52" xfId="0" applyFont="1" applyFill="1" applyBorder="1" applyAlignment="1">
      <alignment horizontal="center"/>
    </xf>
    <xf numFmtId="0" fontId="35" fillId="11" borderId="53" xfId="0" applyFont="1" applyFill="1" applyBorder="1" applyAlignment="1">
      <alignment horizontal="center"/>
    </xf>
    <xf numFmtId="0" fontId="34" fillId="8" borderId="34" xfId="0" applyFont="1" applyFill="1" applyBorder="1" applyAlignment="1">
      <alignment horizontal="center"/>
    </xf>
    <xf numFmtId="0" fontId="34" fillId="8" borderId="39" xfId="0" applyFont="1" applyFill="1" applyBorder="1" applyAlignment="1">
      <alignment horizontal="center"/>
    </xf>
    <xf numFmtId="0" fontId="34" fillId="8" borderId="40" xfId="0" applyFont="1" applyFill="1" applyBorder="1" applyAlignment="1">
      <alignment horizontal="center"/>
    </xf>
    <xf numFmtId="0" fontId="35" fillId="0" borderId="35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4" fillId="0" borderId="66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67" xfId="0" applyFont="1" applyBorder="1" applyAlignment="1">
      <alignment horizontal="center"/>
    </xf>
    <xf numFmtId="0" fontId="34" fillId="8" borderId="11" xfId="0" applyFont="1" applyFill="1" applyBorder="1" applyAlignment="1">
      <alignment horizontal="center"/>
    </xf>
    <xf numFmtId="0" fontId="34" fillId="8" borderId="12" xfId="0" applyFont="1" applyFill="1" applyBorder="1" applyAlignment="1">
      <alignment horizontal="center"/>
    </xf>
    <xf numFmtId="0" fontId="34" fillId="8" borderId="13" xfId="0" applyFont="1" applyFill="1" applyBorder="1" applyAlignment="1">
      <alignment horizontal="center"/>
    </xf>
    <xf numFmtId="0" fontId="37" fillId="0" borderId="0" xfId="0" applyFont="1" applyAlignment="1">
      <alignment vertical="top" wrapText="1"/>
    </xf>
    <xf numFmtId="0" fontId="35" fillId="0" borderId="27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4" fillId="8" borderId="27" xfId="0" applyFont="1" applyFill="1" applyBorder="1" applyAlignment="1">
      <alignment horizontal="center"/>
    </xf>
    <xf numFmtId="0" fontId="34" fillId="8" borderId="28" xfId="0" applyFont="1" applyFill="1" applyBorder="1" applyAlignment="1">
      <alignment horizontal="center"/>
    </xf>
    <xf numFmtId="0" fontId="34" fillId="8" borderId="29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6" fillId="0" borderId="4" xfId="3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20" fillId="0" borderId="38" xfId="3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0" fontId="6" fillId="0" borderId="4" xfId="3" applyBorder="1" applyAlignment="1">
      <alignment horizontal="center" vertical="top"/>
    </xf>
    <xf numFmtId="0" fontId="3" fillId="0" borderId="34" xfId="3" applyFont="1" applyBorder="1" applyAlignment="1">
      <alignment horizontal="center" vertical="center" wrapText="1"/>
    </xf>
    <xf numFmtId="0" fontId="3" fillId="0" borderId="39" xfId="3" applyFont="1" applyBorder="1" applyAlignment="1">
      <alignment horizontal="center" vertical="center" wrapText="1"/>
    </xf>
    <xf numFmtId="0" fontId="3" fillId="0" borderId="40" xfId="3" applyFont="1" applyBorder="1" applyAlignment="1">
      <alignment horizontal="center" vertical="center" wrapText="1"/>
    </xf>
    <xf numFmtId="0" fontId="3" fillId="0" borderId="38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49" xfId="3" applyFont="1" applyBorder="1" applyAlignment="1">
      <alignment horizontal="center" vertical="center" wrapText="1"/>
    </xf>
    <xf numFmtId="0" fontId="3" fillId="0" borderId="37" xfId="3" applyFont="1" applyBorder="1" applyAlignment="1">
      <alignment horizontal="center" vertical="center" wrapText="1"/>
    </xf>
    <xf numFmtId="0" fontId="3" fillId="0" borderId="32" xfId="3" applyFont="1" applyBorder="1" applyAlignment="1">
      <alignment horizontal="center" vertical="center" wrapText="1"/>
    </xf>
    <xf numFmtId="0" fontId="3" fillId="0" borderId="50" xfId="3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4" fillId="0" borderId="3" xfId="0" applyFont="1" applyBorder="1" applyAlignment="1">
      <alignment vertical="top" wrapText="1"/>
    </xf>
    <xf numFmtId="0" fontId="24" fillId="0" borderId="0" xfId="0" applyFont="1" applyBorder="1" applyAlignment="1">
      <alignment vertical="top" wrapText="1"/>
    </xf>
    <xf numFmtId="0" fontId="40" fillId="0" borderId="0" xfId="0" applyFont="1"/>
    <xf numFmtId="0" fontId="9" fillId="0" borderId="77" xfId="0" applyFont="1" applyBorder="1"/>
    <xf numFmtId="0" fontId="9" fillId="0" borderId="77" xfId="0" applyFont="1" applyBorder="1" applyAlignment="1">
      <alignment horizontal="center"/>
    </xf>
    <xf numFmtId="0" fontId="10" fillId="17" borderId="77" xfId="0" applyFont="1" applyFill="1" applyBorder="1"/>
    <xf numFmtId="0" fontId="10" fillId="17" borderId="77" xfId="0" applyFont="1" applyFill="1" applyBorder="1" applyAlignment="1">
      <alignment horizontal="center"/>
    </xf>
    <xf numFmtId="2" fontId="10" fillId="17" borderId="77" xfId="0" applyNumberFormat="1" applyFont="1" applyFill="1" applyBorder="1" applyAlignment="1">
      <alignment horizontal="center"/>
    </xf>
    <xf numFmtId="0" fontId="10" fillId="16" borderId="77" xfId="0" applyFont="1" applyFill="1" applyBorder="1" applyAlignment="1">
      <alignment horizontal="center"/>
    </xf>
    <xf numFmtId="0" fontId="41" fillId="0" borderId="0" xfId="3" applyFont="1"/>
    <xf numFmtId="0" fontId="7" fillId="16" borderId="77" xfId="3" applyFont="1" applyFill="1" applyBorder="1" applyAlignment="1">
      <alignment horizontal="center"/>
    </xf>
    <xf numFmtId="0" fontId="8" fillId="0" borderId="77" xfId="3" applyFont="1" applyBorder="1"/>
    <xf numFmtId="3" fontId="42" fillId="0" borderId="77" xfId="3" applyNumberFormat="1" applyFont="1" applyBorder="1" applyAlignment="1">
      <alignment horizontal="center"/>
    </xf>
    <xf numFmtId="0" fontId="7" fillId="0" borderId="77" xfId="3" applyFont="1" applyBorder="1" applyAlignment="1">
      <alignment horizontal="center"/>
    </xf>
    <xf numFmtId="0" fontId="8" fillId="0" borderId="77" xfId="3" applyFont="1" applyBorder="1" applyAlignment="1">
      <alignment horizontal="center"/>
    </xf>
    <xf numFmtId="0" fontId="43" fillId="18" borderId="77" xfId="3" applyFont="1" applyFill="1" applyBorder="1"/>
    <xf numFmtId="3" fontId="44" fillId="18" borderId="77" xfId="3" applyNumberFormat="1" applyFont="1" applyFill="1" applyBorder="1" applyAlignment="1">
      <alignment horizontal="center"/>
    </xf>
    <xf numFmtId="0" fontId="45" fillId="18" borderId="77" xfId="3" applyFont="1" applyFill="1" applyBorder="1" applyAlignment="1">
      <alignment horizontal="center"/>
    </xf>
    <xf numFmtId="0" fontId="43" fillId="18" borderId="77" xfId="3" applyFont="1" applyFill="1" applyBorder="1" applyAlignment="1">
      <alignment horizontal="center"/>
    </xf>
    <xf numFmtId="0" fontId="38" fillId="0" borderId="75" xfId="3" applyFont="1" applyBorder="1" applyAlignment="1">
      <alignment horizontal="center" vertical="top" wrapText="1"/>
    </xf>
    <xf numFmtId="0" fontId="38" fillId="0" borderId="0" xfId="3" applyFont="1" applyAlignment="1">
      <alignment horizontal="center" vertical="top" wrapText="1"/>
    </xf>
    <xf numFmtId="0" fontId="39" fillId="0" borderId="0" xfId="0" applyFont="1" applyAlignment="1">
      <alignment horizontal="center" vertical="top" wrapText="1"/>
    </xf>
    <xf numFmtId="0" fontId="39" fillId="0" borderId="76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4" fillId="0" borderId="66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67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6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</cellXfs>
  <cellStyles count="6">
    <cellStyle name="Comma" xfId="5" builtinId="3"/>
    <cellStyle name="Currency" xfId="2" builtinId="4"/>
    <cellStyle name="Good" xfId="1" builtinId="26"/>
    <cellStyle name="Normal" xfId="0" builtinId="0"/>
    <cellStyle name="Normal 2" xfId="3" xr:uid="{27835D22-73CB-49A6-B776-A731103F1566}"/>
    <cellStyle name="STYLE0" xfId="4" xr:uid="{128B944E-D4F0-45FB-AF63-D0537D19D9C3}"/>
  </cellStyles>
  <dxfs count="3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land type acres at 100% restoration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Restoration (Acres)'!$I$40</c:f>
              <c:strCache>
                <c:ptCount val="1"/>
                <c:pt idx="0">
                  <c:v>Regional Acres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'Overall Restoration (Acres)'!$G$41:$H$54</c:f>
              <c:multiLvlStrCache>
                <c:ptCount val="14"/>
                <c:lvl>
                  <c:pt idx="0">
                    <c:v>Tidal</c:v>
                  </c:pt>
                  <c:pt idx="1">
                    <c:v>Tidal</c:v>
                  </c:pt>
                  <c:pt idx="2">
                    <c:v>Managed Wetland</c:v>
                  </c:pt>
                  <c:pt idx="3">
                    <c:v>Soil</c:v>
                  </c:pt>
                  <c:pt idx="4">
                    <c:v>Tidal</c:v>
                  </c:pt>
                  <c:pt idx="5">
                    <c:v>Managed Wetland</c:v>
                  </c:pt>
                  <c:pt idx="6">
                    <c:v>Soil</c:v>
                  </c:pt>
                  <c:pt idx="7">
                    <c:v>Transitional</c:v>
                  </c:pt>
                  <c:pt idx="8">
                    <c:v>Managed Wetland</c:v>
                  </c:pt>
                  <c:pt idx="9">
                    <c:v>Soil</c:v>
                  </c:pt>
                  <c:pt idx="10">
                    <c:v>Transitional</c:v>
                  </c:pt>
                  <c:pt idx="11">
                    <c:v>Meadows</c:v>
                  </c:pt>
                  <c:pt idx="12">
                    <c:v>Floodplain</c:v>
                  </c:pt>
                  <c:pt idx="13">
                    <c:v>Wetlands</c:v>
                  </c:pt>
                </c:lvl>
                <c:lvl>
                  <c:pt idx="0">
                    <c:v>Suisun</c:v>
                  </c:pt>
                  <c:pt idx="1">
                    <c:v>Central</c:v>
                  </c:pt>
                  <c:pt idx="4">
                    <c:v>North</c:v>
                  </c:pt>
                  <c:pt idx="8">
                    <c:v>South</c:v>
                  </c:pt>
                  <c:pt idx="11">
                    <c:v>Upland</c:v>
                  </c:pt>
                </c:lvl>
              </c:multiLvlStrCache>
            </c:multiLvlStrRef>
          </c:cat>
          <c:val>
            <c:numRef>
              <c:f>'Overall Restoration (Acres)'!$I$41:$I$54</c:f>
              <c:numCache>
                <c:formatCode>#,##0</c:formatCode>
                <c:ptCount val="14"/>
                <c:pt idx="0">
                  <c:v>41914.112043193833</c:v>
                </c:pt>
                <c:pt idx="1">
                  <c:v>3324.508165315764</c:v>
                </c:pt>
                <c:pt idx="2">
                  <c:v>29367</c:v>
                </c:pt>
                <c:pt idx="3">
                  <c:v>34255.256684547981</c:v>
                </c:pt>
                <c:pt idx="4">
                  <c:v>25938.421943390429</c:v>
                </c:pt>
                <c:pt idx="5">
                  <c:v>84385</c:v>
                </c:pt>
                <c:pt idx="6">
                  <c:v>93152.201648204791</c:v>
                </c:pt>
                <c:pt idx="7">
                  <c:v>80428.560441558366</c:v>
                </c:pt>
                <c:pt idx="8">
                  <c:v>130507</c:v>
                </c:pt>
                <c:pt idx="9">
                  <c:v>79914.46236820989</c:v>
                </c:pt>
                <c:pt idx="10">
                  <c:v>67259.975054850249</c:v>
                </c:pt>
                <c:pt idx="11">
                  <c:v>347591</c:v>
                </c:pt>
                <c:pt idx="12">
                  <c:v>303372</c:v>
                </c:pt>
                <c:pt idx="13">
                  <c:v>207004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1-4D97-98CB-175F3D299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272079"/>
        <c:axId val="580272559"/>
      </c:barChart>
      <c:catAx>
        <c:axId val="58027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72559"/>
        <c:crosses val="autoZero"/>
        <c:auto val="1"/>
        <c:lblAlgn val="ctr"/>
        <c:lblOffset val="100"/>
        <c:noMultiLvlLbl val="0"/>
      </c:catAx>
      <c:valAx>
        <c:axId val="580272559"/>
        <c:scaling>
          <c:orientation val="minMax"/>
          <c:max val="3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Acres</a:t>
                </a:r>
              </a:p>
            </c:rich>
          </c:tx>
          <c:layout>
            <c:manualLayout>
              <c:xMode val="edge"/>
              <c:yMode val="edge"/>
              <c:x val="6.7001675041876048E-3"/>
              <c:y val="0.44676513796431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7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'Restoration ($) Combined'!$E$3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Combined'!$E$4:$E$42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4684150.4499999993</c:v>
                </c:pt>
                <c:pt idx="9">
                  <c:v>3340603.6999999997</c:v>
                </c:pt>
                <c:pt idx="10">
                  <c:v>2491436.8499999996</c:v>
                </c:pt>
                <c:pt idx="11">
                  <c:v>2579779.65</c:v>
                </c:pt>
                <c:pt idx="12">
                  <c:v>58895.199999999997</c:v>
                </c:pt>
                <c:pt idx="13">
                  <c:v>711839.1</c:v>
                </c:pt>
                <c:pt idx="14">
                  <c:v>2608094.65</c:v>
                </c:pt>
                <c:pt idx="15">
                  <c:v>831328.39999999991</c:v>
                </c:pt>
                <c:pt idx="16">
                  <c:v>3654617.05</c:v>
                </c:pt>
                <c:pt idx="17">
                  <c:v>2932867.6999999997</c:v>
                </c:pt>
                <c:pt idx="18">
                  <c:v>1680778.4</c:v>
                </c:pt>
                <c:pt idx="19">
                  <c:v>876066.1</c:v>
                </c:pt>
                <c:pt idx="20">
                  <c:v>329869.75</c:v>
                </c:pt>
                <c:pt idx="21">
                  <c:v>1026418.7499999999</c:v>
                </c:pt>
                <c:pt idx="22">
                  <c:v>910610.39999999991</c:v>
                </c:pt>
                <c:pt idx="23">
                  <c:v>1909280.45</c:v>
                </c:pt>
                <c:pt idx="24">
                  <c:v>596030.75</c:v>
                </c:pt>
                <c:pt idx="25">
                  <c:v>1715888.9999999998</c:v>
                </c:pt>
                <c:pt idx="26">
                  <c:v>3433760.05</c:v>
                </c:pt>
                <c:pt idx="27">
                  <c:v>396693.14999999997</c:v>
                </c:pt>
                <c:pt idx="28">
                  <c:v>10097978.449999999</c:v>
                </c:pt>
                <c:pt idx="29">
                  <c:v>7007962.4999999991</c:v>
                </c:pt>
                <c:pt idx="30">
                  <c:v>2036697.9499999997</c:v>
                </c:pt>
                <c:pt idx="31">
                  <c:v>512218.35</c:v>
                </c:pt>
                <c:pt idx="32">
                  <c:v>273239.75</c:v>
                </c:pt>
                <c:pt idx="33">
                  <c:v>674746.45</c:v>
                </c:pt>
                <c:pt idx="34">
                  <c:v>699380.5</c:v>
                </c:pt>
                <c:pt idx="35">
                  <c:v>1566668.95</c:v>
                </c:pt>
                <c:pt idx="36">
                  <c:v>1193194.0999999999</c:v>
                </c:pt>
                <c:pt idx="37">
                  <c:v>219158.09999999998</c:v>
                </c:pt>
                <c:pt idx="38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3-4908-B802-644FC9BFAA62}"/>
            </c:ext>
          </c:extLst>
        </c:ser>
        <c:ser>
          <c:idx val="2"/>
          <c:order val="2"/>
          <c:tx>
            <c:strRef>
              <c:f>'Restoration ($) Combined'!$F$3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Combined'!$F$4:$F$42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6162102.0700000003</c:v>
                </c:pt>
                <c:pt idx="9">
                  <c:v>4394637.0200000005</c:v>
                </c:pt>
                <c:pt idx="10">
                  <c:v>3277539.5100000002</c:v>
                </c:pt>
                <c:pt idx="11">
                  <c:v>3393756.39</c:v>
                </c:pt>
                <c:pt idx="12">
                  <c:v>77477.919999999998</c:v>
                </c:pt>
                <c:pt idx="13">
                  <c:v>936439.86</c:v>
                </c:pt>
                <c:pt idx="14">
                  <c:v>3431005.39</c:v>
                </c:pt>
                <c:pt idx="15">
                  <c:v>1093630.6400000001</c:v>
                </c:pt>
                <c:pt idx="16">
                  <c:v>4807728.43</c:v>
                </c:pt>
                <c:pt idx="17">
                  <c:v>3858251.42</c:v>
                </c:pt>
                <c:pt idx="18">
                  <c:v>2211100.64</c:v>
                </c:pt>
                <c:pt idx="19">
                  <c:v>1152484.06</c:v>
                </c:pt>
                <c:pt idx="20">
                  <c:v>433950.85000000003</c:v>
                </c:pt>
                <c:pt idx="21">
                  <c:v>1350276.25</c:v>
                </c:pt>
                <c:pt idx="22">
                  <c:v>1197927.8400000001</c:v>
                </c:pt>
                <c:pt idx="23">
                  <c:v>2511700.0699999998</c:v>
                </c:pt>
                <c:pt idx="24">
                  <c:v>784091.45000000007</c:v>
                </c:pt>
                <c:pt idx="25">
                  <c:v>2257289.4</c:v>
                </c:pt>
                <c:pt idx="26">
                  <c:v>4517186.2300000004</c:v>
                </c:pt>
                <c:pt idx="27">
                  <c:v>521858.49</c:v>
                </c:pt>
                <c:pt idx="28">
                  <c:v>13284110.870000001</c:v>
                </c:pt>
                <c:pt idx="29">
                  <c:v>9219127.5</c:v>
                </c:pt>
                <c:pt idx="30">
                  <c:v>2679320.5700000003</c:v>
                </c:pt>
                <c:pt idx="31">
                  <c:v>673834.41</c:v>
                </c:pt>
                <c:pt idx="32">
                  <c:v>359452.85000000003</c:v>
                </c:pt>
                <c:pt idx="33">
                  <c:v>887643.67</c:v>
                </c:pt>
                <c:pt idx="34">
                  <c:v>920050.3</c:v>
                </c:pt>
                <c:pt idx="35">
                  <c:v>2060987.1700000002</c:v>
                </c:pt>
                <c:pt idx="36">
                  <c:v>1569672.86</c:v>
                </c:pt>
                <c:pt idx="37">
                  <c:v>288307.26</c:v>
                </c:pt>
                <c:pt idx="38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C3-4908-B802-644FC9BFAA62}"/>
            </c:ext>
          </c:extLst>
        </c:ser>
        <c:ser>
          <c:idx val="4"/>
          <c:order val="4"/>
          <c:tx>
            <c:strRef>
              <c:f>'Restoration ($) Combined'!$H$3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Combined'!$H$4:$H$42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2680296.8600000003</c:v>
                </c:pt>
                <c:pt idx="9">
                  <c:v>1911511.9600000002</c:v>
                </c:pt>
                <c:pt idx="10">
                  <c:v>1425613.98</c:v>
                </c:pt>
                <c:pt idx="11">
                  <c:v>1476164.2200000002</c:v>
                </c:pt>
                <c:pt idx="12">
                  <c:v>33700.160000000003</c:v>
                </c:pt>
                <c:pt idx="13">
                  <c:v>407318.28</c:v>
                </c:pt>
                <c:pt idx="14">
                  <c:v>1492366.2200000002</c:v>
                </c:pt>
                <c:pt idx="15">
                  <c:v>475690.72000000003</c:v>
                </c:pt>
                <c:pt idx="16">
                  <c:v>2091192.1400000001</c:v>
                </c:pt>
                <c:pt idx="17">
                  <c:v>1678203.1600000001</c:v>
                </c:pt>
                <c:pt idx="18">
                  <c:v>961750.72000000009</c:v>
                </c:pt>
                <c:pt idx="19">
                  <c:v>501289.88</c:v>
                </c:pt>
                <c:pt idx="20">
                  <c:v>188753.30000000002</c:v>
                </c:pt>
                <c:pt idx="21">
                  <c:v>587322.5</c:v>
                </c:pt>
                <c:pt idx="22">
                  <c:v>521056.32</c:v>
                </c:pt>
                <c:pt idx="23">
                  <c:v>1092500.8600000001</c:v>
                </c:pt>
                <c:pt idx="24">
                  <c:v>341052.10000000003</c:v>
                </c:pt>
                <c:pt idx="25">
                  <c:v>981841.20000000007</c:v>
                </c:pt>
                <c:pt idx="26">
                  <c:v>1964816.54</c:v>
                </c:pt>
                <c:pt idx="27">
                  <c:v>226990.02000000002</c:v>
                </c:pt>
                <c:pt idx="28">
                  <c:v>5778119.2600000007</c:v>
                </c:pt>
                <c:pt idx="29">
                  <c:v>4009995.0000000005</c:v>
                </c:pt>
                <c:pt idx="30">
                  <c:v>1165409.8600000001</c:v>
                </c:pt>
                <c:pt idx="31">
                  <c:v>293094.18</c:v>
                </c:pt>
                <c:pt idx="32">
                  <c:v>156349.30000000002</c:v>
                </c:pt>
                <c:pt idx="33">
                  <c:v>386093.66000000003</c:v>
                </c:pt>
                <c:pt idx="34">
                  <c:v>400189.4</c:v>
                </c:pt>
                <c:pt idx="35">
                  <c:v>896456.66</c:v>
                </c:pt>
                <c:pt idx="36">
                  <c:v>682752.28</c:v>
                </c:pt>
                <c:pt idx="37">
                  <c:v>125403.48000000001</c:v>
                </c:pt>
                <c:pt idx="38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C3-4908-B802-644FC9BFAA62}"/>
            </c:ext>
          </c:extLst>
        </c:ser>
        <c:ser>
          <c:idx val="6"/>
          <c:order val="6"/>
          <c:tx>
            <c:strRef>
              <c:f>'Restoration ($) Combined'!$J$3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Combined'!$J$4:$J$42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1540484.1600000001</c:v>
                </c:pt>
                <c:pt idx="9">
                  <c:v>1098629.76</c:v>
                </c:pt>
                <c:pt idx="10">
                  <c:v>819362.88</c:v>
                </c:pt>
                <c:pt idx="11">
                  <c:v>848416.32000000007</c:v>
                </c:pt>
                <c:pt idx="12">
                  <c:v>19368.96</c:v>
                </c:pt>
                <c:pt idx="13">
                  <c:v>234103.68000000002</c:v>
                </c:pt>
                <c:pt idx="14">
                  <c:v>857728.32000000007</c:v>
                </c:pt>
                <c:pt idx="15">
                  <c:v>273400.32000000001</c:v>
                </c:pt>
                <c:pt idx="16">
                  <c:v>1201899.8400000001</c:v>
                </c:pt>
                <c:pt idx="17">
                  <c:v>964536.96000000008</c:v>
                </c:pt>
                <c:pt idx="18">
                  <c:v>552760.32000000007</c:v>
                </c:pt>
                <c:pt idx="19">
                  <c:v>288113.28000000003</c:v>
                </c:pt>
                <c:pt idx="20">
                  <c:v>108484.8</c:v>
                </c:pt>
                <c:pt idx="21">
                  <c:v>337560</c:v>
                </c:pt>
                <c:pt idx="22">
                  <c:v>299473.92000000004</c:v>
                </c:pt>
                <c:pt idx="23">
                  <c:v>627908.16</c:v>
                </c:pt>
                <c:pt idx="24">
                  <c:v>196017.6</c:v>
                </c:pt>
                <c:pt idx="25">
                  <c:v>564307.20000000007</c:v>
                </c:pt>
                <c:pt idx="26">
                  <c:v>1129266.24</c:v>
                </c:pt>
                <c:pt idx="27">
                  <c:v>130461.12000000001</c:v>
                </c:pt>
                <c:pt idx="28">
                  <c:v>3320938.56</c:v>
                </c:pt>
                <c:pt idx="29">
                  <c:v>2304720</c:v>
                </c:pt>
                <c:pt idx="30">
                  <c:v>669812.16</c:v>
                </c:pt>
                <c:pt idx="31">
                  <c:v>168454.08000000002</c:v>
                </c:pt>
                <c:pt idx="32">
                  <c:v>89860.800000000003</c:v>
                </c:pt>
                <c:pt idx="33">
                  <c:v>221904.96000000002</c:v>
                </c:pt>
                <c:pt idx="34">
                  <c:v>230006.40000000002</c:v>
                </c:pt>
                <c:pt idx="35">
                  <c:v>515232.96</c:v>
                </c:pt>
                <c:pt idx="36">
                  <c:v>392407.68</c:v>
                </c:pt>
                <c:pt idx="37">
                  <c:v>72074.880000000005</c:v>
                </c:pt>
                <c:pt idx="38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C3-4908-B802-644FC9BFA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7487984"/>
        <c:axId val="1087488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'Restoration ($) Combined'!$D$3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'Restoration ($) Combined'!$C$4:$C$42</c15:sqref>
                        </c15:formulaRef>
                      </c:ext>
                    </c:extLst>
                    <c:strCache>
                      <c:ptCount val="39"/>
                      <c:pt idx="0">
                        <c:v>Suisun</c:v>
                      </c:pt>
                      <c:pt idx="1">
                        <c:v>Bethel Island</c:v>
                      </c:pt>
                      <c:pt idx="2">
                        <c:v>Jersey Island</c:v>
                      </c:pt>
                      <c:pt idx="3">
                        <c:v>Webb Tract</c:v>
                      </c:pt>
                      <c:pt idx="4">
                        <c:v>Bradford Island</c:v>
                      </c:pt>
                      <c:pt idx="5">
                        <c:v>Sherman Island</c:v>
                      </c:pt>
                      <c:pt idx="6">
                        <c:v>Franks Tract</c:v>
                      </c:pt>
                      <c:pt idx="7">
                        <c:v>Twitchell Island</c:v>
                      </c:pt>
                      <c:pt idx="8">
                        <c:v>Grand Island</c:v>
                      </c:pt>
                      <c:pt idx="9">
                        <c:v>Ryer Island</c:v>
                      </c:pt>
                      <c:pt idx="10">
                        <c:v>Tyler Island</c:v>
                      </c:pt>
                      <c:pt idx="11">
                        <c:v>Staten Island</c:v>
                      </c:pt>
                      <c:pt idx="12">
                        <c:v>Dead Horse Island</c:v>
                      </c:pt>
                      <c:pt idx="13">
                        <c:v>Sutter Island</c:v>
                      </c:pt>
                      <c:pt idx="14">
                        <c:v>New Hope Tract</c:v>
                      </c:pt>
                      <c:pt idx="15">
                        <c:v>Canal Ranch Tract</c:v>
                      </c:pt>
                      <c:pt idx="16">
                        <c:v>Brannan Island</c:v>
                      </c:pt>
                      <c:pt idx="17">
                        <c:v>Terminous Tract</c:v>
                      </c:pt>
                      <c:pt idx="18">
                        <c:v>Bouldin Island</c:v>
                      </c:pt>
                      <c:pt idx="19">
                        <c:v>Venice Island</c:v>
                      </c:pt>
                      <c:pt idx="20">
                        <c:v>Medford Island</c:v>
                      </c:pt>
                      <c:pt idx="21">
                        <c:v>Empire Tract</c:v>
                      </c:pt>
                      <c:pt idx="22">
                        <c:v>King Island</c:v>
                      </c:pt>
                      <c:pt idx="23">
                        <c:v>Rindge Tract</c:v>
                      </c:pt>
                      <c:pt idx="24">
                        <c:v>Wright-Elmwood Tract</c:v>
                      </c:pt>
                      <c:pt idx="25">
                        <c:v>McDonald Tract</c:v>
                      </c:pt>
                      <c:pt idx="26">
                        <c:v>Jones Tract</c:v>
                      </c:pt>
                      <c:pt idx="27">
                        <c:v>Rough and Ready</c:v>
                      </c:pt>
                      <c:pt idx="28">
                        <c:v>Roberts Island</c:v>
                      </c:pt>
                      <c:pt idx="29">
                        <c:v>Union Island</c:v>
                      </c:pt>
                      <c:pt idx="30">
                        <c:v>Victoria Island</c:v>
                      </c:pt>
                      <c:pt idx="31">
                        <c:v>Woodward Island</c:v>
                      </c:pt>
                      <c:pt idx="32">
                        <c:v>Coney Island</c:v>
                      </c:pt>
                      <c:pt idx="33">
                        <c:v>Orowood Tract</c:v>
                      </c:pt>
                      <c:pt idx="34">
                        <c:v>Palm Tract</c:v>
                      </c:pt>
                      <c:pt idx="35">
                        <c:v>Bacon Island</c:v>
                      </c:pt>
                      <c:pt idx="36">
                        <c:v>Holland Tract</c:v>
                      </c:pt>
                      <c:pt idx="37">
                        <c:v>Quinby Island</c:v>
                      </c:pt>
                      <c:pt idx="38">
                        <c:v>Mandeville Island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'Restoration ($) Combined'!$D$4:$D$42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14724008.419653563</c:v>
                      </c:pt>
                      <c:pt idx="1">
                        <c:v>1131153.8</c:v>
                      </c:pt>
                      <c:pt idx="2">
                        <c:v>1215112.1100000001</c:v>
                      </c:pt>
                      <c:pt idx="3">
                        <c:v>1909612.4400000002</c:v>
                      </c:pt>
                      <c:pt idx="4">
                        <c:v>750004.15</c:v>
                      </c:pt>
                      <c:pt idx="5">
                        <c:v>3575429.62</c:v>
                      </c:pt>
                      <c:pt idx="6">
                        <c:v>484780.2</c:v>
                      </c:pt>
                      <c:pt idx="7">
                        <c:v>1250241.1100000001</c:v>
                      </c:pt>
                      <c:pt idx="8">
                        <c:v>5811390.4700000007</c:v>
                      </c:pt>
                      <c:pt idx="9">
                        <c:v>4144519.4200000004</c:v>
                      </c:pt>
                      <c:pt idx="10">
                        <c:v>3091000.71</c:v>
                      </c:pt>
                      <c:pt idx="11">
                        <c:v>3200603.1900000004</c:v>
                      </c:pt>
                      <c:pt idx="12">
                        <c:v>73068.320000000007</c:v>
                      </c:pt>
                      <c:pt idx="13">
                        <c:v>883143.06</c:v>
                      </c:pt>
                      <c:pt idx="14">
                        <c:v>3235732.1900000004</c:v>
                      </c:pt>
                      <c:pt idx="15">
                        <c:v>1031387.4400000001</c:v>
                      </c:pt>
                      <c:pt idx="16">
                        <c:v>4534100.03</c:v>
                      </c:pt>
                      <c:pt idx="17">
                        <c:v>3638661.8200000003</c:v>
                      </c:pt>
                      <c:pt idx="18">
                        <c:v>2085257.4400000002</c:v>
                      </c:pt>
                      <c:pt idx="19">
                        <c:v>1086891.26</c:v>
                      </c:pt>
                      <c:pt idx="20">
                        <c:v>409252.85000000003</c:v>
                      </c:pt>
                      <c:pt idx="21">
                        <c:v>1273426.25</c:v>
                      </c:pt>
                      <c:pt idx="22">
                        <c:v>1129748.6400000001</c:v>
                      </c:pt>
                      <c:pt idx="23">
                        <c:v>2368748.4700000002</c:v>
                      </c:pt>
                      <c:pt idx="24">
                        <c:v>739465.45000000007</c:v>
                      </c:pt>
                      <c:pt idx="25">
                        <c:v>2128817.4</c:v>
                      </c:pt>
                      <c:pt idx="26">
                        <c:v>4260093.83</c:v>
                      </c:pt>
                      <c:pt idx="27">
                        <c:v>492157.29000000004</c:v>
                      </c:pt>
                      <c:pt idx="28">
                        <c:v>12528055.270000001</c:v>
                      </c:pt>
                      <c:pt idx="29">
                        <c:v>8694427.5</c:v>
                      </c:pt>
                      <c:pt idx="30">
                        <c:v>2526828.9700000002</c:v>
                      </c:pt>
                      <c:pt idx="31">
                        <c:v>635483.61</c:v>
                      </c:pt>
                      <c:pt idx="32">
                        <c:v>338994.85000000003</c:v>
                      </c:pt>
                      <c:pt idx="33">
                        <c:v>837124.07000000007</c:v>
                      </c:pt>
                      <c:pt idx="34">
                        <c:v>867686.3</c:v>
                      </c:pt>
                      <c:pt idx="35">
                        <c:v>1943687.57</c:v>
                      </c:pt>
                      <c:pt idx="36">
                        <c:v>1480336.06</c:v>
                      </c:pt>
                      <c:pt idx="37">
                        <c:v>271898.46000000002</c:v>
                      </c:pt>
                      <c:pt idx="38">
                        <c:v>1832679.9300000002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5C3-4908-B802-644FC9BFAA6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Combined'!$G$3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Combined'!$C$4:$C$42</c15:sqref>
                        </c15:formulaRef>
                      </c:ext>
                    </c:extLst>
                    <c:strCache>
                      <c:ptCount val="39"/>
                      <c:pt idx="0">
                        <c:v>Suisun</c:v>
                      </c:pt>
                      <c:pt idx="1">
                        <c:v>Bethel Island</c:v>
                      </c:pt>
                      <c:pt idx="2">
                        <c:v>Jersey Island</c:v>
                      </c:pt>
                      <c:pt idx="3">
                        <c:v>Webb Tract</c:v>
                      </c:pt>
                      <c:pt idx="4">
                        <c:v>Bradford Island</c:v>
                      </c:pt>
                      <c:pt idx="5">
                        <c:v>Sherman Island</c:v>
                      </c:pt>
                      <c:pt idx="6">
                        <c:v>Franks Tract</c:v>
                      </c:pt>
                      <c:pt idx="7">
                        <c:v>Twitchell Island</c:v>
                      </c:pt>
                      <c:pt idx="8">
                        <c:v>Grand Island</c:v>
                      </c:pt>
                      <c:pt idx="9">
                        <c:v>Ryer Island</c:v>
                      </c:pt>
                      <c:pt idx="10">
                        <c:v>Tyler Island</c:v>
                      </c:pt>
                      <c:pt idx="11">
                        <c:v>Staten Island</c:v>
                      </c:pt>
                      <c:pt idx="12">
                        <c:v>Dead Horse Island</c:v>
                      </c:pt>
                      <c:pt idx="13">
                        <c:v>Sutter Island</c:v>
                      </c:pt>
                      <c:pt idx="14">
                        <c:v>New Hope Tract</c:v>
                      </c:pt>
                      <c:pt idx="15">
                        <c:v>Canal Ranch Tract</c:v>
                      </c:pt>
                      <c:pt idx="16">
                        <c:v>Brannan Island</c:v>
                      </c:pt>
                      <c:pt idx="17">
                        <c:v>Terminous Tract</c:v>
                      </c:pt>
                      <c:pt idx="18">
                        <c:v>Bouldin Island</c:v>
                      </c:pt>
                      <c:pt idx="19">
                        <c:v>Venice Island</c:v>
                      </c:pt>
                      <c:pt idx="20">
                        <c:v>Medford Island</c:v>
                      </c:pt>
                      <c:pt idx="21">
                        <c:v>Empire Tract</c:v>
                      </c:pt>
                      <c:pt idx="22">
                        <c:v>King Island</c:v>
                      </c:pt>
                      <c:pt idx="23">
                        <c:v>Rindge Tract</c:v>
                      </c:pt>
                      <c:pt idx="24">
                        <c:v>Wright-Elmwood Tract</c:v>
                      </c:pt>
                      <c:pt idx="25">
                        <c:v>McDonald Tract</c:v>
                      </c:pt>
                      <c:pt idx="26">
                        <c:v>Jones Tract</c:v>
                      </c:pt>
                      <c:pt idx="27">
                        <c:v>Rough and Ready</c:v>
                      </c:pt>
                      <c:pt idx="28">
                        <c:v>Roberts Island</c:v>
                      </c:pt>
                      <c:pt idx="29">
                        <c:v>Union Island</c:v>
                      </c:pt>
                      <c:pt idx="30">
                        <c:v>Victoria Island</c:v>
                      </c:pt>
                      <c:pt idx="31">
                        <c:v>Woodward Island</c:v>
                      </c:pt>
                      <c:pt idx="32">
                        <c:v>Coney Island</c:v>
                      </c:pt>
                      <c:pt idx="33">
                        <c:v>Orowood Tract</c:v>
                      </c:pt>
                      <c:pt idx="34">
                        <c:v>Palm Tract</c:v>
                      </c:pt>
                      <c:pt idx="35">
                        <c:v>Bacon Island</c:v>
                      </c:pt>
                      <c:pt idx="36">
                        <c:v>Holland Tract</c:v>
                      </c:pt>
                      <c:pt idx="37">
                        <c:v>Quinby Island</c:v>
                      </c:pt>
                      <c:pt idx="38">
                        <c:v>Mandeville Island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Combined'!$G$4:$G$42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9138952.9898979831</c:v>
                      </c:pt>
                      <c:pt idx="1">
                        <c:v>702088.79999999993</c:v>
                      </c:pt>
                      <c:pt idx="2">
                        <c:v>754200.36</c:v>
                      </c:pt>
                      <c:pt idx="3">
                        <c:v>1185265.44</c:v>
                      </c:pt>
                      <c:pt idx="4">
                        <c:v>465515.39999999997</c:v>
                      </c:pt>
                      <c:pt idx="5">
                        <c:v>2219211.12</c:v>
                      </c:pt>
                      <c:pt idx="6">
                        <c:v>300895.2</c:v>
                      </c:pt>
                      <c:pt idx="7">
                        <c:v>776004.36</c:v>
                      </c:pt>
                      <c:pt idx="8">
                        <c:v>3607035.7199999997</c:v>
                      </c:pt>
                      <c:pt idx="9">
                        <c:v>2572435.92</c:v>
                      </c:pt>
                      <c:pt idx="10">
                        <c:v>1918533.96</c:v>
                      </c:pt>
                      <c:pt idx="11">
                        <c:v>1986562.44</c:v>
                      </c:pt>
                      <c:pt idx="12">
                        <c:v>45352.32</c:v>
                      </c:pt>
                      <c:pt idx="13">
                        <c:v>548152.55999999994</c:v>
                      </c:pt>
                      <c:pt idx="14">
                        <c:v>2008366.44</c:v>
                      </c:pt>
                      <c:pt idx="15">
                        <c:v>640165.43999999994</c:v>
                      </c:pt>
                      <c:pt idx="16">
                        <c:v>2814242.28</c:v>
                      </c:pt>
                      <c:pt idx="17">
                        <c:v>2258458.3199999998</c:v>
                      </c:pt>
                      <c:pt idx="18">
                        <c:v>1294285.44</c:v>
                      </c:pt>
                      <c:pt idx="19">
                        <c:v>674615.76</c:v>
                      </c:pt>
                      <c:pt idx="20">
                        <c:v>254016.59999999998</c:v>
                      </c:pt>
                      <c:pt idx="21">
                        <c:v>790395</c:v>
                      </c:pt>
                      <c:pt idx="22">
                        <c:v>701216.64</c:v>
                      </c:pt>
                      <c:pt idx="23">
                        <c:v>1470243.72</c:v>
                      </c:pt>
                      <c:pt idx="24">
                        <c:v>458974.2</c:v>
                      </c:pt>
                      <c:pt idx="25">
                        <c:v>1321322.3999999999</c:v>
                      </c:pt>
                      <c:pt idx="26">
                        <c:v>2644171.08</c:v>
                      </c:pt>
                      <c:pt idx="27">
                        <c:v>305474.03999999998</c:v>
                      </c:pt>
                      <c:pt idx="28">
                        <c:v>7775960.5199999996</c:v>
                      </c:pt>
                      <c:pt idx="29">
                        <c:v>5396490</c:v>
                      </c:pt>
                      <c:pt idx="30">
                        <c:v>1568361.72</c:v>
                      </c:pt>
                      <c:pt idx="31">
                        <c:v>394434.36</c:v>
                      </c:pt>
                      <c:pt idx="32">
                        <c:v>210408.6</c:v>
                      </c:pt>
                      <c:pt idx="33">
                        <c:v>519589.32</c:v>
                      </c:pt>
                      <c:pt idx="34">
                        <c:v>538558.79999999993</c:v>
                      </c:pt>
                      <c:pt idx="35">
                        <c:v>1206415.32</c:v>
                      </c:pt>
                      <c:pt idx="36">
                        <c:v>918820.55999999994</c:v>
                      </c:pt>
                      <c:pt idx="37">
                        <c:v>168762.96</c:v>
                      </c:pt>
                      <c:pt idx="38">
                        <c:v>1137514.68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5C3-4908-B802-644FC9BFAA6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Combined'!$I$3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Combined'!$C$4:$C$42</c15:sqref>
                        </c15:formulaRef>
                      </c:ext>
                    </c:extLst>
                    <c:strCache>
                      <c:ptCount val="39"/>
                      <c:pt idx="0">
                        <c:v>Suisun</c:v>
                      </c:pt>
                      <c:pt idx="1">
                        <c:v>Bethel Island</c:v>
                      </c:pt>
                      <c:pt idx="2">
                        <c:v>Jersey Island</c:v>
                      </c:pt>
                      <c:pt idx="3">
                        <c:v>Webb Tract</c:v>
                      </c:pt>
                      <c:pt idx="4">
                        <c:v>Bradford Island</c:v>
                      </c:pt>
                      <c:pt idx="5">
                        <c:v>Sherman Island</c:v>
                      </c:pt>
                      <c:pt idx="6">
                        <c:v>Franks Tract</c:v>
                      </c:pt>
                      <c:pt idx="7">
                        <c:v>Twitchell Island</c:v>
                      </c:pt>
                      <c:pt idx="8">
                        <c:v>Grand Island</c:v>
                      </c:pt>
                      <c:pt idx="9">
                        <c:v>Ryer Island</c:v>
                      </c:pt>
                      <c:pt idx="10">
                        <c:v>Tyler Island</c:v>
                      </c:pt>
                      <c:pt idx="11">
                        <c:v>Staten Island</c:v>
                      </c:pt>
                      <c:pt idx="12">
                        <c:v>Dead Horse Island</c:v>
                      </c:pt>
                      <c:pt idx="13">
                        <c:v>Sutter Island</c:v>
                      </c:pt>
                      <c:pt idx="14">
                        <c:v>New Hope Tract</c:v>
                      </c:pt>
                      <c:pt idx="15">
                        <c:v>Canal Ranch Tract</c:v>
                      </c:pt>
                      <c:pt idx="16">
                        <c:v>Brannan Island</c:v>
                      </c:pt>
                      <c:pt idx="17">
                        <c:v>Terminous Tract</c:v>
                      </c:pt>
                      <c:pt idx="18">
                        <c:v>Bouldin Island</c:v>
                      </c:pt>
                      <c:pt idx="19">
                        <c:v>Venice Island</c:v>
                      </c:pt>
                      <c:pt idx="20">
                        <c:v>Medford Island</c:v>
                      </c:pt>
                      <c:pt idx="21">
                        <c:v>Empire Tract</c:v>
                      </c:pt>
                      <c:pt idx="22">
                        <c:v>King Island</c:v>
                      </c:pt>
                      <c:pt idx="23">
                        <c:v>Rindge Tract</c:v>
                      </c:pt>
                      <c:pt idx="24">
                        <c:v>Wright-Elmwood Tract</c:v>
                      </c:pt>
                      <c:pt idx="25">
                        <c:v>McDonald Tract</c:v>
                      </c:pt>
                      <c:pt idx="26">
                        <c:v>Jones Tract</c:v>
                      </c:pt>
                      <c:pt idx="27">
                        <c:v>Rough and Ready</c:v>
                      </c:pt>
                      <c:pt idx="28">
                        <c:v>Roberts Island</c:v>
                      </c:pt>
                      <c:pt idx="29">
                        <c:v>Union Island</c:v>
                      </c:pt>
                      <c:pt idx="30">
                        <c:v>Victoria Island</c:v>
                      </c:pt>
                      <c:pt idx="31">
                        <c:v>Woodward Island</c:v>
                      </c:pt>
                      <c:pt idx="32">
                        <c:v>Coney Island</c:v>
                      </c:pt>
                      <c:pt idx="33">
                        <c:v>Orowood Tract</c:v>
                      </c:pt>
                      <c:pt idx="34">
                        <c:v>Palm Tract</c:v>
                      </c:pt>
                      <c:pt idx="35">
                        <c:v>Bacon Island</c:v>
                      </c:pt>
                      <c:pt idx="36">
                        <c:v>Holland Tract</c:v>
                      </c:pt>
                      <c:pt idx="37">
                        <c:v>Quinby Island</c:v>
                      </c:pt>
                      <c:pt idx="38">
                        <c:v>Mandeville Island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Combined'!$I$4:$I$42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6378070.4296128051</c:v>
                      </c:pt>
                      <c:pt idx="1">
                        <c:v>489987.39999999997</c:v>
                      </c:pt>
                      <c:pt idx="2">
                        <c:v>526356.02999999991</c:v>
                      </c:pt>
                      <c:pt idx="3">
                        <c:v>827196.11999999988</c:v>
                      </c:pt>
                      <c:pt idx="4">
                        <c:v>324882.94999999995</c:v>
                      </c:pt>
                      <c:pt idx="5">
                        <c:v>1548786.2599999998</c:v>
                      </c:pt>
                      <c:pt idx="6">
                        <c:v>209994.59999999998</c:v>
                      </c:pt>
                      <c:pt idx="7">
                        <c:v>541573.02999999991</c:v>
                      </c:pt>
                      <c:pt idx="8">
                        <c:v>2517348.3099999996</c:v>
                      </c:pt>
                      <c:pt idx="9">
                        <c:v>1795301.66</c:v>
                      </c:pt>
                      <c:pt idx="10">
                        <c:v>1338943.8299999998</c:v>
                      </c:pt>
                      <c:pt idx="11">
                        <c:v>1386420.8699999999</c:v>
                      </c:pt>
                      <c:pt idx="12">
                        <c:v>31651.359999999997</c:v>
                      </c:pt>
                      <c:pt idx="13">
                        <c:v>382555.37999999995</c:v>
                      </c:pt>
                      <c:pt idx="14">
                        <c:v>1401637.8699999999</c:v>
                      </c:pt>
                      <c:pt idx="15">
                        <c:v>446771.11999999994</c:v>
                      </c:pt>
                      <c:pt idx="16">
                        <c:v>1964058.19</c:v>
                      </c:pt>
                      <c:pt idx="17">
                        <c:v>1576176.8599999999</c:v>
                      </c:pt>
                      <c:pt idx="18">
                        <c:v>903281.11999999988</c:v>
                      </c:pt>
                      <c:pt idx="19">
                        <c:v>470813.98</c:v>
                      </c:pt>
                      <c:pt idx="20">
                        <c:v>177278.05</c:v>
                      </c:pt>
                      <c:pt idx="21">
                        <c:v>551616.25</c:v>
                      </c:pt>
                      <c:pt idx="22">
                        <c:v>489378.72</c:v>
                      </c:pt>
                      <c:pt idx="23">
                        <c:v>1026082.3099999999</c:v>
                      </c:pt>
                      <c:pt idx="24">
                        <c:v>320317.84999999998</c:v>
                      </c:pt>
                      <c:pt idx="25">
                        <c:v>922150.2</c:v>
                      </c:pt>
                      <c:pt idx="26">
                        <c:v>1845365.5899999999</c:v>
                      </c:pt>
                      <c:pt idx="27">
                        <c:v>213190.16999999998</c:v>
                      </c:pt>
                      <c:pt idx="28">
                        <c:v>5426838.71</c:v>
                      </c:pt>
                      <c:pt idx="29">
                        <c:v>3766207.4999999995</c:v>
                      </c:pt>
                      <c:pt idx="30">
                        <c:v>1094558.8099999998</c:v>
                      </c:pt>
                      <c:pt idx="31">
                        <c:v>275275.52999999997</c:v>
                      </c:pt>
                      <c:pt idx="32">
                        <c:v>146844.04999999999</c:v>
                      </c:pt>
                      <c:pt idx="33">
                        <c:v>362621.11</c:v>
                      </c:pt>
                      <c:pt idx="34">
                        <c:v>375859.89999999997</c:v>
                      </c:pt>
                      <c:pt idx="35">
                        <c:v>841956.61</c:v>
                      </c:pt>
                      <c:pt idx="36">
                        <c:v>641244.38</c:v>
                      </c:pt>
                      <c:pt idx="37">
                        <c:v>117779.57999999999</c:v>
                      </c:pt>
                      <c:pt idx="38">
                        <c:v>793870.8899999999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C3-4908-B802-644FC9BFAA6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Combined'!$K$3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Combined'!$C$4:$C$42</c15:sqref>
                        </c15:formulaRef>
                      </c:ext>
                    </c:extLst>
                    <c:strCache>
                      <c:ptCount val="39"/>
                      <c:pt idx="0">
                        <c:v>Suisun</c:v>
                      </c:pt>
                      <c:pt idx="1">
                        <c:v>Bethel Island</c:v>
                      </c:pt>
                      <c:pt idx="2">
                        <c:v>Jersey Island</c:v>
                      </c:pt>
                      <c:pt idx="3">
                        <c:v>Webb Tract</c:v>
                      </c:pt>
                      <c:pt idx="4">
                        <c:v>Bradford Island</c:v>
                      </c:pt>
                      <c:pt idx="5">
                        <c:v>Sherman Island</c:v>
                      </c:pt>
                      <c:pt idx="6">
                        <c:v>Franks Tract</c:v>
                      </c:pt>
                      <c:pt idx="7">
                        <c:v>Twitchell Island</c:v>
                      </c:pt>
                      <c:pt idx="8">
                        <c:v>Grand Island</c:v>
                      </c:pt>
                      <c:pt idx="9">
                        <c:v>Ryer Island</c:v>
                      </c:pt>
                      <c:pt idx="10">
                        <c:v>Tyler Island</c:v>
                      </c:pt>
                      <c:pt idx="11">
                        <c:v>Staten Island</c:v>
                      </c:pt>
                      <c:pt idx="12">
                        <c:v>Dead Horse Island</c:v>
                      </c:pt>
                      <c:pt idx="13">
                        <c:v>Sutter Island</c:v>
                      </c:pt>
                      <c:pt idx="14">
                        <c:v>New Hope Tract</c:v>
                      </c:pt>
                      <c:pt idx="15">
                        <c:v>Canal Ranch Tract</c:v>
                      </c:pt>
                      <c:pt idx="16">
                        <c:v>Brannan Island</c:v>
                      </c:pt>
                      <c:pt idx="17">
                        <c:v>Terminous Tract</c:v>
                      </c:pt>
                      <c:pt idx="18">
                        <c:v>Bouldin Island</c:v>
                      </c:pt>
                      <c:pt idx="19">
                        <c:v>Venice Island</c:v>
                      </c:pt>
                      <c:pt idx="20">
                        <c:v>Medford Island</c:v>
                      </c:pt>
                      <c:pt idx="21">
                        <c:v>Empire Tract</c:v>
                      </c:pt>
                      <c:pt idx="22">
                        <c:v>King Island</c:v>
                      </c:pt>
                      <c:pt idx="23">
                        <c:v>Rindge Tract</c:v>
                      </c:pt>
                      <c:pt idx="24">
                        <c:v>Wright-Elmwood Tract</c:v>
                      </c:pt>
                      <c:pt idx="25">
                        <c:v>McDonald Tract</c:v>
                      </c:pt>
                      <c:pt idx="26">
                        <c:v>Jones Tract</c:v>
                      </c:pt>
                      <c:pt idx="27">
                        <c:v>Rough and Ready</c:v>
                      </c:pt>
                      <c:pt idx="28">
                        <c:v>Roberts Island</c:v>
                      </c:pt>
                      <c:pt idx="29">
                        <c:v>Union Island</c:v>
                      </c:pt>
                      <c:pt idx="30">
                        <c:v>Victoria Island</c:v>
                      </c:pt>
                      <c:pt idx="31">
                        <c:v>Woodward Island</c:v>
                      </c:pt>
                      <c:pt idx="32">
                        <c:v>Coney Island</c:v>
                      </c:pt>
                      <c:pt idx="33">
                        <c:v>Orowood Tract</c:v>
                      </c:pt>
                      <c:pt idx="34">
                        <c:v>Palm Tract</c:v>
                      </c:pt>
                      <c:pt idx="35">
                        <c:v>Bacon Island</c:v>
                      </c:pt>
                      <c:pt idx="36">
                        <c:v>Holland Tract</c:v>
                      </c:pt>
                      <c:pt idx="37">
                        <c:v>Quinby Island</c:v>
                      </c:pt>
                      <c:pt idx="38">
                        <c:v>Mandeville Island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Combined'!$K$4:$K$42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109705.4</c:v>
                      </c:pt>
                      <c:pt idx="2">
                        <c:v>117848.13</c:v>
                      </c:pt>
                      <c:pt idx="3">
                        <c:v>185204.52</c:v>
                      </c:pt>
                      <c:pt idx="4">
                        <c:v>72739.45</c:v>
                      </c:pt>
                      <c:pt idx="5">
                        <c:v>346764.46</c:v>
                      </c:pt>
                      <c:pt idx="6">
                        <c:v>47016.6</c:v>
                      </c:pt>
                      <c:pt idx="7">
                        <c:v>121255.13</c:v>
                      </c:pt>
                      <c:pt idx="8">
                        <c:v>563620.01</c:v>
                      </c:pt>
                      <c:pt idx="9">
                        <c:v>401957.86</c:v>
                      </c:pt>
                      <c:pt idx="10">
                        <c:v>299781.93</c:v>
                      </c:pt>
                      <c:pt idx="11">
                        <c:v>310411.77</c:v>
                      </c:pt>
                      <c:pt idx="12">
                        <c:v>7086.56</c:v>
                      </c:pt>
                      <c:pt idx="13">
                        <c:v>85651.98</c:v>
                      </c:pt>
                      <c:pt idx="14">
                        <c:v>313818.77</c:v>
                      </c:pt>
                      <c:pt idx="15">
                        <c:v>100029.52</c:v>
                      </c:pt>
                      <c:pt idx="16">
                        <c:v>439741.49</c:v>
                      </c:pt>
                      <c:pt idx="17">
                        <c:v>352897.06</c:v>
                      </c:pt>
                      <c:pt idx="18">
                        <c:v>202239.52</c:v>
                      </c:pt>
                      <c:pt idx="19">
                        <c:v>105412.58</c:v>
                      </c:pt>
                      <c:pt idx="20">
                        <c:v>39691.550000000003</c:v>
                      </c:pt>
                      <c:pt idx="21">
                        <c:v>123503.75</c:v>
                      </c:pt>
                      <c:pt idx="22">
                        <c:v>109569.12</c:v>
                      </c:pt>
                      <c:pt idx="23">
                        <c:v>229734.01</c:v>
                      </c:pt>
                      <c:pt idx="24">
                        <c:v>71717.350000000006</c:v>
                      </c:pt>
                      <c:pt idx="25">
                        <c:v>206464.2</c:v>
                      </c:pt>
                      <c:pt idx="26">
                        <c:v>413166.89</c:v>
                      </c:pt>
                      <c:pt idx="27">
                        <c:v>47732.07</c:v>
                      </c:pt>
                      <c:pt idx="28">
                        <c:v>1215038.4099999999</c:v>
                      </c:pt>
                      <c:pt idx="29">
                        <c:v>843232.5</c:v>
                      </c:pt>
                      <c:pt idx="30">
                        <c:v>245065.51</c:v>
                      </c:pt>
                      <c:pt idx="31">
                        <c:v>61632.63</c:v>
                      </c:pt>
                      <c:pt idx="32">
                        <c:v>32877.550000000003</c:v>
                      </c:pt>
                      <c:pt idx="33">
                        <c:v>81188.81</c:v>
                      </c:pt>
                      <c:pt idx="34">
                        <c:v>84152.9</c:v>
                      </c:pt>
                      <c:pt idx="35">
                        <c:v>188509.31</c:v>
                      </c:pt>
                      <c:pt idx="36">
                        <c:v>143570.98000000001</c:v>
                      </c:pt>
                      <c:pt idx="37">
                        <c:v>26370.18</c:v>
                      </c:pt>
                      <c:pt idx="38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C3-4908-B802-644FC9BFAA6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Combined'!$L$3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Combined'!$C$4:$C$42</c15:sqref>
                        </c15:formulaRef>
                      </c:ext>
                    </c:extLst>
                    <c:strCache>
                      <c:ptCount val="39"/>
                      <c:pt idx="0">
                        <c:v>Suisun</c:v>
                      </c:pt>
                      <c:pt idx="1">
                        <c:v>Bethel Island</c:v>
                      </c:pt>
                      <c:pt idx="2">
                        <c:v>Jersey Island</c:v>
                      </c:pt>
                      <c:pt idx="3">
                        <c:v>Webb Tract</c:v>
                      </c:pt>
                      <c:pt idx="4">
                        <c:v>Bradford Island</c:v>
                      </c:pt>
                      <c:pt idx="5">
                        <c:v>Sherman Island</c:v>
                      </c:pt>
                      <c:pt idx="6">
                        <c:v>Franks Tract</c:v>
                      </c:pt>
                      <c:pt idx="7">
                        <c:v>Twitchell Island</c:v>
                      </c:pt>
                      <c:pt idx="8">
                        <c:v>Grand Island</c:v>
                      </c:pt>
                      <c:pt idx="9">
                        <c:v>Ryer Island</c:v>
                      </c:pt>
                      <c:pt idx="10">
                        <c:v>Tyler Island</c:v>
                      </c:pt>
                      <c:pt idx="11">
                        <c:v>Staten Island</c:v>
                      </c:pt>
                      <c:pt idx="12">
                        <c:v>Dead Horse Island</c:v>
                      </c:pt>
                      <c:pt idx="13">
                        <c:v>Sutter Island</c:v>
                      </c:pt>
                      <c:pt idx="14">
                        <c:v>New Hope Tract</c:v>
                      </c:pt>
                      <c:pt idx="15">
                        <c:v>Canal Ranch Tract</c:v>
                      </c:pt>
                      <c:pt idx="16">
                        <c:v>Brannan Island</c:v>
                      </c:pt>
                      <c:pt idx="17">
                        <c:v>Terminous Tract</c:v>
                      </c:pt>
                      <c:pt idx="18">
                        <c:v>Bouldin Island</c:v>
                      </c:pt>
                      <c:pt idx="19">
                        <c:v>Venice Island</c:v>
                      </c:pt>
                      <c:pt idx="20">
                        <c:v>Medford Island</c:v>
                      </c:pt>
                      <c:pt idx="21">
                        <c:v>Empire Tract</c:v>
                      </c:pt>
                      <c:pt idx="22">
                        <c:v>King Island</c:v>
                      </c:pt>
                      <c:pt idx="23">
                        <c:v>Rindge Tract</c:v>
                      </c:pt>
                      <c:pt idx="24">
                        <c:v>Wright-Elmwood Tract</c:v>
                      </c:pt>
                      <c:pt idx="25">
                        <c:v>McDonald Tract</c:v>
                      </c:pt>
                      <c:pt idx="26">
                        <c:v>Jones Tract</c:v>
                      </c:pt>
                      <c:pt idx="27">
                        <c:v>Rough and Ready</c:v>
                      </c:pt>
                      <c:pt idx="28">
                        <c:v>Roberts Island</c:v>
                      </c:pt>
                      <c:pt idx="29">
                        <c:v>Union Island</c:v>
                      </c:pt>
                      <c:pt idx="30">
                        <c:v>Victoria Island</c:v>
                      </c:pt>
                      <c:pt idx="31">
                        <c:v>Woodward Island</c:v>
                      </c:pt>
                      <c:pt idx="32">
                        <c:v>Coney Island</c:v>
                      </c:pt>
                      <c:pt idx="33">
                        <c:v>Orowood Tract</c:v>
                      </c:pt>
                      <c:pt idx="34">
                        <c:v>Palm Tract</c:v>
                      </c:pt>
                      <c:pt idx="35">
                        <c:v>Bacon Island</c:v>
                      </c:pt>
                      <c:pt idx="36">
                        <c:v>Holland Tract</c:v>
                      </c:pt>
                      <c:pt idx="37">
                        <c:v>Quinby Island</c:v>
                      </c:pt>
                      <c:pt idx="38">
                        <c:v>Mandeville Island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Combined'!$L$4:$L$42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109705.4</c:v>
                      </c:pt>
                      <c:pt idx="2">
                        <c:v>117848.13</c:v>
                      </c:pt>
                      <c:pt idx="3">
                        <c:v>185204.52</c:v>
                      </c:pt>
                      <c:pt idx="4">
                        <c:v>72739.45</c:v>
                      </c:pt>
                      <c:pt idx="5">
                        <c:v>346764.46</c:v>
                      </c:pt>
                      <c:pt idx="6">
                        <c:v>47016.6</c:v>
                      </c:pt>
                      <c:pt idx="7">
                        <c:v>121255.13</c:v>
                      </c:pt>
                      <c:pt idx="8">
                        <c:v>563620.01</c:v>
                      </c:pt>
                      <c:pt idx="9">
                        <c:v>401957.86</c:v>
                      </c:pt>
                      <c:pt idx="10">
                        <c:v>299781.93</c:v>
                      </c:pt>
                      <c:pt idx="11">
                        <c:v>310411.77</c:v>
                      </c:pt>
                      <c:pt idx="12">
                        <c:v>7086.56</c:v>
                      </c:pt>
                      <c:pt idx="13">
                        <c:v>85651.98</c:v>
                      </c:pt>
                      <c:pt idx="14">
                        <c:v>313818.77</c:v>
                      </c:pt>
                      <c:pt idx="15">
                        <c:v>100029.52</c:v>
                      </c:pt>
                      <c:pt idx="16">
                        <c:v>439741.49</c:v>
                      </c:pt>
                      <c:pt idx="17">
                        <c:v>352897.06</c:v>
                      </c:pt>
                      <c:pt idx="18">
                        <c:v>202239.52</c:v>
                      </c:pt>
                      <c:pt idx="19">
                        <c:v>105412.58</c:v>
                      </c:pt>
                      <c:pt idx="20">
                        <c:v>39691.550000000003</c:v>
                      </c:pt>
                      <c:pt idx="21">
                        <c:v>123503.75</c:v>
                      </c:pt>
                      <c:pt idx="22">
                        <c:v>109569.12</c:v>
                      </c:pt>
                      <c:pt idx="23">
                        <c:v>229734.01</c:v>
                      </c:pt>
                      <c:pt idx="24">
                        <c:v>71717.350000000006</c:v>
                      </c:pt>
                      <c:pt idx="25">
                        <c:v>206464.2</c:v>
                      </c:pt>
                      <c:pt idx="26">
                        <c:v>413166.89</c:v>
                      </c:pt>
                      <c:pt idx="27">
                        <c:v>47732.07</c:v>
                      </c:pt>
                      <c:pt idx="28">
                        <c:v>1215038.4099999999</c:v>
                      </c:pt>
                      <c:pt idx="29">
                        <c:v>843232.5</c:v>
                      </c:pt>
                      <c:pt idx="30">
                        <c:v>245065.51</c:v>
                      </c:pt>
                      <c:pt idx="31">
                        <c:v>61632.63</c:v>
                      </c:pt>
                      <c:pt idx="32">
                        <c:v>32877.550000000003</c:v>
                      </c:pt>
                      <c:pt idx="33">
                        <c:v>81188.81</c:v>
                      </c:pt>
                      <c:pt idx="34">
                        <c:v>84152.9</c:v>
                      </c:pt>
                      <c:pt idx="35">
                        <c:v>188509.31</c:v>
                      </c:pt>
                      <c:pt idx="36">
                        <c:v>143570.98000000001</c:v>
                      </c:pt>
                      <c:pt idx="37">
                        <c:v>26370.18</c:v>
                      </c:pt>
                      <c:pt idx="38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C3-4908-B802-644FC9BFAA6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Combined'!$M$3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Combined'!$C$4:$C$42</c15:sqref>
                        </c15:formulaRef>
                      </c:ext>
                    </c:extLst>
                    <c:strCache>
                      <c:ptCount val="39"/>
                      <c:pt idx="0">
                        <c:v>Suisun</c:v>
                      </c:pt>
                      <c:pt idx="1">
                        <c:v>Bethel Island</c:v>
                      </c:pt>
                      <c:pt idx="2">
                        <c:v>Jersey Island</c:v>
                      </c:pt>
                      <c:pt idx="3">
                        <c:v>Webb Tract</c:v>
                      </c:pt>
                      <c:pt idx="4">
                        <c:v>Bradford Island</c:v>
                      </c:pt>
                      <c:pt idx="5">
                        <c:v>Sherman Island</c:v>
                      </c:pt>
                      <c:pt idx="6">
                        <c:v>Franks Tract</c:v>
                      </c:pt>
                      <c:pt idx="7">
                        <c:v>Twitchell Island</c:v>
                      </c:pt>
                      <c:pt idx="8">
                        <c:v>Grand Island</c:v>
                      </c:pt>
                      <c:pt idx="9">
                        <c:v>Ryer Island</c:v>
                      </c:pt>
                      <c:pt idx="10">
                        <c:v>Tyler Island</c:v>
                      </c:pt>
                      <c:pt idx="11">
                        <c:v>Staten Island</c:v>
                      </c:pt>
                      <c:pt idx="12">
                        <c:v>Dead Horse Island</c:v>
                      </c:pt>
                      <c:pt idx="13">
                        <c:v>Sutter Island</c:v>
                      </c:pt>
                      <c:pt idx="14">
                        <c:v>New Hope Tract</c:v>
                      </c:pt>
                      <c:pt idx="15">
                        <c:v>Canal Ranch Tract</c:v>
                      </c:pt>
                      <c:pt idx="16">
                        <c:v>Brannan Island</c:v>
                      </c:pt>
                      <c:pt idx="17">
                        <c:v>Terminous Tract</c:v>
                      </c:pt>
                      <c:pt idx="18">
                        <c:v>Bouldin Island</c:v>
                      </c:pt>
                      <c:pt idx="19">
                        <c:v>Venice Island</c:v>
                      </c:pt>
                      <c:pt idx="20">
                        <c:v>Medford Island</c:v>
                      </c:pt>
                      <c:pt idx="21">
                        <c:v>Empire Tract</c:v>
                      </c:pt>
                      <c:pt idx="22">
                        <c:v>King Island</c:v>
                      </c:pt>
                      <c:pt idx="23">
                        <c:v>Rindge Tract</c:v>
                      </c:pt>
                      <c:pt idx="24">
                        <c:v>Wright-Elmwood Tract</c:v>
                      </c:pt>
                      <c:pt idx="25">
                        <c:v>McDonald Tract</c:v>
                      </c:pt>
                      <c:pt idx="26">
                        <c:v>Jones Tract</c:v>
                      </c:pt>
                      <c:pt idx="27">
                        <c:v>Rough and Ready</c:v>
                      </c:pt>
                      <c:pt idx="28">
                        <c:v>Roberts Island</c:v>
                      </c:pt>
                      <c:pt idx="29">
                        <c:v>Union Island</c:v>
                      </c:pt>
                      <c:pt idx="30">
                        <c:v>Victoria Island</c:v>
                      </c:pt>
                      <c:pt idx="31">
                        <c:v>Woodward Island</c:v>
                      </c:pt>
                      <c:pt idx="32">
                        <c:v>Coney Island</c:v>
                      </c:pt>
                      <c:pt idx="33">
                        <c:v>Orowood Tract</c:v>
                      </c:pt>
                      <c:pt idx="34">
                        <c:v>Palm Tract</c:v>
                      </c:pt>
                      <c:pt idx="35">
                        <c:v>Bacon Island</c:v>
                      </c:pt>
                      <c:pt idx="36">
                        <c:v>Holland Tract</c:v>
                      </c:pt>
                      <c:pt idx="37">
                        <c:v>Quinby Island</c:v>
                      </c:pt>
                      <c:pt idx="38">
                        <c:v>Mandeville Island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Combined'!$M$4:$M$42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444289.5876578546</c:v>
                      </c:pt>
                      <c:pt idx="1">
                        <c:v>34132</c:v>
                      </c:pt>
                      <c:pt idx="2">
                        <c:v>36665.4</c:v>
                      </c:pt>
                      <c:pt idx="3">
                        <c:v>57621.599999999999</c:v>
                      </c:pt>
                      <c:pt idx="4">
                        <c:v>22631</c:v>
                      </c:pt>
                      <c:pt idx="5">
                        <c:v>107886.8</c:v>
                      </c:pt>
                      <c:pt idx="6">
                        <c:v>14628</c:v>
                      </c:pt>
                      <c:pt idx="7">
                        <c:v>37725.4</c:v>
                      </c:pt>
                      <c:pt idx="8">
                        <c:v>175355.8</c:v>
                      </c:pt>
                      <c:pt idx="9">
                        <c:v>125058.8</c:v>
                      </c:pt>
                      <c:pt idx="10">
                        <c:v>93269.4</c:v>
                      </c:pt>
                      <c:pt idx="11">
                        <c:v>96576.599999999991</c:v>
                      </c:pt>
                      <c:pt idx="12">
                        <c:v>2204.7999999999997</c:v>
                      </c:pt>
                      <c:pt idx="13">
                        <c:v>26648.399999999998</c:v>
                      </c:pt>
                      <c:pt idx="14">
                        <c:v>97636.599999999991</c:v>
                      </c:pt>
                      <c:pt idx="15">
                        <c:v>31121.599999999999</c:v>
                      </c:pt>
                      <c:pt idx="16">
                        <c:v>136814.19999999998</c:v>
                      </c:pt>
                      <c:pt idx="17">
                        <c:v>109794.8</c:v>
                      </c:pt>
                      <c:pt idx="18">
                        <c:v>62921.599999999999</c:v>
                      </c:pt>
                      <c:pt idx="19">
                        <c:v>32796.400000000001</c:v>
                      </c:pt>
                      <c:pt idx="20">
                        <c:v>12349</c:v>
                      </c:pt>
                      <c:pt idx="21">
                        <c:v>38425</c:v>
                      </c:pt>
                      <c:pt idx="22">
                        <c:v>34089.599999999999</c:v>
                      </c:pt>
                      <c:pt idx="23">
                        <c:v>71475.8</c:v>
                      </c:pt>
                      <c:pt idx="24">
                        <c:v>22313</c:v>
                      </c:pt>
                      <c:pt idx="25">
                        <c:v>64236</c:v>
                      </c:pt>
                      <c:pt idx="26">
                        <c:v>128546.2</c:v>
                      </c:pt>
                      <c:pt idx="27">
                        <c:v>14850.6</c:v>
                      </c:pt>
                      <c:pt idx="28">
                        <c:v>378027.8</c:v>
                      </c:pt>
                      <c:pt idx="29">
                        <c:v>262350</c:v>
                      </c:pt>
                      <c:pt idx="30">
                        <c:v>76245.8</c:v>
                      </c:pt>
                      <c:pt idx="31">
                        <c:v>19175.399999999998</c:v>
                      </c:pt>
                      <c:pt idx="32">
                        <c:v>10229</c:v>
                      </c:pt>
                      <c:pt idx="33">
                        <c:v>25259.8</c:v>
                      </c:pt>
                      <c:pt idx="34">
                        <c:v>26182</c:v>
                      </c:pt>
                      <c:pt idx="35">
                        <c:v>58649.799999999996</c:v>
                      </c:pt>
                      <c:pt idx="36">
                        <c:v>44668.4</c:v>
                      </c:pt>
                      <c:pt idx="37">
                        <c:v>8204.4</c:v>
                      </c:pt>
                      <c:pt idx="38">
                        <c:v>55300.2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C3-4908-B802-644FC9BFAA62}"/>
                  </c:ext>
                </c:extLst>
              </c15:ser>
            </c15:filteredBarSeries>
          </c:ext>
        </c:extLst>
      </c:barChart>
      <c:catAx>
        <c:axId val="10874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88464"/>
        <c:crosses val="autoZero"/>
        <c:auto val="1"/>
        <c:lblAlgn val="ctr"/>
        <c:lblOffset val="100"/>
        <c:tickLblSkip val="1"/>
        <c:noMultiLvlLbl val="0"/>
      </c:catAx>
      <c:valAx>
        <c:axId val="1087488464"/>
        <c:scaling>
          <c:orientation val="minMax"/>
          <c:max val="8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'Restoration ($) Combined'!$D$50</c:f>
              <c:strCache>
                <c:ptCount val="1"/>
                <c:pt idx="0">
                  <c:v>Flood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Combined'!$D$51:$D$89</c15:sqref>
                  </c15:fullRef>
                </c:ext>
              </c:extLst>
              <c:f>('Restoration ($) Combined'!$D$51:$D$58,'Restoration ($) Combined'!$D$67,'Restoration ($) Combined'!$D$70,'Restoration ($) Combined'!$D$74:$D$78,'Restoration ($) Combined'!$D$81:$D$89)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14724008.419653563</c:v>
                </c:pt>
                <c:pt idx="1">
                  <c:v>1131153.8</c:v>
                </c:pt>
                <c:pt idx="2">
                  <c:v>1215112.1100000001</c:v>
                </c:pt>
                <c:pt idx="3">
                  <c:v>1909612.4400000002</c:v>
                </c:pt>
                <c:pt idx="4">
                  <c:v>750004.15</c:v>
                </c:pt>
                <c:pt idx="5">
                  <c:v>3575429.62</c:v>
                </c:pt>
                <c:pt idx="6">
                  <c:v>484780.2</c:v>
                </c:pt>
                <c:pt idx="7">
                  <c:v>1250241.1100000001</c:v>
                </c:pt>
                <c:pt idx="8">
                  <c:v>4534100.03</c:v>
                </c:pt>
                <c:pt idx="9">
                  <c:v>1086891.26</c:v>
                </c:pt>
                <c:pt idx="10">
                  <c:v>2368748.4700000002</c:v>
                </c:pt>
                <c:pt idx="11">
                  <c:v>739465.45000000007</c:v>
                </c:pt>
                <c:pt idx="12">
                  <c:v>2128817.4</c:v>
                </c:pt>
                <c:pt idx="13">
                  <c:v>4260093.83</c:v>
                </c:pt>
                <c:pt idx="14">
                  <c:v>492157.29000000004</c:v>
                </c:pt>
                <c:pt idx="15">
                  <c:v>2526828.9700000002</c:v>
                </c:pt>
                <c:pt idx="16">
                  <c:v>635483.61</c:v>
                </c:pt>
                <c:pt idx="17">
                  <c:v>338994.85000000003</c:v>
                </c:pt>
                <c:pt idx="18">
                  <c:v>837124.07000000007</c:v>
                </c:pt>
                <c:pt idx="19">
                  <c:v>867686.3</c:v>
                </c:pt>
                <c:pt idx="20">
                  <c:v>1943687.57</c:v>
                </c:pt>
                <c:pt idx="21">
                  <c:v>1480336.06</c:v>
                </c:pt>
                <c:pt idx="22">
                  <c:v>271898.46000000002</c:v>
                </c:pt>
                <c:pt idx="23">
                  <c:v>1832679.9300000002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1-44C3-883A-E8985F6C9766}"/>
            </c:ext>
          </c:extLst>
        </c:ser>
        <c:ser>
          <c:idx val="1"/>
          <c:order val="1"/>
          <c:tx>
            <c:strRef>
              <c:f>'Restoration ($) Combined'!$E$50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Combined'!$E$51:$E$89</c15:sqref>
                  </c15:fullRef>
                </c:ext>
              </c:extLst>
              <c:f>('Restoration ($) Combined'!$E$51:$E$58,'Restoration ($) Combined'!$E$67,'Restoration ($) Combined'!$E$70,'Restoration ($) Combined'!$E$74:$E$78,'Restoration ($) Combined'!$E$81:$E$89)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3654617.05</c:v>
                </c:pt>
                <c:pt idx="9">
                  <c:v>876066.1</c:v>
                </c:pt>
                <c:pt idx="10">
                  <c:v>1909280.45</c:v>
                </c:pt>
                <c:pt idx="11">
                  <c:v>596030.75</c:v>
                </c:pt>
                <c:pt idx="12">
                  <c:v>1715888.9999999998</c:v>
                </c:pt>
                <c:pt idx="13">
                  <c:v>3433760.05</c:v>
                </c:pt>
                <c:pt idx="14">
                  <c:v>396693.14999999997</c:v>
                </c:pt>
                <c:pt idx="15">
                  <c:v>2036697.9499999997</c:v>
                </c:pt>
                <c:pt idx="16">
                  <c:v>512218.35</c:v>
                </c:pt>
                <c:pt idx="17">
                  <c:v>273239.75</c:v>
                </c:pt>
                <c:pt idx="18">
                  <c:v>674746.45</c:v>
                </c:pt>
                <c:pt idx="19">
                  <c:v>699380.5</c:v>
                </c:pt>
                <c:pt idx="20">
                  <c:v>1566668.95</c:v>
                </c:pt>
                <c:pt idx="21">
                  <c:v>1193194.0999999999</c:v>
                </c:pt>
                <c:pt idx="22">
                  <c:v>219158.09999999998</c:v>
                </c:pt>
                <c:pt idx="23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1-44C3-883A-E8985F6C9766}"/>
            </c:ext>
          </c:extLst>
        </c:ser>
        <c:ser>
          <c:idx val="2"/>
          <c:order val="2"/>
          <c:tx>
            <c:strRef>
              <c:f>'Restoration ($) Combined'!$F$50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Combined'!$F$51:$F$89</c15:sqref>
                  </c15:fullRef>
                </c:ext>
              </c:extLst>
              <c:f>('Restoration ($) Combined'!$F$51:$F$58,'Restoration ($) Combined'!$F$67,'Restoration ($) Combined'!$F$70,'Restoration ($) Combined'!$F$74:$F$78,'Restoration ($) Combined'!$F$81:$F$89)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4807728.43</c:v>
                </c:pt>
                <c:pt idx="9">
                  <c:v>1152484.06</c:v>
                </c:pt>
                <c:pt idx="10">
                  <c:v>2511700.0699999998</c:v>
                </c:pt>
                <c:pt idx="11">
                  <c:v>784091.45000000007</c:v>
                </c:pt>
                <c:pt idx="12">
                  <c:v>2257289.4</c:v>
                </c:pt>
                <c:pt idx="13">
                  <c:v>4517186.2300000004</c:v>
                </c:pt>
                <c:pt idx="14">
                  <c:v>521858.49</c:v>
                </c:pt>
                <c:pt idx="15">
                  <c:v>2679320.5700000003</c:v>
                </c:pt>
                <c:pt idx="16">
                  <c:v>673834.41</c:v>
                </c:pt>
                <c:pt idx="17">
                  <c:v>359452.85000000003</c:v>
                </c:pt>
                <c:pt idx="18">
                  <c:v>887643.67</c:v>
                </c:pt>
                <c:pt idx="19">
                  <c:v>920050.3</c:v>
                </c:pt>
                <c:pt idx="20">
                  <c:v>2060987.1700000002</c:v>
                </c:pt>
                <c:pt idx="21">
                  <c:v>1569672.86</c:v>
                </c:pt>
                <c:pt idx="22">
                  <c:v>288307.26</c:v>
                </c:pt>
                <c:pt idx="23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1-44C3-883A-E8985F6C9766}"/>
            </c:ext>
          </c:extLst>
        </c:ser>
        <c:ser>
          <c:idx val="3"/>
          <c:order val="3"/>
          <c:tx>
            <c:strRef>
              <c:f>'Restoration ($) Combined'!$G$50</c:f>
              <c:strCache>
                <c:ptCount val="1"/>
                <c:pt idx="0">
                  <c:v>Water filtering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Combined'!$G$51:$G$89</c15:sqref>
                  </c15:fullRef>
                </c:ext>
              </c:extLst>
              <c:f>('Restoration ($) Combined'!$G$51:$G$58,'Restoration ($) Combined'!$G$67,'Restoration ($) Combined'!$G$70,'Restoration ($) Combined'!$G$74:$G$78,'Restoration ($) Combined'!$G$81:$G$89)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9138952.9898979831</c:v>
                </c:pt>
                <c:pt idx="1">
                  <c:v>702088.79999999993</c:v>
                </c:pt>
                <c:pt idx="2">
                  <c:v>754200.36</c:v>
                </c:pt>
                <c:pt idx="3">
                  <c:v>1185265.44</c:v>
                </c:pt>
                <c:pt idx="4">
                  <c:v>465515.39999999997</c:v>
                </c:pt>
                <c:pt idx="5">
                  <c:v>2219211.12</c:v>
                </c:pt>
                <c:pt idx="6">
                  <c:v>300895.2</c:v>
                </c:pt>
                <c:pt idx="7">
                  <c:v>776004.36</c:v>
                </c:pt>
                <c:pt idx="8">
                  <c:v>2814242.28</c:v>
                </c:pt>
                <c:pt idx="9">
                  <c:v>674615.76</c:v>
                </c:pt>
                <c:pt idx="10">
                  <c:v>1470243.72</c:v>
                </c:pt>
                <c:pt idx="11">
                  <c:v>458974.2</c:v>
                </c:pt>
                <c:pt idx="12">
                  <c:v>1321322.3999999999</c:v>
                </c:pt>
                <c:pt idx="13">
                  <c:v>2644171.08</c:v>
                </c:pt>
                <c:pt idx="14">
                  <c:v>305474.03999999998</c:v>
                </c:pt>
                <c:pt idx="15">
                  <c:v>1568361.72</c:v>
                </c:pt>
                <c:pt idx="16">
                  <c:v>394434.36</c:v>
                </c:pt>
                <c:pt idx="17">
                  <c:v>210408.6</c:v>
                </c:pt>
                <c:pt idx="18">
                  <c:v>519589.32</c:v>
                </c:pt>
                <c:pt idx="19">
                  <c:v>538558.79999999993</c:v>
                </c:pt>
                <c:pt idx="20">
                  <c:v>1206415.32</c:v>
                </c:pt>
                <c:pt idx="21">
                  <c:v>918820.55999999994</c:v>
                </c:pt>
                <c:pt idx="22">
                  <c:v>168762.96</c:v>
                </c:pt>
                <c:pt idx="23">
                  <c:v>1137514.68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1-44C3-883A-E8985F6C9766}"/>
            </c:ext>
          </c:extLst>
        </c:ser>
        <c:ser>
          <c:idx val="4"/>
          <c:order val="4"/>
          <c:tx>
            <c:strRef>
              <c:f>'Restoration ($) Combined'!$H$50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Combined'!$H$51:$H$89</c15:sqref>
                  </c15:fullRef>
                </c:ext>
              </c:extLst>
              <c:f>('Restoration ($) Combined'!$H$51:$H$58,'Restoration ($) Combined'!$H$67,'Restoration ($) Combined'!$H$70,'Restoration ($) Combined'!$H$74:$H$78,'Restoration ($) Combined'!$H$81:$H$89)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2091192.1400000001</c:v>
                </c:pt>
                <c:pt idx="9">
                  <c:v>501289.88</c:v>
                </c:pt>
                <c:pt idx="10">
                  <c:v>1092500.8600000001</c:v>
                </c:pt>
                <c:pt idx="11">
                  <c:v>341052.10000000003</c:v>
                </c:pt>
                <c:pt idx="12">
                  <c:v>981841.20000000007</c:v>
                </c:pt>
                <c:pt idx="13">
                  <c:v>1964816.54</c:v>
                </c:pt>
                <c:pt idx="14">
                  <c:v>226990.02000000002</c:v>
                </c:pt>
                <c:pt idx="15">
                  <c:v>1165409.8600000001</c:v>
                </c:pt>
                <c:pt idx="16">
                  <c:v>293094.18</c:v>
                </c:pt>
                <c:pt idx="17">
                  <c:v>156349.30000000002</c:v>
                </c:pt>
                <c:pt idx="18">
                  <c:v>386093.66000000003</c:v>
                </c:pt>
                <c:pt idx="19">
                  <c:v>400189.4</c:v>
                </c:pt>
                <c:pt idx="20">
                  <c:v>896456.66</c:v>
                </c:pt>
                <c:pt idx="21">
                  <c:v>682752.28</c:v>
                </c:pt>
                <c:pt idx="22">
                  <c:v>125403.48000000001</c:v>
                </c:pt>
                <c:pt idx="23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91-44C3-883A-E8985F6C9766}"/>
            </c:ext>
          </c:extLst>
        </c:ser>
        <c:ser>
          <c:idx val="5"/>
          <c:order val="5"/>
          <c:tx>
            <c:strRef>
              <c:f>'Restoration ($) Combined'!$I$50</c:f>
              <c:strCache>
                <c:ptCount val="1"/>
                <c:pt idx="0">
                  <c:v>Habitat nursery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Combined'!$I$51:$I$89</c15:sqref>
                  </c15:fullRef>
                </c:ext>
              </c:extLst>
              <c:f>('Restoration ($) Combined'!$I$51:$I$58,'Restoration ($) Combined'!$I$67,'Restoration ($) Combined'!$I$70,'Restoration ($) Combined'!$I$74:$I$78,'Restoration ($) Combined'!$I$81:$I$89)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6378070.4296128051</c:v>
                </c:pt>
                <c:pt idx="1">
                  <c:v>489987.39999999997</c:v>
                </c:pt>
                <c:pt idx="2">
                  <c:v>526356.02999999991</c:v>
                </c:pt>
                <c:pt idx="3">
                  <c:v>827196.11999999988</c:v>
                </c:pt>
                <c:pt idx="4">
                  <c:v>324882.94999999995</c:v>
                </c:pt>
                <c:pt idx="5">
                  <c:v>1548786.2599999998</c:v>
                </c:pt>
                <c:pt idx="6">
                  <c:v>209994.59999999998</c:v>
                </c:pt>
                <c:pt idx="7">
                  <c:v>541573.02999999991</c:v>
                </c:pt>
                <c:pt idx="8">
                  <c:v>1964058.19</c:v>
                </c:pt>
                <c:pt idx="9">
                  <c:v>470813.98</c:v>
                </c:pt>
                <c:pt idx="10">
                  <c:v>1026082.3099999999</c:v>
                </c:pt>
                <c:pt idx="11">
                  <c:v>320317.84999999998</c:v>
                </c:pt>
                <c:pt idx="12">
                  <c:v>922150.2</c:v>
                </c:pt>
                <c:pt idx="13">
                  <c:v>1845365.5899999999</c:v>
                </c:pt>
                <c:pt idx="14">
                  <c:v>213190.16999999998</c:v>
                </c:pt>
                <c:pt idx="15">
                  <c:v>1094558.8099999998</c:v>
                </c:pt>
                <c:pt idx="16">
                  <c:v>275275.52999999997</c:v>
                </c:pt>
                <c:pt idx="17">
                  <c:v>146844.04999999999</c:v>
                </c:pt>
                <c:pt idx="18">
                  <c:v>362621.11</c:v>
                </c:pt>
                <c:pt idx="19">
                  <c:v>375859.89999999997</c:v>
                </c:pt>
                <c:pt idx="20">
                  <c:v>841956.61</c:v>
                </c:pt>
                <c:pt idx="21">
                  <c:v>641244.38</c:v>
                </c:pt>
                <c:pt idx="22">
                  <c:v>117779.57999999999</c:v>
                </c:pt>
                <c:pt idx="23">
                  <c:v>793870.8899999999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91-44C3-883A-E8985F6C9766}"/>
            </c:ext>
          </c:extLst>
        </c:ser>
        <c:ser>
          <c:idx val="6"/>
          <c:order val="6"/>
          <c:tx>
            <c:strRef>
              <c:f>'Restoration ($) Combined'!$J$50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Combined'!$J$51:$J$89</c15:sqref>
                  </c15:fullRef>
                </c:ext>
              </c:extLst>
              <c:f>('Restoration ($) Combined'!$J$51:$J$58,'Restoration ($) Combined'!$J$67,'Restoration ($) Combined'!$J$70,'Restoration ($) Combined'!$J$74:$J$78,'Restoration ($) Combined'!$J$81:$J$89)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1201899.8400000001</c:v>
                </c:pt>
                <c:pt idx="9">
                  <c:v>288113.28000000003</c:v>
                </c:pt>
                <c:pt idx="10">
                  <c:v>627908.16</c:v>
                </c:pt>
                <c:pt idx="11">
                  <c:v>196017.6</c:v>
                </c:pt>
                <c:pt idx="12">
                  <c:v>564307.20000000007</c:v>
                </c:pt>
                <c:pt idx="13">
                  <c:v>1129266.24</c:v>
                </c:pt>
                <c:pt idx="14">
                  <c:v>130461.12000000001</c:v>
                </c:pt>
                <c:pt idx="15">
                  <c:v>669812.16</c:v>
                </c:pt>
                <c:pt idx="16">
                  <c:v>168454.08000000002</c:v>
                </c:pt>
                <c:pt idx="17">
                  <c:v>89860.800000000003</c:v>
                </c:pt>
                <c:pt idx="18">
                  <c:v>221904.96000000002</c:v>
                </c:pt>
                <c:pt idx="19">
                  <c:v>230006.40000000002</c:v>
                </c:pt>
                <c:pt idx="20">
                  <c:v>515232.96</c:v>
                </c:pt>
                <c:pt idx="21">
                  <c:v>392407.68</c:v>
                </c:pt>
                <c:pt idx="22">
                  <c:v>72074.880000000005</c:v>
                </c:pt>
                <c:pt idx="23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1-44C3-883A-E8985F6C9766}"/>
            </c:ext>
          </c:extLst>
        </c:ser>
        <c:ser>
          <c:idx val="7"/>
          <c:order val="7"/>
          <c:tx>
            <c:strRef>
              <c:f>'Restoration ($) Combined'!$K$50</c:f>
              <c:strCache>
                <c:ptCount val="1"/>
                <c:pt idx="0">
                  <c:v>Water supply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Combined'!$K$51:$K$89</c15:sqref>
                  </c15:fullRef>
                </c:ext>
              </c:extLst>
              <c:f>('Restoration ($) Combined'!$K$51:$K$58,'Restoration ($) Combined'!$K$67,'Restoration ($) Combined'!$K$70,'Restoration ($) Combined'!$K$74:$K$78,'Restoration ($) Combined'!$K$81:$K$89)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439741.49</c:v>
                </c:pt>
                <c:pt idx="9">
                  <c:v>105412.58</c:v>
                </c:pt>
                <c:pt idx="10">
                  <c:v>229734.01</c:v>
                </c:pt>
                <c:pt idx="11">
                  <c:v>71717.350000000006</c:v>
                </c:pt>
                <c:pt idx="12">
                  <c:v>206464.2</c:v>
                </c:pt>
                <c:pt idx="13">
                  <c:v>413166.89</c:v>
                </c:pt>
                <c:pt idx="14">
                  <c:v>47732.07</c:v>
                </c:pt>
                <c:pt idx="15">
                  <c:v>245065.51</c:v>
                </c:pt>
                <c:pt idx="16">
                  <c:v>61632.63</c:v>
                </c:pt>
                <c:pt idx="17">
                  <c:v>32877.550000000003</c:v>
                </c:pt>
                <c:pt idx="18">
                  <c:v>81188.81</c:v>
                </c:pt>
                <c:pt idx="19">
                  <c:v>84152.9</c:v>
                </c:pt>
                <c:pt idx="20">
                  <c:v>188509.31</c:v>
                </c:pt>
                <c:pt idx="21">
                  <c:v>143570.98000000001</c:v>
                </c:pt>
                <c:pt idx="22">
                  <c:v>26370.18</c:v>
                </c:pt>
                <c:pt idx="23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91-44C3-883A-E8985F6C9766}"/>
            </c:ext>
          </c:extLst>
        </c:ser>
        <c:ser>
          <c:idx val="8"/>
          <c:order val="8"/>
          <c:tx>
            <c:strRef>
              <c:f>'Restoration ($) Combined'!$L$50</c:f>
              <c:strCache>
                <c:ptCount val="1"/>
                <c:pt idx="0">
                  <c:v>Materials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Combined'!$L$51:$L$89</c15:sqref>
                  </c15:fullRef>
                </c:ext>
              </c:extLst>
              <c:f>('Restoration ($) Combined'!$L$51:$L$58,'Restoration ($) Combined'!$L$67,'Restoration ($) Combined'!$L$70,'Restoration ($) Combined'!$L$74:$L$78,'Restoration ($) Combined'!$L$81:$L$89)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439741.49</c:v>
                </c:pt>
                <c:pt idx="9">
                  <c:v>105412.58</c:v>
                </c:pt>
                <c:pt idx="10">
                  <c:v>229734.01</c:v>
                </c:pt>
                <c:pt idx="11">
                  <c:v>71717.350000000006</c:v>
                </c:pt>
                <c:pt idx="12">
                  <c:v>206464.2</c:v>
                </c:pt>
                <c:pt idx="13">
                  <c:v>413166.89</c:v>
                </c:pt>
                <c:pt idx="14">
                  <c:v>47732.07</c:v>
                </c:pt>
                <c:pt idx="15">
                  <c:v>245065.51</c:v>
                </c:pt>
                <c:pt idx="16">
                  <c:v>61632.63</c:v>
                </c:pt>
                <c:pt idx="17">
                  <c:v>32877.550000000003</c:v>
                </c:pt>
                <c:pt idx="18">
                  <c:v>81188.81</c:v>
                </c:pt>
                <c:pt idx="19">
                  <c:v>84152.9</c:v>
                </c:pt>
                <c:pt idx="20">
                  <c:v>188509.31</c:v>
                </c:pt>
                <c:pt idx="21">
                  <c:v>143570.98000000001</c:v>
                </c:pt>
                <c:pt idx="22">
                  <c:v>26370.18</c:v>
                </c:pt>
                <c:pt idx="23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91-44C3-883A-E8985F6C9766}"/>
            </c:ext>
          </c:extLst>
        </c:ser>
        <c:ser>
          <c:idx val="9"/>
          <c:order val="9"/>
          <c:tx>
            <c:strRef>
              <c:f>'Restoration ($) Combined'!$M$50</c:f>
              <c:strCache>
                <c:ptCount val="1"/>
                <c:pt idx="0">
                  <c:v>Fuel wood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Combined'!$M$51:$M$89</c15:sqref>
                  </c15:fullRef>
                </c:ext>
              </c:extLst>
              <c:f>('Restoration ($) Combined'!$M$51:$M$58,'Restoration ($) Combined'!$M$67,'Restoration ($) Combined'!$M$70,'Restoration ($) Combined'!$M$74:$M$78,'Restoration ($) Combined'!$M$81:$M$89)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444289.5876578546</c:v>
                </c:pt>
                <c:pt idx="1">
                  <c:v>34132</c:v>
                </c:pt>
                <c:pt idx="2">
                  <c:v>36665.4</c:v>
                </c:pt>
                <c:pt idx="3">
                  <c:v>57621.599999999999</c:v>
                </c:pt>
                <c:pt idx="4">
                  <c:v>22631</c:v>
                </c:pt>
                <c:pt idx="5">
                  <c:v>107886.8</c:v>
                </c:pt>
                <c:pt idx="6">
                  <c:v>14628</c:v>
                </c:pt>
                <c:pt idx="7">
                  <c:v>37725.4</c:v>
                </c:pt>
                <c:pt idx="8">
                  <c:v>136814.19999999998</c:v>
                </c:pt>
                <c:pt idx="9">
                  <c:v>32796.400000000001</c:v>
                </c:pt>
                <c:pt idx="10">
                  <c:v>71475.8</c:v>
                </c:pt>
                <c:pt idx="11">
                  <c:v>22313</c:v>
                </c:pt>
                <c:pt idx="12">
                  <c:v>64236</c:v>
                </c:pt>
                <c:pt idx="13">
                  <c:v>128546.2</c:v>
                </c:pt>
                <c:pt idx="14">
                  <c:v>14850.6</c:v>
                </c:pt>
                <c:pt idx="15">
                  <c:v>76245.8</c:v>
                </c:pt>
                <c:pt idx="16">
                  <c:v>19175.399999999998</c:v>
                </c:pt>
                <c:pt idx="17">
                  <c:v>10229</c:v>
                </c:pt>
                <c:pt idx="18">
                  <c:v>25259.8</c:v>
                </c:pt>
                <c:pt idx="19">
                  <c:v>26182</c:v>
                </c:pt>
                <c:pt idx="20">
                  <c:v>58649.799999999996</c:v>
                </c:pt>
                <c:pt idx="21">
                  <c:v>44668.4</c:v>
                </c:pt>
                <c:pt idx="22">
                  <c:v>8204.4</c:v>
                </c:pt>
                <c:pt idx="23">
                  <c:v>55300.2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91-44C3-883A-E8985F6C9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668944"/>
        <c:axId val="1081669424"/>
      </c:barChart>
      <c:catAx>
        <c:axId val="108166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69424"/>
        <c:crosses val="autoZero"/>
        <c:auto val="1"/>
        <c:lblAlgn val="ctr"/>
        <c:lblOffset val="100"/>
        <c:tickLblSkip val="1"/>
        <c:noMultiLvlLbl val="0"/>
      </c:catAx>
      <c:valAx>
        <c:axId val="1081669424"/>
        <c:scaling>
          <c:orientation val="minMax"/>
          <c:max val="8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6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'Restoration ($) Combined'!$D$93</c:f>
              <c:strCache>
                <c:ptCount val="1"/>
                <c:pt idx="0">
                  <c:v>Flood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Combined'!$D$94:$D$130</c15:sqref>
                  </c15:fullRef>
                </c:ext>
              </c:extLst>
              <c:f>('Restoration ($) Combined'!$D$94:$D$101,'Restoration ($) Combined'!$D$117,'Restoration ($) Combined'!$D$124:$D$130)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14724008.419653563</c:v>
                </c:pt>
                <c:pt idx="1">
                  <c:v>1131153.8</c:v>
                </c:pt>
                <c:pt idx="2">
                  <c:v>1215112.1100000001</c:v>
                </c:pt>
                <c:pt idx="3">
                  <c:v>1909612.4400000002</c:v>
                </c:pt>
                <c:pt idx="4">
                  <c:v>750004.15</c:v>
                </c:pt>
                <c:pt idx="5">
                  <c:v>3575429.62</c:v>
                </c:pt>
                <c:pt idx="6">
                  <c:v>484780.2</c:v>
                </c:pt>
                <c:pt idx="7">
                  <c:v>1250241.1100000001</c:v>
                </c:pt>
                <c:pt idx="8">
                  <c:v>2368748.4700000002</c:v>
                </c:pt>
                <c:pt idx="9">
                  <c:v>338994.85000000003</c:v>
                </c:pt>
                <c:pt idx="10">
                  <c:v>837124.07000000007</c:v>
                </c:pt>
                <c:pt idx="11">
                  <c:v>867686.3</c:v>
                </c:pt>
                <c:pt idx="12">
                  <c:v>1943687.57</c:v>
                </c:pt>
                <c:pt idx="13">
                  <c:v>1480336.06</c:v>
                </c:pt>
                <c:pt idx="14">
                  <c:v>271898.46000000002</c:v>
                </c:pt>
                <c:pt idx="15">
                  <c:v>1832679.9300000002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A-48C0-A56A-0CAD09D874B6}"/>
            </c:ext>
          </c:extLst>
        </c:ser>
        <c:ser>
          <c:idx val="1"/>
          <c:order val="1"/>
          <c:tx>
            <c:strRef>
              <c:f>'Restoration ($) Combined'!$E$93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Combined'!$E$94:$E$130</c15:sqref>
                  </c15:fullRef>
                </c:ext>
              </c:extLst>
              <c:f>('Restoration ($) Combined'!$E$94:$E$101,'Restoration ($) Combined'!$E$117,'Restoration ($) Combined'!$E$124:$E$130)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1909280.45</c:v>
                </c:pt>
                <c:pt idx="9">
                  <c:v>273239.75</c:v>
                </c:pt>
                <c:pt idx="10">
                  <c:v>674746.45</c:v>
                </c:pt>
                <c:pt idx="11">
                  <c:v>699380.5</c:v>
                </c:pt>
                <c:pt idx="12">
                  <c:v>1566668.95</c:v>
                </c:pt>
                <c:pt idx="13">
                  <c:v>1193194.0999999999</c:v>
                </c:pt>
                <c:pt idx="14">
                  <c:v>219158.09999999998</c:v>
                </c:pt>
                <c:pt idx="15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A-48C0-A56A-0CAD09D874B6}"/>
            </c:ext>
          </c:extLst>
        </c:ser>
        <c:ser>
          <c:idx val="2"/>
          <c:order val="2"/>
          <c:tx>
            <c:strRef>
              <c:f>'Restoration ($) Combined'!$F$93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Combined'!$F$94:$F$130</c15:sqref>
                  </c15:fullRef>
                </c:ext>
              </c:extLst>
              <c:f>('Restoration ($) Combined'!$F$94:$F$101,'Restoration ($) Combined'!$F$117,'Restoration ($) Combined'!$F$124:$F$130)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2511700.0699999998</c:v>
                </c:pt>
                <c:pt idx="9">
                  <c:v>359452.85000000003</c:v>
                </c:pt>
                <c:pt idx="10">
                  <c:v>887643.67</c:v>
                </c:pt>
                <c:pt idx="11">
                  <c:v>920050.3</c:v>
                </c:pt>
                <c:pt idx="12">
                  <c:v>2060987.1700000002</c:v>
                </c:pt>
                <c:pt idx="13">
                  <c:v>1569672.86</c:v>
                </c:pt>
                <c:pt idx="14">
                  <c:v>288307.26</c:v>
                </c:pt>
                <c:pt idx="15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A-48C0-A56A-0CAD09D874B6}"/>
            </c:ext>
          </c:extLst>
        </c:ser>
        <c:ser>
          <c:idx val="3"/>
          <c:order val="3"/>
          <c:tx>
            <c:strRef>
              <c:f>'Restoration ($) Combined'!$G$93</c:f>
              <c:strCache>
                <c:ptCount val="1"/>
                <c:pt idx="0">
                  <c:v>Water filtering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Combined'!$G$94:$G$130</c15:sqref>
                  </c15:fullRef>
                </c:ext>
              </c:extLst>
              <c:f>('Restoration ($) Combined'!$G$94:$G$101,'Restoration ($) Combined'!$G$117,'Restoration ($) Combined'!$G$124:$G$130)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9138952.9898979831</c:v>
                </c:pt>
                <c:pt idx="1">
                  <c:v>702088.79999999993</c:v>
                </c:pt>
                <c:pt idx="2">
                  <c:v>754200.36</c:v>
                </c:pt>
                <c:pt idx="3">
                  <c:v>1185265.44</c:v>
                </c:pt>
                <c:pt idx="4">
                  <c:v>465515.39999999997</c:v>
                </c:pt>
                <c:pt idx="5">
                  <c:v>2219211.12</c:v>
                </c:pt>
                <c:pt idx="6">
                  <c:v>300895.2</c:v>
                </c:pt>
                <c:pt idx="7">
                  <c:v>776004.36</c:v>
                </c:pt>
                <c:pt idx="8">
                  <c:v>1470243.72</c:v>
                </c:pt>
                <c:pt idx="9">
                  <c:v>210408.6</c:v>
                </c:pt>
                <c:pt idx="10">
                  <c:v>519589.32</c:v>
                </c:pt>
                <c:pt idx="11">
                  <c:v>538558.79999999993</c:v>
                </c:pt>
                <c:pt idx="12">
                  <c:v>1206415.32</c:v>
                </c:pt>
                <c:pt idx="13">
                  <c:v>918820.55999999994</c:v>
                </c:pt>
                <c:pt idx="14">
                  <c:v>168762.96</c:v>
                </c:pt>
                <c:pt idx="15">
                  <c:v>1137514.68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4A-48C0-A56A-0CAD09D874B6}"/>
            </c:ext>
          </c:extLst>
        </c:ser>
        <c:ser>
          <c:idx val="4"/>
          <c:order val="4"/>
          <c:tx>
            <c:strRef>
              <c:f>'Restoration ($) Combined'!$H$93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Combined'!$H$94:$H$130</c15:sqref>
                  </c15:fullRef>
                </c:ext>
              </c:extLst>
              <c:f>('Restoration ($) Combined'!$H$94:$H$101,'Restoration ($) Combined'!$H$117,'Restoration ($) Combined'!$H$124:$H$130)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1092500.8600000001</c:v>
                </c:pt>
                <c:pt idx="9">
                  <c:v>156349.30000000002</c:v>
                </c:pt>
                <c:pt idx="10">
                  <c:v>386093.66000000003</c:v>
                </c:pt>
                <c:pt idx="11">
                  <c:v>400189.4</c:v>
                </c:pt>
                <c:pt idx="12">
                  <c:v>896456.66</c:v>
                </c:pt>
                <c:pt idx="13">
                  <c:v>682752.28</c:v>
                </c:pt>
                <c:pt idx="14">
                  <c:v>125403.48000000001</c:v>
                </c:pt>
                <c:pt idx="15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4A-48C0-A56A-0CAD09D874B6}"/>
            </c:ext>
          </c:extLst>
        </c:ser>
        <c:ser>
          <c:idx val="5"/>
          <c:order val="5"/>
          <c:tx>
            <c:strRef>
              <c:f>'Restoration ($) Combined'!$I$93</c:f>
              <c:strCache>
                <c:ptCount val="1"/>
                <c:pt idx="0">
                  <c:v>Habitat nursery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Combined'!$I$94:$I$130</c15:sqref>
                  </c15:fullRef>
                </c:ext>
              </c:extLst>
              <c:f>('Restoration ($) Combined'!$I$94:$I$101,'Restoration ($) Combined'!$I$117,'Restoration ($) Combined'!$I$124:$I$130)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6378070.4296128051</c:v>
                </c:pt>
                <c:pt idx="1">
                  <c:v>489987.39999999997</c:v>
                </c:pt>
                <c:pt idx="2">
                  <c:v>526356.02999999991</c:v>
                </c:pt>
                <c:pt idx="3">
                  <c:v>827196.11999999988</c:v>
                </c:pt>
                <c:pt idx="4">
                  <c:v>324882.94999999995</c:v>
                </c:pt>
                <c:pt idx="5">
                  <c:v>1548786.2599999998</c:v>
                </c:pt>
                <c:pt idx="6">
                  <c:v>209994.59999999998</c:v>
                </c:pt>
                <c:pt idx="7">
                  <c:v>541573.02999999991</c:v>
                </c:pt>
                <c:pt idx="8">
                  <c:v>1026082.3099999999</c:v>
                </c:pt>
                <c:pt idx="9">
                  <c:v>146844.04999999999</c:v>
                </c:pt>
                <c:pt idx="10">
                  <c:v>362621.11</c:v>
                </c:pt>
                <c:pt idx="11">
                  <c:v>375859.89999999997</c:v>
                </c:pt>
                <c:pt idx="12">
                  <c:v>841956.61</c:v>
                </c:pt>
                <c:pt idx="13">
                  <c:v>641244.38</c:v>
                </c:pt>
                <c:pt idx="14">
                  <c:v>117779.57999999999</c:v>
                </c:pt>
                <c:pt idx="15">
                  <c:v>793870.8899999999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4A-48C0-A56A-0CAD09D874B6}"/>
            </c:ext>
          </c:extLst>
        </c:ser>
        <c:ser>
          <c:idx val="6"/>
          <c:order val="6"/>
          <c:tx>
            <c:strRef>
              <c:f>'Restoration ($) Combined'!$J$93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Combined'!$J$94:$J$130</c15:sqref>
                  </c15:fullRef>
                </c:ext>
              </c:extLst>
              <c:f>('Restoration ($) Combined'!$J$94:$J$101,'Restoration ($) Combined'!$J$117,'Restoration ($) Combined'!$J$124:$J$130)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627908.16</c:v>
                </c:pt>
                <c:pt idx="9">
                  <c:v>89860.800000000003</c:v>
                </c:pt>
                <c:pt idx="10">
                  <c:v>221904.96000000002</c:v>
                </c:pt>
                <c:pt idx="11">
                  <c:v>230006.40000000002</c:v>
                </c:pt>
                <c:pt idx="12">
                  <c:v>515232.96</c:v>
                </c:pt>
                <c:pt idx="13">
                  <c:v>392407.68</c:v>
                </c:pt>
                <c:pt idx="14">
                  <c:v>72074.880000000005</c:v>
                </c:pt>
                <c:pt idx="15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4A-48C0-A56A-0CAD09D874B6}"/>
            </c:ext>
          </c:extLst>
        </c:ser>
        <c:ser>
          <c:idx val="7"/>
          <c:order val="7"/>
          <c:tx>
            <c:strRef>
              <c:f>'Restoration ($) Combined'!$K$93</c:f>
              <c:strCache>
                <c:ptCount val="1"/>
                <c:pt idx="0">
                  <c:v>Water supply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Combined'!$K$94:$K$130</c15:sqref>
                  </c15:fullRef>
                </c:ext>
              </c:extLst>
              <c:f>('Restoration ($) Combined'!$K$94:$K$101,'Restoration ($) Combined'!$K$117,'Restoration ($) Combined'!$K$124:$K$130)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229734.01</c:v>
                </c:pt>
                <c:pt idx="9">
                  <c:v>32877.550000000003</c:v>
                </c:pt>
                <c:pt idx="10">
                  <c:v>81188.81</c:v>
                </c:pt>
                <c:pt idx="11">
                  <c:v>84152.9</c:v>
                </c:pt>
                <c:pt idx="12">
                  <c:v>188509.31</c:v>
                </c:pt>
                <c:pt idx="13">
                  <c:v>143570.98000000001</c:v>
                </c:pt>
                <c:pt idx="14">
                  <c:v>26370.18</c:v>
                </c:pt>
                <c:pt idx="15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4A-48C0-A56A-0CAD09D874B6}"/>
            </c:ext>
          </c:extLst>
        </c:ser>
        <c:ser>
          <c:idx val="8"/>
          <c:order val="8"/>
          <c:tx>
            <c:strRef>
              <c:f>'Restoration ($) Combined'!$L$93</c:f>
              <c:strCache>
                <c:ptCount val="1"/>
                <c:pt idx="0">
                  <c:v>Materials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Combined'!$L$94:$L$130</c15:sqref>
                  </c15:fullRef>
                </c:ext>
              </c:extLst>
              <c:f>('Restoration ($) Combined'!$L$94:$L$101,'Restoration ($) Combined'!$L$117,'Restoration ($) Combined'!$L$124:$L$130)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229734.01</c:v>
                </c:pt>
                <c:pt idx="9">
                  <c:v>32877.550000000003</c:v>
                </c:pt>
                <c:pt idx="10">
                  <c:v>81188.81</c:v>
                </c:pt>
                <c:pt idx="11">
                  <c:v>84152.9</c:v>
                </c:pt>
                <c:pt idx="12">
                  <c:v>188509.31</c:v>
                </c:pt>
                <c:pt idx="13">
                  <c:v>143570.98000000001</c:v>
                </c:pt>
                <c:pt idx="14">
                  <c:v>26370.18</c:v>
                </c:pt>
                <c:pt idx="15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4A-48C0-A56A-0CAD09D874B6}"/>
            </c:ext>
          </c:extLst>
        </c:ser>
        <c:ser>
          <c:idx val="9"/>
          <c:order val="9"/>
          <c:tx>
            <c:strRef>
              <c:f>'Restoration ($) Combined'!$M$93</c:f>
              <c:strCache>
                <c:ptCount val="1"/>
                <c:pt idx="0">
                  <c:v>Fuel wood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Combined'!$M$94:$M$130</c15:sqref>
                  </c15:fullRef>
                </c:ext>
              </c:extLst>
              <c:f>('Restoration ($) Combined'!$M$94:$M$101,'Restoration ($) Combined'!$M$117,'Restoration ($) Combined'!$M$124:$M$130)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444289.5876578546</c:v>
                </c:pt>
                <c:pt idx="1">
                  <c:v>34132</c:v>
                </c:pt>
                <c:pt idx="2">
                  <c:v>36665.4</c:v>
                </c:pt>
                <c:pt idx="3">
                  <c:v>57621.599999999999</c:v>
                </c:pt>
                <c:pt idx="4">
                  <c:v>22631</c:v>
                </c:pt>
                <c:pt idx="5">
                  <c:v>107886.8</c:v>
                </c:pt>
                <c:pt idx="6">
                  <c:v>14628</c:v>
                </c:pt>
                <c:pt idx="7">
                  <c:v>37725.4</c:v>
                </c:pt>
                <c:pt idx="8">
                  <c:v>71475.8</c:v>
                </c:pt>
                <c:pt idx="9">
                  <c:v>10229</c:v>
                </c:pt>
                <c:pt idx="10">
                  <c:v>25259.8</c:v>
                </c:pt>
                <c:pt idx="11">
                  <c:v>26182</c:v>
                </c:pt>
                <c:pt idx="12">
                  <c:v>58649.799999999996</c:v>
                </c:pt>
                <c:pt idx="13">
                  <c:v>44668.4</c:v>
                </c:pt>
                <c:pt idx="14">
                  <c:v>8204.4</c:v>
                </c:pt>
                <c:pt idx="15">
                  <c:v>55300.2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4A-48C0-A56A-0CAD09D87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981936"/>
        <c:axId val="1453982416"/>
      </c:barChart>
      <c:catAx>
        <c:axId val="14539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82416"/>
        <c:crosses val="autoZero"/>
        <c:auto val="1"/>
        <c:lblAlgn val="ctr"/>
        <c:lblOffset val="100"/>
        <c:tickLblSkip val="1"/>
        <c:noMultiLvlLbl val="0"/>
      </c:catAx>
      <c:valAx>
        <c:axId val="1453982416"/>
        <c:scaling>
          <c:orientation val="minMax"/>
          <c:max val="8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8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'Restoration ($) Combined'!$E$93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('Restoration ($) Combined'!$B$95:$C$101,'Restoration ($) Combined'!$B$117:$C$117,'Restoration ($) Combined'!$B$124:$C$130)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Combined'!$E$94:$E$133</c15:sqref>
                  </c15:fullRef>
                </c:ext>
              </c:extLst>
              <c:f>('Restoration ($) Combined'!$E$95:$E$101,'Restoration ($) Combined'!$E$117,'Restoration ($) Combined'!$E$124:$E$130)</c:f>
              <c:numCache>
                <c:formatCode>_([$$-409]* #,##0.00_);_([$$-409]* \(#,##0.00\);_([$$-409]* "-"??_);_(@_)</c:formatCode>
                <c:ptCount val="15"/>
                <c:pt idx="0">
                  <c:v>911742.99999999988</c:v>
                </c:pt>
                <c:pt idx="1">
                  <c:v>979415.85</c:v>
                </c:pt>
                <c:pt idx="2">
                  <c:v>1539203.4</c:v>
                </c:pt>
                <c:pt idx="3">
                  <c:v>604525.25</c:v>
                </c:pt>
                <c:pt idx="4">
                  <c:v>2881900.6999999997</c:v>
                </c:pt>
                <c:pt idx="5">
                  <c:v>390746.99999999994</c:v>
                </c:pt>
                <c:pt idx="6">
                  <c:v>1007730.85</c:v>
                </c:pt>
                <c:pt idx="7">
                  <c:v>1909280.45</c:v>
                </c:pt>
                <c:pt idx="8">
                  <c:v>273239.75</c:v>
                </c:pt>
                <c:pt idx="9">
                  <c:v>674746.45</c:v>
                </c:pt>
                <c:pt idx="10">
                  <c:v>699380.5</c:v>
                </c:pt>
                <c:pt idx="11">
                  <c:v>1566668.95</c:v>
                </c:pt>
                <c:pt idx="12">
                  <c:v>1193194.0999999999</c:v>
                </c:pt>
                <c:pt idx="13">
                  <c:v>219158.09999999998</c:v>
                </c:pt>
                <c:pt idx="14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D-49CB-B08A-946F42F6172E}"/>
            </c:ext>
          </c:extLst>
        </c:ser>
        <c:ser>
          <c:idx val="2"/>
          <c:order val="2"/>
          <c:tx>
            <c:strRef>
              <c:f>'Restoration ($) Combined'!$F$93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('Restoration ($) Combined'!$B$95:$C$101,'Restoration ($) Combined'!$B$117:$C$117,'Restoration ($) Combined'!$B$124:$C$130)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Combined'!$F$94:$F$133</c15:sqref>
                  </c15:fullRef>
                </c:ext>
              </c:extLst>
              <c:f>('Restoration ($) Combined'!$F$95:$F$101,'Restoration ($) Combined'!$F$117,'Restoration ($) Combined'!$F$124:$F$130)</c:f>
              <c:numCache>
                <c:formatCode>_([$$-409]* #,##0.00_);_([$$-409]* \(#,##0.00\);_([$$-409]* "-"??_);_(@_)</c:formatCode>
                <c:ptCount val="15"/>
                <c:pt idx="0">
                  <c:v>1199417.8</c:v>
                </c:pt>
                <c:pt idx="1">
                  <c:v>1288442.9099999999</c:v>
                </c:pt>
                <c:pt idx="2">
                  <c:v>2024855.6400000001</c:v>
                </c:pt>
                <c:pt idx="3">
                  <c:v>795266.15</c:v>
                </c:pt>
                <c:pt idx="4">
                  <c:v>3791203.22</c:v>
                </c:pt>
                <c:pt idx="5">
                  <c:v>514036.2</c:v>
                </c:pt>
                <c:pt idx="6">
                  <c:v>1325691.9099999999</c:v>
                </c:pt>
                <c:pt idx="7">
                  <c:v>2511700.0699999998</c:v>
                </c:pt>
                <c:pt idx="8">
                  <c:v>359452.85000000003</c:v>
                </c:pt>
                <c:pt idx="9">
                  <c:v>887643.67</c:v>
                </c:pt>
                <c:pt idx="10">
                  <c:v>920050.3</c:v>
                </c:pt>
                <c:pt idx="11">
                  <c:v>2060987.1700000002</c:v>
                </c:pt>
                <c:pt idx="12">
                  <c:v>1569672.86</c:v>
                </c:pt>
                <c:pt idx="13">
                  <c:v>288307.26</c:v>
                </c:pt>
                <c:pt idx="14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0D-49CB-B08A-946F42F6172E}"/>
            </c:ext>
          </c:extLst>
        </c:ser>
        <c:ser>
          <c:idx val="4"/>
          <c:order val="4"/>
          <c:tx>
            <c:strRef>
              <c:f>'Restoration ($) Combined'!$H$93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('Restoration ($) Combined'!$B$95:$C$101,'Restoration ($) Combined'!$B$117:$C$117,'Restoration ($) Combined'!$B$124:$C$130)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Combined'!$H$94:$H$133</c15:sqref>
                  </c15:fullRef>
                </c:ext>
              </c:extLst>
              <c:f>('Restoration ($) Combined'!$H$95:$H$101,'Restoration ($) Combined'!$H$117,'Restoration ($) Combined'!$H$124:$H$130)</c:f>
              <c:numCache>
                <c:formatCode>_([$$-409]* #,##0.00_);_([$$-409]* \(#,##0.00\);_([$$-409]* "-"??_);_(@_)</c:formatCode>
                <c:ptCount val="15"/>
                <c:pt idx="0">
                  <c:v>521704.4</c:v>
                </c:pt>
                <c:pt idx="1">
                  <c:v>560427.18000000005</c:v>
                </c:pt>
                <c:pt idx="2">
                  <c:v>880740.72000000009</c:v>
                </c:pt>
                <c:pt idx="3">
                  <c:v>345912.7</c:v>
                </c:pt>
                <c:pt idx="4">
                  <c:v>1649039.56</c:v>
                </c:pt>
                <c:pt idx="5">
                  <c:v>223587.6</c:v>
                </c:pt>
                <c:pt idx="6">
                  <c:v>576629.18000000005</c:v>
                </c:pt>
                <c:pt idx="7">
                  <c:v>1092500.8600000001</c:v>
                </c:pt>
                <c:pt idx="8">
                  <c:v>156349.30000000002</c:v>
                </c:pt>
                <c:pt idx="9">
                  <c:v>386093.66000000003</c:v>
                </c:pt>
                <c:pt idx="10">
                  <c:v>400189.4</c:v>
                </c:pt>
                <c:pt idx="11">
                  <c:v>896456.66</c:v>
                </c:pt>
                <c:pt idx="12">
                  <c:v>682752.28</c:v>
                </c:pt>
                <c:pt idx="13">
                  <c:v>125403.48000000001</c:v>
                </c:pt>
                <c:pt idx="14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0D-49CB-B08A-946F42F6172E}"/>
            </c:ext>
          </c:extLst>
        </c:ser>
        <c:ser>
          <c:idx val="6"/>
          <c:order val="6"/>
          <c:tx>
            <c:strRef>
              <c:f>'Restoration ($) Combined'!$J$93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('Restoration ($) Combined'!$B$95:$C$101,'Restoration ($) Combined'!$B$117:$C$117,'Restoration ($) Combined'!$B$124:$C$130)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Combined'!$J$94:$J$133</c15:sqref>
                  </c15:fullRef>
                </c:ext>
              </c:extLst>
              <c:f>('Restoration ($) Combined'!$J$95:$J$101,'Restoration ($) Combined'!$J$117,'Restoration ($) Combined'!$J$124:$J$130)</c:f>
              <c:numCache>
                <c:formatCode>_([$$-409]* #,##0.00_);_([$$-409]* \(#,##0.00\);_([$$-409]* "-"??_);_(@_)</c:formatCode>
                <c:ptCount val="15"/>
                <c:pt idx="0">
                  <c:v>299846.40000000002</c:v>
                </c:pt>
                <c:pt idx="1">
                  <c:v>322102.08</c:v>
                </c:pt>
                <c:pt idx="2">
                  <c:v>506200.32000000001</c:v>
                </c:pt>
                <c:pt idx="3">
                  <c:v>198811.2</c:v>
                </c:pt>
                <c:pt idx="4">
                  <c:v>947775.3600000001</c:v>
                </c:pt>
                <c:pt idx="5">
                  <c:v>128505.60000000001</c:v>
                </c:pt>
                <c:pt idx="6">
                  <c:v>331414.08</c:v>
                </c:pt>
                <c:pt idx="7">
                  <c:v>627908.16</c:v>
                </c:pt>
                <c:pt idx="8">
                  <c:v>89860.800000000003</c:v>
                </c:pt>
                <c:pt idx="9">
                  <c:v>221904.96000000002</c:v>
                </c:pt>
                <c:pt idx="10">
                  <c:v>230006.40000000002</c:v>
                </c:pt>
                <c:pt idx="11">
                  <c:v>515232.96</c:v>
                </c:pt>
                <c:pt idx="12">
                  <c:v>392407.68</c:v>
                </c:pt>
                <c:pt idx="13">
                  <c:v>72074.880000000005</c:v>
                </c:pt>
                <c:pt idx="14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0D-49CB-B08A-946F42F61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75491503"/>
        <c:axId val="6754843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'Restoration ($) Combined'!$D$93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('Restoration ($) Combined'!$B$95:$C$101,'Restoration ($) Combined'!$B$117:$C$117,'Restoration ($) Combined'!$B$124:$C$130)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'Restoration ($) Combined'!$D$94:$D$133</c15:sqref>
                        </c15:fullRef>
                        <c15:formulaRef>
                          <c15:sqref>('Restoration ($) Combined'!$D$95:$D$101,'Restoration ($) Combined'!$D$117,'Restoration ($) Combined'!$D$124:$D$130)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1131153.8</c:v>
                      </c:pt>
                      <c:pt idx="1">
                        <c:v>1215112.1100000001</c:v>
                      </c:pt>
                      <c:pt idx="2">
                        <c:v>1909612.4400000002</c:v>
                      </c:pt>
                      <c:pt idx="3">
                        <c:v>750004.15</c:v>
                      </c:pt>
                      <c:pt idx="4">
                        <c:v>3575429.62</c:v>
                      </c:pt>
                      <c:pt idx="5">
                        <c:v>484780.2</c:v>
                      </c:pt>
                      <c:pt idx="6">
                        <c:v>1250241.1100000001</c:v>
                      </c:pt>
                      <c:pt idx="7">
                        <c:v>2368748.4700000002</c:v>
                      </c:pt>
                      <c:pt idx="8">
                        <c:v>338994.85000000003</c:v>
                      </c:pt>
                      <c:pt idx="9">
                        <c:v>837124.07000000007</c:v>
                      </c:pt>
                      <c:pt idx="10">
                        <c:v>867686.3</c:v>
                      </c:pt>
                      <c:pt idx="11">
                        <c:v>1943687.57</c:v>
                      </c:pt>
                      <c:pt idx="12">
                        <c:v>1480336.06</c:v>
                      </c:pt>
                      <c:pt idx="13">
                        <c:v>271898.46000000002</c:v>
                      </c:pt>
                      <c:pt idx="14">
                        <c:v>1832679.9300000002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80D-49CB-B08A-946F42F6172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Combined'!$G$93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('Restoration ($) Combined'!$B$95:$C$101,'Restoration ($) Combined'!$B$117:$C$117,'Restoration ($) Combined'!$B$124:$C$130)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Combined'!$G$94:$G$133</c15:sqref>
                        </c15:fullRef>
                        <c15:formulaRef>
                          <c15:sqref>('Restoration ($) Combined'!$G$95:$G$101,'Restoration ($) Combined'!$G$117,'Restoration ($) Combined'!$G$124:$G$130)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702088.79999999993</c:v>
                      </c:pt>
                      <c:pt idx="1">
                        <c:v>754200.36</c:v>
                      </c:pt>
                      <c:pt idx="2">
                        <c:v>1185265.44</c:v>
                      </c:pt>
                      <c:pt idx="3">
                        <c:v>465515.39999999997</c:v>
                      </c:pt>
                      <c:pt idx="4">
                        <c:v>2219211.12</c:v>
                      </c:pt>
                      <c:pt idx="5">
                        <c:v>300895.2</c:v>
                      </c:pt>
                      <c:pt idx="6">
                        <c:v>776004.36</c:v>
                      </c:pt>
                      <c:pt idx="7">
                        <c:v>1470243.72</c:v>
                      </c:pt>
                      <c:pt idx="8">
                        <c:v>210408.6</c:v>
                      </c:pt>
                      <c:pt idx="9">
                        <c:v>519589.32</c:v>
                      </c:pt>
                      <c:pt idx="10">
                        <c:v>538558.79999999993</c:v>
                      </c:pt>
                      <c:pt idx="11">
                        <c:v>1206415.32</c:v>
                      </c:pt>
                      <c:pt idx="12">
                        <c:v>918820.55999999994</c:v>
                      </c:pt>
                      <c:pt idx="13">
                        <c:v>168762.96</c:v>
                      </c:pt>
                      <c:pt idx="14">
                        <c:v>1137514.68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80D-49CB-B08A-946F42F6172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Combined'!$I$93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('Restoration ($) Combined'!$B$95:$C$101,'Restoration ($) Combined'!$B$117:$C$117,'Restoration ($) Combined'!$B$124:$C$130)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Combined'!$I$94:$I$133</c15:sqref>
                        </c15:fullRef>
                        <c15:formulaRef>
                          <c15:sqref>('Restoration ($) Combined'!$I$95:$I$101,'Restoration ($) Combined'!$I$117,'Restoration ($) Combined'!$I$124:$I$130)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489987.39999999997</c:v>
                      </c:pt>
                      <c:pt idx="1">
                        <c:v>526356.02999999991</c:v>
                      </c:pt>
                      <c:pt idx="2">
                        <c:v>827196.11999999988</c:v>
                      </c:pt>
                      <c:pt idx="3">
                        <c:v>324882.94999999995</c:v>
                      </c:pt>
                      <c:pt idx="4">
                        <c:v>1548786.2599999998</c:v>
                      </c:pt>
                      <c:pt idx="5">
                        <c:v>209994.59999999998</c:v>
                      </c:pt>
                      <c:pt idx="6">
                        <c:v>541573.02999999991</c:v>
                      </c:pt>
                      <c:pt idx="7">
                        <c:v>1026082.3099999999</c:v>
                      </c:pt>
                      <c:pt idx="8">
                        <c:v>146844.04999999999</c:v>
                      </c:pt>
                      <c:pt idx="9">
                        <c:v>362621.11</c:v>
                      </c:pt>
                      <c:pt idx="10">
                        <c:v>375859.89999999997</c:v>
                      </c:pt>
                      <c:pt idx="11">
                        <c:v>841956.61</c:v>
                      </c:pt>
                      <c:pt idx="12">
                        <c:v>641244.38</c:v>
                      </c:pt>
                      <c:pt idx="13">
                        <c:v>117779.57999999999</c:v>
                      </c:pt>
                      <c:pt idx="14">
                        <c:v>793870.8899999999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80D-49CB-B08A-946F42F6172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Combined'!$K$93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('Restoration ($) Combined'!$B$95:$C$101,'Restoration ($) Combined'!$B$117:$C$117,'Restoration ($) Combined'!$B$124:$C$130)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Combined'!$K$94:$K$133</c15:sqref>
                        </c15:fullRef>
                        <c15:formulaRef>
                          <c15:sqref>('Restoration ($) Combined'!$K$95:$K$101,'Restoration ($) Combined'!$K$117,'Restoration ($) Combined'!$K$124:$K$130)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229734.01</c:v>
                      </c:pt>
                      <c:pt idx="8">
                        <c:v>32877.550000000003</c:v>
                      </c:pt>
                      <c:pt idx="9">
                        <c:v>81188.81</c:v>
                      </c:pt>
                      <c:pt idx="10">
                        <c:v>84152.9</c:v>
                      </c:pt>
                      <c:pt idx="11">
                        <c:v>188509.31</c:v>
                      </c:pt>
                      <c:pt idx="12">
                        <c:v>143570.98000000001</c:v>
                      </c:pt>
                      <c:pt idx="13">
                        <c:v>26370.18</c:v>
                      </c:pt>
                      <c:pt idx="14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80D-49CB-B08A-946F42F6172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Combined'!$L$93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('Restoration ($) Combined'!$B$95:$C$101,'Restoration ($) Combined'!$B$117:$C$117,'Restoration ($) Combined'!$B$124:$C$130)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Combined'!$L$94:$L$133</c15:sqref>
                        </c15:fullRef>
                        <c15:formulaRef>
                          <c15:sqref>('Restoration ($) Combined'!$L$95:$L$101,'Restoration ($) Combined'!$L$117,'Restoration ($) Combined'!$L$124:$L$130)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229734.01</c:v>
                      </c:pt>
                      <c:pt idx="8">
                        <c:v>32877.550000000003</c:v>
                      </c:pt>
                      <c:pt idx="9">
                        <c:v>81188.81</c:v>
                      </c:pt>
                      <c:pt idx="10">
                        <c:v>84152.9</c:v>
                      </c:pt>
                      <c:pt idx="11">
                        <c:v>188509.31</c:v>
                      </c:pt>
                      <c:pt idx="12">
                        <c:v>143570.98000000001</c:v>
                      </c:pt>
                      <c:pt idx="13">
                        <c:v>26370.18</c:v>
                      </c:pt>
                      <c:pt idx="14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80D-49CB-B08A-946F42F6172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Combined'!$M$93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('Restoration ($) Combined'!$B$95:$C$101,'Restoration ($) Combined'!$B$117:$C$117,'Restoration ($) Combined'!$B$124:$C$130)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Combined'!$M$94:$M$133</c15:sqref>
                        </c15:fullRef>
                        <c15:formulaRef>
                          <c15:sqref>('Restoration ($) Combined'!$M$95:$M$101,'Restoration ($) Combined'!$M$117,'Restoration ($) Combined'!$M$124:$M$130)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34132</c:v>
                      </c:pt>
                      <c:pt idx="1">
                        <c:v>36665.4</c:v>
                      </c:pt>
                      <c:pt idx="2">
                        <c:v>57621.599999999999</c:v>
                      </c:pt>
                      <c:pt idx="3">
                        <c:v>22631</c:v>
                      </c:pt>
                      <c:pt idx="4">
                        <c:v>107886.8</c:v>
                      </c:pt>
                      <c:pt idx="5">
                        <c:v>14628</c:v>
                      </c:pt>
                      <c:pt idx="6">
                        <c:v>37725.4</c:v>
                      </c:pt>
                      <c:pt idx="7">
                        <c:v>71475.8</c:v>
                      </c:pt>
                      <c:pt idx="8">
                        <c:v>10229</c:v>
                      </c:pt>
                      <c:pt idx="9">
                        <c:v>25259.8</c:v>
                      </c:pt>
                      <c:pt idx="10">
                        <c:v>26182</c:v>
                      </c:pt>
                      <c:pt idx="11">
                        <c:v>58649.799999999996</c:v>
                      </c:pt>
                      <c:pt idx="12">
                        <c:v>44668.4</c:v>
                      </c:pt>
                      <c:pt idx="13">
                        <c:v>8204.4</c:v>
                      </c:pt>
                      <c:pt idx="14">
                        <c:v>55300.2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80D-49CB-B08A-946F42F6172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Combined'!$N$93</c15:sqref>
                        </c15:formulaRef>
                      </c:ext>
                    </c:extLst>
                    <c:strCache>
                      <c:ptCount val="1"/>
                      <c:pt idx="0">
                        <c:v>Sum of all ten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('Restoration ($) Combined'!$B$95:$C$101,'Restoration ($) Combined'!$B$117:$C$117,'Restoration ($) Combined'!$B$124:$C$130)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Combined'!$N$94:$N$133</c15:sqref>
                        </c15:fullRef>
                        <c15:formulaRef>
                          <c15:sqref>('Restoration ($) Combined'!$N$95:$N$101,'Restoration ($) Combined'!$N$117,'Restoration ($) Combined'!$N$124:$N$130)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5509484.4000000013</c:v>
                      </c:pt>
                      <c:pt idx="1">
                        <c:v>5918418.1800000006</c:v>
                      </c:pt>
                      <c:pt idx="2">
                        <c:v>9301104.7199999988</c:v>
                      </c:pt>
                      <c:pt idx="3">
                        <c:v>3653027.7</c:v>
                      </c:pt>
                      <c:pt idx="4">
                        <c:v>17414761.560000002</c:v>
                      </c:pt>
                      <c:pt idx="5">
                        <c:v>2361207.6</c:v>
                      </c:pt>
                      <c:pt idx="6">
                        <c:v>6089520.1800000006</c:v>
                      </c:pt>
                      <c:pt idx="7">
                        <c:v>11537407.860000001</c:v>
                      </c:pt>
                      <c:pt idx="8">
                        <c:v>1651134.3000000005</c:v>
                      </c:pt>
                      <c:pt idx="9">
                        <c:v>4077360.6599999997</c:v>
                      </c:pt>
                      <c:pt idx="10">
                        <c:v>4226219.3999999994</c:v>
                      </c:pt>
                      <c:pt idx="11">
                        <c:v>9467073.6600000039</c:v>
                      </c:pt>
                      <c:pt idx="12">
                        <c:v>7210238.2800000012</c:v>
                      </c:pt>
                      <c:pt idx="13">
                        <c:v>1324329.48</c:v>
                      </c:pt>
                      <c:pt idx="14">
                        <c:v>8926391.339999998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80D-49CB-B08A-946F42F6172E}"/>
                  </c:ext>
                </c:extLst>
              </c15:ser>
            </c15:filteredBarSeries>
          </c:ext>
        </c:extLst>
      </c:barChart>
      <c:catAx>
        <c:axId val="67549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84303"/>
        <c:crosses val="autoZero"/>
        <c:auto val="1"/>
        <c:lblAlgn val="ctr"/>
        <c:lblOffset val="100"/>
        <c:noMultiLvlLbl val="0"/>
      </c:catAx>
      <c:valAx>
        <c:axId val="675484303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49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'Restoration ($) Combined'!$E$50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Combined'!$B$51:$C$89</c15:sqref>
                  </c15:fullRef>
                </c:ext>
              </c:extLst>
              <c:f>('Restoration ($) Combined'!$B$51:$C$58,'Restoration ($) Combined'!$B$67:$C$67,'Restoration ($) Combined'!$B$70:$C$70,'Restoration ($) Combined'!$B$74:$C$78,'Restoration ($) Combined'!$B$81:$C$89)</c:f>
              <c:multiLvlStrCache>
                <c:ptCount val="24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Brannan Island</c:v>
                  </c:pt>
                  <c:pt idx="9">
                    <c:v>Venice Island</c:v>
                  </c:pt>
                  <c:pt idx="10">
                    <c:v>Rindge Tract</c:v>
                  </c:pt>
                  <c:pt idx="11">
                    <c:v>Wright-Elmwood Tract</c:v>
                  </c:pt>
                  <c:pt idx="12">
                    <c:v>McDonald Tract</c:v>
                  </c:pt>
                  <c:pt idx="13">
                    <c:v>Jones Tract</c:v>
                  </c:pt>
                  <c:pt idx="14">
                    <c:v>Rough and Ready</c:v>
                  </c:pt>
                  <c:pt idx="15">
                    <c:v>Victoria Island</c:v>
                  </c:pt>
                  <c:pt idx="16">
                    <c:v>Woodward Island</c:v>
                  </c:pt>
                  <c:pt idx="17">
                    <c:v>Coney Island</c:v>
                  </c:pt>
                  <c:pt idx="18">
                    <c:v>Orowood Tract</c:v>
                  </c:pt>
                  <c:pt idx="19">
                    <c:v>Palm Tract</c:v>
                  </c:pt>
                  <c:pt idx="20">
                    <c:v>Bacon Island</c:v>
                  </c:pt>
                  <c:pt idx="21">
                    <c:v>Holland Tract</c:v>
                  </c:pt>
                  <c:pt idx="22">
                    <c:v>Quinby Island</c:v>
                  </c:pt>
                  <c:pt idx="23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Combined'!$E$51:$E$89</c15:sqref>
                  </c15:fullRef>
                </c:ext>
              </c:extLst>
              <c:f>('Restoration ($) Combined'!$E$51:$E$58,'Restoration ($) Combined'!$E$67,'Restoration ($) Combined'!$E$70,'Restoration ($) Combined'!$E$74:$E$78,'Restoration ($) Combined'!$E$81:$E$89)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3654617.05</c:v>
                </c:pt>
                <c:pt idx="9">
                  <c:v>876066.1</c:v>
                </c:pt>
                <c:pt idx="10">
                  <c:v>1909280.45</c:v>
                </c:pt>
                <c:pt idx="11">
                  <c:v>596030.75</c:v>
                </c:pt>
                <c:pt idx="12">
                  <c:v>1715888.9999999998</c:v>
                </c:pt>
                <c:pt idx="13">
                  <c:v>3433760.05</c:v>
                </c:pt>
                <c:pt idx="14">
                  <c:v>396693.14999999997</c:v>
                </c:pt>
                <c:pt idx="15">
                  <c:v>2036697.9499999997</c:v>
                </c:pt>
                <c:pt idx="16">
                  <c:v>512218.35</c:v>
                </c:pt>
                <c:pt idx="17">
                  <c:v>273239.75</c:v>
                </c:pt>
                <c:pt idx="18">
                  <c:v>674746.45</c:v>
                </c:pt>
                <c:pt idx="19">
                  <c:v>699380.5</c:v>
                </c:pt>
                <c:pt idx="20">
                  <c:v>1566668.95</c:v>
                </c:pt>
                <c:pt idx="21">
                  <c:v>1193194.0999999999</c:v>
                </c:pt>
                <c:pt idx="22">
                  <c:v>219158.09999999998</c:v>
                </c:pt>
                <c:pt idx="23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4-4579-986B-91EF18E513D3}"/>
            </c:ext>
          </c:extLst>
        </c:ser>
        <c:ser>
          <c:idx val="2"/>
          <c:order val="2"/>
          <c:tx>
            <c:strRef>
              <c:f>'Restoration ($) Combined'!$F$50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Combined'!$B$51:$C$89</c15:sqref>
                  </c15:fullRef>
                </c:ext>
              </c:extLst>
              <c:f>('Restoration ($) Combined'!$B$51:$C$58,'Restoration ($) Combined'!$B$67:$C$67,'Restoration ($) Combined'!$B$70:$C$70,'Restoration ($) Combined'!$B$74:$C$78,'Restoration ($) Combined'!$B$81:$C$89)</c:f>
              <c:multiLvlStrCache>
                <c:ptCount val="24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Brannan Island</c:v>
                  </c:pt>
                  <c:pt idx="9">
                    <c:v>Venice Island</c:v>
                  </c:pt>
                  <c:pt idx="10">
                    <c:v>Rindge Tract</c:v>
                  </c:pt>
                  <c:pt idx="11">
                    <c:v>Wright-Elmwood Tract</c:v>
                  </c:pt>
                  <c:pt idx="12">
                    <c:v>McDonald Tract</c:v>
                  </c:pt>
                  <c:pt idx="13">
                    <c:v>Jones Tract</c:v>
                  </c:pt>
                  <c:pt idx="14">
                    <c:v>Rough and Ready</c:v>
                  </c:pt>
                  <c:pt idx="15">
                    <c:v>Victoria Island</c:v>
                  </c:pt>
                  <c:pt idx="16">
                    <c:v>Woodward Island</c:v>
                  </c:pt>
                  <c:pt idx="17">
                    <c:v>Coney Island</c:v>
                  </c:pt>
                  <c:pt idx="18">
                    <c:v>Orowood Tract</c:v>
                  </c:pt>
                  <c:pt idx="19">
                    <c:v>Palm Tract</c:v>
                  </c:pt>
                  <c:pt idx="20">
                    <c:v>Bacon Island</c:v>
                  </c:pt>
                  <c:pt idx="21">
                    <c:v>Holland Tract</c:v>
                  </c:pt>
                  <c:pt idx="22">
                    <c:v>Quinby Island</c:v>
                  </c:pt>
                  <c:pt idx="23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Combined'!$F$51:$F$89</c15:sqref>
                  </c15:fullRef>
                </c:ext>
              </c:extLst>
              <c:f>('Restoration ($) Combined'!$F$51:$F$58,'Restoration ($) Combined'!$F$67,'Restoration ($) Combined'!$F$70,'Restoration ($) Combined'!$F$74:$F$78,'Restoration ($) Combined'!$F$81:$F$89)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4807728.43</c:v>
                </c:pt>
                <c:pt idx="9">
                  <c:v>1152484.06</c:v>
                </c:pt>
                <c:pt idx="10">
                  <c:v>2511700.0699999998</c:v>
                </c:pt>
                <c:pt idx="11">
                  <c:v>784091.45000000007</c:v>
                </c:pt>
                <c:pt idx="12">
                  <c:v>2257289.4</c:v>
                </c:pt>
                <c:pt idx="13">
                  <c:v>4517186.2300000004</c:v>
                </c:pt>
                <c:pt idx="14">
                  <c:v>521858.49</c:v>
                </c:pt>
                <c:pt idx="15">
                  <c:v>2679320.5700000003</c:v>
                </c:pt>
                <c:pt idx="16">
                  <c:v>673834.41</c:v>
                </c:pt>
                <c:pt idx="17">
                  <c:v>359452.85000000003</c:v>
                </c:pt>
                <c:pt idx="18">
                  <c:v>887643.67</c:v>
                </c:pt>
                <c:pt idx="19">
                  <c:v>920050.3</c:v>
                </c:pt>
                <c:pt idx="20">
                  <c:v>2060987.1700000002</c:v>
                </c:pt>
                <c:pt idx="21">
                  <c:v>1569672.86</c:v>
                </c:pt>
                <c:pt idx="22">
                  <c:v>288307.26</c:v>
                </c:pt>
                <c:pt idx="23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4-4579-986B-91EF18E513D3}"/>
            </c:ext>
          </c:extLst>
        </c:ser>
        <c:ser>
          <c:idx val="4"/>
          <c:order val="4"/>
          <c:tx>
            <c:strRef>
              <c:f>'Restoration ($) Combined'!$H$50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Combined'!$B$51:$C$89</c15:sqref>
                  </c15:fullRef>
                </c:ext>
              </c:extLst>
              <c:f>('Restoration ($) Combined'!$B$51:$C$58,'Restoration ($) Combined'!$B$67:$C$67,'Restoration ($) Combined'!$B$70:$C$70,'Restoration ($) Combined'!$B$74:$C$78,'Restoration ($) Combined'!$B$81:$C$89)</c:f>
              <c:multiLvlStrCache>
                <c:ptCount val="24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Brannan Island</c:v>
                  </c:pt>
                  <c:pt idx="9">
                    <c:v>Venice Island</c:v>
                  </c:pt>
                  <c:pt idx="10">
                    <c:v>Rindge Tract</c:v>
                  </c:pt>
                  <c:pt idx="11">
                    <c:v>Wright-Elmwood Tract</c:v>
                  </c:pt>
                  <c:pt idx="12">
                    <c:v>McDonald Tract</c:v>
                  </c:pt>
                  <c:pt idx="13">
                    <c:v>Jones Tract</c:v>
                  </c:pt>
                  <c:pt idx="14">
                    <c:v>Rough and Ready</c:v>
                  </c:pt>
                  <c:pt idx="15">
                    <c:v>Victoria Island</c:v>
                  </c:pt>
                  <c:pt idx="16">
                    <c:v>Woodward Island</c:v>
                  </c:pt>
                  <c:pt idx="17">
                    <c:v>Coney Island</c:v>
                  </c:pt>
                  <c:pt idx="18">
                    <c:v>Orowood Tract</c:v>
                  </c:pt>
                  <c:pt idx="19">
                    <c:v>Palm Tract</c:v>
                  </c:pt>
                  <c:pt idx="20">
                    <c:v>Bacon Island</c:v>
                  </c:pt>
                  <c:pt idx="21">
                    <c:v>Holland Tract</c:v>
                  </c:pt>
                  <c:pt idx="22">
                    <c:v>Quinby Island</c:v>
                  </c:pt>
                  <c:pt idx="23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Combined'!$H$51:$H$89</c15:sqref>
                  </c15:fullRef>
                </c:ext>
              </c:extLst>
              <c:f>('Restoration ($) Combined'!$H$51:$H$58,'Restoration ($) Combined'!$H$67,'Restoration ($) Combined'!$H$70,'Restoration ($) Combined'!$H$74:$H$78,'Restoration ($) Combined'!$H$81:$H$89)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2091192.1400000001</c:v>
                </c:pt>
                <c:pt idx="9">
                  <c:v>501289.88</c:v>
                </c:pt>
                <c:pt idx="10">
                  <c:v>1092500.8600000001</c:v>
                </c:pt>
                <c:pt idx="11">
                  <c:v>341052.10000000003</c:v>
                </c:pt>
                <c:pt idx="12">
                  <c:v>981841.20000000007</c:v>
                </c:pt>
                <c:pt idx="13">
                  <c:v>1964816.54</c:v>
                </c:pt>
                <c:pt idx="14">
                  <c:v>226990.02000000002</c:v>
                </c:pt>
                <c:pt idx="15">
                  <c:v>1165409.8600000001</c:v>
                </c:pt>
                <c:pt idx="16">
                  <c:v>293094.18</c:v>
                </c:pt>
                <c:pt idx="17">
                  <c:v>156349.30000000002</c:v>
                </c:pt>
                <c:pt idx="18">
                  <c:v>386093.66000000003</c:v>
                </c:pt>
                <c:pt idx="19">
                  <c:v>400189.4</c:v>
                </c:pt>
                <c:pt idx="20">
                  <c:v>896456.66</c:v>
                </c:pt>
                <c:pt idx="21">
                  <c:v>682752.28</c:v>
                </c:pt>
                <c:pt idx="22">
                  <c:v>125403.48000000001</c:v>
                </c:pt>
                <c:pt idx="23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94-4579-986B-91EF18E513D3}"/>
            </c:ext>
          </c:extLst>
        </c:ser>
        <c:ser>
          <c:idx val="6"/>
          <c:order val="6"/>
          <c:tx>
            <c:strRef>
              <c:f>'Restoration ($) Combined'!$J$50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Combined'!$B$51:$C$89</c15:sqref>
                  </c15:fullRef>
                </c:ext>
              </c:extLst>
              <c:f>('Restoration ($) Combined'!$B$51:$C$58,'Restoration ($) Combined'!$B$67:$C$67,'Restoration ($) Combined'!$B$70:$C$70,'Restoration ($) Combined'!$B$74:$C$78,'Restoration ($) Combined'!$B$81:$C$89)</c:f>
              <c:multiLvlStrCache>
                <c:ptCount val="24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Brannan Island</c:v>
                  </c:pt>
                  <c:pt idx="9">
                    <c:v>Venice Island</c:v>
                  </c:pt>
                  <c:pt idx="10">
                    <c:v>Rindge Tract</c:v>
                  </c:pt>
                  <c:pt idx="11">
                    <c:v>Wright-Elmwood Tract</c:v>
                  </c:pt>
                  <c:pt idx="12">
                    <c:v>McDonald Tract</c:v>
                  </c:pt>
                  <c:pt idx="13">
                    <c:v>Jones Tract</c:v>
                  </c:pt>
                  <c:pt idx="14">
                    <c:v>Rough and Ready</c:v>
                  </c:pt>
                  <c:pt idx="15">
                    <c:v>Victoria Island</c:v>
                  </c:pt>
                  <c:pt idx="16">
                    <c:v>Woodward Island</c:v>
                  </c:pt>
                  <c:pt idx="17">
                    <c:v>Coney Island</c:v>
                  </c:pt>
                  <c:pt idx="18">
                    <c:v>Orowood Tract</c:v>
                  </c:pt>
                  <c:pt idx="19">
                    <c:v>Palm Tract</c:v>
                  </c:pt>
                  <c:pt idx="20">
                    <c:v>Bacon Island</c:v>
                  </c:pt>
                  <c:pt idx="21">
                    <c:v>Holland Tract</c:v>
                  </c:pt>
                  <c:pt idx="22">
                    <c:v>Quinby Island</c:v>
                  </c:pt>
                  <c:pt idx="23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Combined'!$J$51:$J$89</c15:sqref>
                  </c15:fullRef>
                </c:ext>
              </c:extLst>
              <c:f>('Restoration ($) Combined'!$J$51:$J$58,'Restoration ($) Combined'!$J$67,'Restoration ($) Combined'!$J$70,'Restoration ($) Combined'!$J$74:$J$78,'Restoration ($) Combined'!$J$81:$J$89)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1201899.8400000001</c:v>
                </c:pt>
                <c:pt idx="9">
                  <c:v>288113.28000000003</c:v>
                </c:pt>
                <c:pt idx="10">
                  <c:v>627908.16</c:v>
                </c:pt>
                <c:pt idx="11">
                  <c:v>196017.6</c:v>
                </c:pt>
                <c:pt idx="12">
                  <c:v>564307.20000000007</c:v>
                </c:pt>
                <c:pt idx="13">
                  <c:v>1129266.24</c:v>
                </c:pt>
                <c:pt idx="14">
                  <c:v>130461.12000000001</c:v>
                </c:pt>
                <c:pt idx="15">
                  <c:v>669812.16</c:v>
                </c:pt>
                <c:pt idx="16">
                  <c:v>168454.08000000002</c:v>
                </c:pt>
                <c:pt idx="17">
                  <c:v>89860.800000000003</c:v>
                </c:pt>
                <c:pt idx="18">
                  <c:v>221904.96000000002</c:v>
                </c:pt>
                <c:pt idx="19">
                  <c:v>230006.40000000002</c:v>
                </c:pt>
                <c:pt idx="20">
                  <c:v>515232.96</c:v>
                </c:pt>
                <c:pt idx="21">
                  <c:v>392407.68</c:v>
                </c:pt>
                <c:pt idx="22">
                  <c:v>72074.880000000005</c:v>
                </c:pt>
                <c:pt idx="23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94-4579-986B-91EF18E5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73386479"/>
        <c:axId val="6733840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'Restoration ($) Combined'!$D$50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'Restoration ($) Combined'!$B$51:$C$89</c15:sqref>
                        </c15:fullRef>
                        <c15:formulaRef>
                          <c15:sqref>('Restoration ($) Combined'!$B$51:$C$58,'Restoration ($) Combined'!$B$67:$C$67,'Restoration ($) Combined'!$B$70:$C$70,'Restoration ($) Combined'!$B$74:$C$78,'Restoration ($) Combined'!$B$81:$C$89)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Brannan Island</c:v>
                        </c:pt>
                        <c:pt idx="9">
                          <c:v>Venice Island</c:v>
                        </c:pt>
                        <c:pt idx="10">
                          <c:v>Rindge Tract</c:v>
                        </c:pt>
                        <c:pt idx="11">
                          <c:v>Wright-Elmwood Tract</c:v>
                        </c:pt>
                        <c:pt idx="12">
                          <c:v>McDonald Tract</c:v>
                        </c:pt>
                        <c:pt idx="13">
                          <c:v>Jones Tract</c:v>
                        </c:pt>
                        <c:pt idx="14">
                          <c:v>Rough and Ready</c:v>
                        </c:pt>
                        <c:pt idx="15">
                          <c:v>Victoria Island</c:v>
                        </c:pt>
                        <c:pt idx="16">
                          <c:v>Woodward Island</c:v>
                        </c:pt>
                        <c:pt idx="17">
                          <c:v>Coney Island</c:v>
                        </c:pt>
                        <c:pt idx="18">
                          <c:v>Orowood Tract</c:v>
                        </c:pt>
                        <c:pt idx="19">
                          <c:v>Palm Tract</c:v>
                        </c:pt>
                        <c:pt idx="20">
                          <c:v>Bacon Island</c:v>
                        </c:pt>
                        <c:pt idx="21">
                          <c:v>Holland Tract</c:v>
                        </c:pt>
                        <c:pt idx="22">
                          <c:v>Quinby Island</c:v>
                        </c:pt>
                        <c:pt idx="23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'Restoration ($) Combined'!$D$51:$D$89</c15:sqref>
                        </c15:fullRef>
                        <c15:formulaRef>
                          <c15:sqref>('Restoration ($) Combined'!$D$51:$D$58,'Restoration ($) Combined'!$D$67,'Restoration ($) Combined'!$D$70,'Restoration ($) Combined'!$D$74:$D$78,'Restoration ($) Combined'!$D$81:$D$89)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4"/>
                      <c:pt idx="0" formatCode="_(&quot;$&quot;* #,##0.00_);_(&quot;$&quot;* \(#,##0.00\);_(&quot;$&quot;* &quot;-&quot;??_);_(@_)">
                        <c:v>14724008.419653563</c:v>
                      </c:pt>
                      <c:pt idx="1">
                        <c:v>1131153.8</c:v>
                      </c:pt>
                      <c:pt idx="2">
                        <c:v>1215112.1100000001</c:v>
                      </c:pt>
                      <c:pt idx="3">
                        <c:v>1909612.4400000002</c:v>
                      </c:pt>
                      <c:pt idx="4">
                        <c:v>750004.15</c:v>
                      </c:pt>
                      <c:pt idx="5">
                        <c:v>3575429.62</c:v>
                      </c:pt>
                      <c:pt idx="6">
                        <c:v>484780.2</c:v>
                      </c:pt>
                      <c:pt idx="7">
                        <c:v>1250241.1100000001</c:v>
                      </c:pt>
                      <c:pt idx="8">
                        <c:v>4534100.03</c:v>
                      </c:pt>
                      <c:pt idx="9">
                        <c:v>1086891.26</c:v>
                      </c:pt>
                      <c:pt idx="10">
                        <c:v>2368748.4700000002</c:v>
                      </c:pt>
                      <c:pt idx="11">
                        <c:v>739465.45000000007</c:v>
                      </c:pt>
                      <c:pt idx="12">
                        <c:v>2128817.4</c:v>
                      </c:pt>
                      <c:pt idx="13">
                        <c:v>4260093.83</c:v>
                      </c:pt>
                      <c:pt idx="14">
                        <c:v>492157.29000000004</c:v>
                      </c:pt>
                      <c:pt idx="15">
                        <c:v>2526828.9700000002</c:v>
                      </c:pt>
                      <c:pt idx="16">
                        <c:v>635483.61</c:v>
                      </c:pt>
                      <c:pt idx="17">
                        <c:v>338994.85000000003</c:v>
                      </c:pt>
                      <c:pt idx="18">
                        <c:v>837124.07000000007</c:v>
                      </c:pt>
                      <c:pt idx="19">
                        <c:v>867686.3</c:v>
                      </c:pt>
                      <c:pt idx="20">
                        <c:v>1943687.57</c:v>
                      </c:pt>
                      <c:pt idx="21">
                        <c:v>1480336.06</c:v>
                      </c:pt>
                      <c:pt idx="22">
                        <c:v>271898.46000000002</c:v>
                      </c:pt>
                      <c:pt idx="23">
                        <c:v>1832679.9300000002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294-4579-986B-91EF18E513D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Combined'!$G$50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Combined'!$B$51:$C$89</c15:sqref>
                        </c15:fullRef>
                        <c15:formulaRef>
                          <c15:sqref>('Restoration ($) Combined'!$B$51:$C$58,'Restoration ($) Combined'!$B$67:$C$67,'Restoration ($) Combined'!$B$70:$C$70,'Restoration ($) Combined'!$B$74:$C$78,'Restoration ($) Combined'!$B$81:$C$89)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Brannan Island</c:v>
                        </c:pt>
                        <c:pt idx="9">
                          <c:v>Venice Island</c:v>
                        </c:pt>
                        <c:pt idx="10">
                          <c:v>Rindge Tract</c:v>
                        </c:pt>
                        <c:pt idx="11">
                          <c:v>Wright-Elmwood Tract</c:v>
                        </c:pt>
                        <c:pt idx="12">
                          <c:v>McDonald Tract</c:v>
                        </c:pt>
                        <c:pt idx="13">
                          <c:v>Jones Tract</c:v>
                        </c:pt>
                        <c:pt idx="14">
                          <c:v>Rough and Ready</c:v>
                        </c:pt>
                        <c:pt idx="15">
                          <c:v>Victoria Island</c:v>
                        </c:pt>
                        <c:pt idx="16">
                          <c:v>Woodward Island</c:v>
                        </c:pt>
                        <c:pt idx="17">
                          <c:v>Coney Island</c:v>
                        </c:pt>
                        <c:pt idx="18">
                          <c:v>Orowood Tract</c:v>
                        </c:pt>
                        <c:pt idx="19">
                          <c:v>Palm Tract</c:v>
                        </c:pt>
                        <c:pt idx="20">
                          <c:v>Bacon Island</c:v>
                        </c:pt>
                        <c:pt idx="21">
                          <c:v>Holland Tract</c:v>
                        </c:pt>
                        <c:pt idx="22">
                          <c:v>Quinby Island</c:v>
                        </c:pt>
                        <c:pt idx="23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Combined'!$G$51:$G$89</c15:sqref>
                        </c15:fullRef>
                        <c15:formulaRef>
                          <c15:sqref>('Restoration ($) Combined'!$G$51:$G$58,'Restoration ($) Combined'!$G$67,'Restoration ($) Combined'!$G$70,'Restoration ($) Combined'!$G$74:$G$78,'Restoration ($) Combined'!$G$81:$G$89)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4"/>
                      <c:pt idx="0" formatCode="_(&quot;$&quot;* #,##0.00_);_(&quot;$&quot;* \(#,##0.00\);_(&quot;$&quot;* &quot;-&quot;??_);_(@_)">
                        <c:v>9138952.9898979831</c:v>
                      </c:pt>
                      <c:pt idx="1">
                        <c:v>702088.79999999993</c:v>
                      </c:pt>
                      <c:pt idx="2">
                        <c:v>754200.36</c:v>
                      </c:pt>
                      <c:pt idx="3">
                        <c:v>1185265.44</c:v>
                      </c:pt>
                      <c:pt idx="4">
                        <c:v>465515.39999999997</c:v>
                      </c:pt>
                      <c:pt idx="5">
                        <c:v>2219211.12</c:v>
                      </c:pt>
                      <c:pt idx="6">
                        <c:v>300895.2</c:v>
                      </c:pt>
                      <c:pt idx="7">
                        <c:v>776004.36</c:v>
                      </c:pt>
                      <c:pt idx="8">
                        <c:v>2814242.28</c:v>
                      </c:pt>
                      <c:pt idx="9">
                        <c:v>674615.76</c:v>
                      </c:pt>
                      <c:pt idx="10">
                        <c:v>1470243.72</c:v>
                      </c:pt>
                      <c:pt idx="11">
                        <c:v>458974.2</c:v>
                      </c:pt>
                      <c:pt idx="12">
                        <c:v>1321322.3999999999</c:v>
                      </c:pt>
                      <c:pt idx="13">
                        <c:v>2644171.08</c:v>
                      </c:pt>
                      <c:pt idx="14">
                        <c:v>305474.03999999998</c:v>
                      </c:pt>
                      <c:pt idx="15">
                        <c:v>1568361.72</c:v>
                      </c:pt>
                      <c:pt idx="16">
                        <c:v>394434.36</c:v>
                      </c:pt>
                      <c:pt idx="17">
                        <c:v>210408.6</c:v>
                      </c:pt>
                      <c:pt idx="18">
                        <c:v>519589.32</c:v>
                      </c:pt>
                      <c:pt idx="19">
                        <c:v>538558.79999999993</c:v>
                      </c:pt>
                      <c:pt idx="20">
                        <c:v>1206415.32</c:v>
                      </c:pt>
                      <c:pt idx="21">
                        <c:v>918820.55999999994</c:v>
                      </c:pt>
                      <c:pt idx="22">
                        <c:v>168762.96</c:v>
                      </c:pt>
                      <c:pt idx="23">
                        <c:v>1137514.68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94-4579-986B-91EF18E513D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Combined'!$I$50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Combined'!$B$51:$C$89</c15:sqref>
                        </c15:fullRef>
                        <c15:formulaRef>
                          <c15:sqref>('Restoration ($) Combined'!$B$51:$C$58,'Restoration ($) Combined'!$B$67:$C$67,'Restoration ($) Combined'!$B$70:$C$70,'Restoration ($) Combined'!$B$74:$C$78,'Restoration ($) Combined'!$B$81:$C$89)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Brannan Island</c:v>
                        </c:pt>
                        <c:pt idx="9">
                          <c:v>Venice Island</c:v>
                        </c:pt>
                        <c:pt idx="10">
                          <c:v>Rindge Tract</c:v>
                        </c:pt>
                        <c:pt idx="11">
                          <c:v>Wright-Elmwood Tract</c:v>
                        </c:pt>
                        <c:pt idx="12">
                          <c:v>McDonald Tract</c:v>
                        </c:pt>
                        <c:pt idx="13">
                          <c:v>Jones Tract</c:v>
                        </c:pt>
                        <c:pt idx="14">
                          <c:v>Rough and Ready</c:v>
                        </c:pt>
                        <c:pt idx="15">
                          <c:v>Victoria Island</c:v>
                        </c:pt>
                        <c:pt idx="16">
                          <c:v>Woodward Island</c:v>
                        </c:pt>
                        <c:pt idx="17">
                          <c:v>Coney Island</c:v>
                        </c:pt>
                        <c:pt idx="18">
                          <c:v>Orowood Tract</c:v>
                        </c:pt>
                        <c:pt idx="19">
                          <c:v>Palm Tract</c:v>
                        </c:pt>
                        <c:pt idx="20">
                          <c:v>Bacon Island</c:v>
                        </c:pt>
                        <c:pt idx="21">
                          <c:v>Holland Tract</c:v>
                        </c:pt>
                        <c:pt idx="22">
                          <c:v>Quinby Island</c:v>
                        </c:pt>
                        <c:pt idx="23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Combined'!$I$51:$I$89</c15:sqref>
                        </c15:fullRef>
                        <c15:formulaRef>
                          <c15:sqref>('Restoration ($) Combined'!$I$51:$I$58,'Restoration ($) Combined'!$I$67,'Restoration ($) Combined'!$I$70,'Restoration ($) Combined'!$I$74:$I$78,'Restoration ($) Combined'!$I$81:$I$89)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4"/>
                      <c:pt idx="0" formatCode="_(&quot;$&quot;* #,##0.00_);_(&quot;$&quot;* \(#,##0.00\);_(&quot;$&quot;* &quot;-&quot;??_);_(@_)">
                        <c:v>6378070.4296128051</c:v>
                      </c:pt>
                      <c:pt idx="1">
                        <c:v>489987.39999999997</c:v>
                      </c:pt>
                      <c:pt idx="2">
                        <c:v>526356.02999999991</c:v>
                      </c:pt>
                      <c:pt idx="3">
                        <c:v>827196.11999999988</c:v>
                      </c:pt>
                      <c:pt idx="4">
                        <c:v>324882.94999999995</c:v>
                      </c:pt>
                      <c:pt idx="5">
                        <c:v>1548786.2599999998</c:v>
                      </c:pt>
                      <c:pt idx="6">
                        <c:v>209994.59999999998</c:v>
                      </c:pt>
                      <c:pt idx="7">
                        <c:v>541573.02999999991</c:v>
                      </c:pt>
                      <c:pt idx="8">
                        <c:v>1964058.19</c:v>
                      </c:pt>
                      <c:pt idx="9">
                        <c:v>470813.98</c:v>
                      </c:pt>
                      <c:pt idx="10">
                        <c:v>1026082.3099999999</c:v>
                      </c:pt>
                      <c:pt idx="11">
                        <c:v>320317.84999999998</c:v>
                      </c:pt>
                      <c:pt idx="12">
                        <c:v>922150.2</c:v>
                      </c:pt>
                      <c:pt idx="13">
                        <c:v>1845365.5899999999</c:v>
                      </c:pt>
                      <c:pt idx="14">
                        <c:v>213190.16999999998</c:v>
                      </c:pt>
                      <c:pt idx="15">
                        <c:v>1094558.8099999998</c:v>
                      </c:pt>
                      <c:pt idx="16">
                        <c:v>275275.52999999997</c:v>
                      </c:pt>
                      <c:pt idx="17">
                        <c:v>146844.04999999999</c:v>
                      </c:pt>
                      <c:pt idx="18">
                        <c:v>362621.11</c:v>
                      </c:pt>
                      <c:pt idx="19">
                        <c:v>375859.89999999997</c:v>
                      </c:pt>
                      <c:pt idx="20">
                        <c:v>841956.61</c:v>
                      </c:pt>
                      <c:pt idx="21">
                        <c:v>641244.38</c:v>
                      </c:pt>
                      <c:pt idx="22">
                        <c:v>117779.57999999999</c:v>
                      </c:pt>
                      <c:pt idx="23">
                        <c:v>793870.8899999999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294-4579-986B-91EF18E513D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Combined'!$K$50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Combined'!$B$51:$C$89</c15:sqref>
                        </c15:fullRef>
                        <c15:formulaRef>
                          <c15:sqref>('Restoration ($) Combined'!$B$51:$C$58,'Restoration ($) Combined'!$B$67:$C$67,'Restoration ($) Combined'!$B$70:$C$70,'Restoration ($) Combined'!$B$74:$C$78,'Restoration ($) Combined'!$B$81:$C$89)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Brannan Island</c:v>
                        </c:pt>
                        <c:pt idx="9">
                          <c:v>Venice Island</c:v>
                        </c:pt>
                        <c:pt idx="10">
                          <c:v>Rindge Tract</c:v>
                        </c:pt>
                        <c:pt idx="11">
                          <c:v>Wright-Elmwood Tract</c:v>
                        </c:pt>
                        <c:pt idx="12">
                          <c:v>McDonald Tract</c:v>
                        </c:pt>
                        <c:pt idx="13">
                          <c:v>Jones Tract</c:v>
                        </c:pt>
                        <c:pt idx="14">
                          <c:v>Rough and Ready</c:v>
                        </c:pt>
                        <c:pt idx="15">
                          <c:v>Victoria Island</c:v>
                        </c:pt>
                        <c:pt idx="16">
                          <c:v>Woodward Island</c:v>
                        </c:pt>
                        <c:pt idx="17">
                          <c:v>Coney Island</c:v>
                        </c:pt>
                        <c:pt idx="18">
                          <c:v>Orowood Tract</c:v>
                        </c:pt>
                        <c:pt idx="19">
                          <c:v>Palm Tract</c:v>
                        </c:pt>
                        <c:pt idx="20">
                          <c:v>Bacon Island</c:v>
                        </c:pt>
                        <c:pt idx="21">
                          <c:v>Holland Tract</c:v>
                        </c:pt>
                        <c:pt idx="22">
                          <c:v>Quinby Island</c:v>
                        </c:pt>
                        <c:pt idx="23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Combined'!$K$51:$K$89</c15:sqref>
                        </c15:fullRef>
                        <c15:formulaRef>
                          <c15:sqref>('Restoration ($) Combined'!$K$51:$K$58,'Restoration ($) Combined'!$K$67,'Restoration ($) Combined'!$K$70,'Restoration ($) Combined'!$K$74:$K$78,'Restoration ($) Combined'!$K$81:$K$89)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4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109705.4</c:v>
                      </c:pt>
                      <c:pt idx="2">
                        <c:v>117848.13</c:v>
                      </c:pt>
                      <c:pt idx="3">
                        <c:v>185204.52</c:v>
                      </c:pt>
                      <c:pt idx="4">
                        <c:v>72739.45</c:v>
                      </c:pt>
                      <c:pt idx="5">
                        <c:v>346764.46</c:v>
                      </c:pt>
                      <c:pt idx="6">
                        <c:v>47016.6</c:v>
                      </c:pt>
                      <c:pt idx="7">
                        <c:v>121255.13</c:v>
                      </c:pt>
                      <c:pt idx="8">
                        <c:v>439741.49</c:v>
                      </c:pt>
                      <c:pt idx="9">
                        <c:v>105412.58</c:v>
                      </c:pt>
                      <c:pt idx="10">
                        <c:v>229734.01</c:v>
                      </c:pt>
                      <c:pt idx="11">
                        <c:v>71717.350000000006</c:v>
                      </c:pt>
                      <c:pt idx="12">
                        <c:v>206464.2</c:v>
                      </c:pt>
                      <c:pt idx="13">
                        <c:v>413166.89</c:v>
                      </c:pt>
                      <c:pt idx="14">
                        <c:v>47732.07</c:v>
                      </c:pt>
                      <c:pt idx="15">
                        <c:v>245065.51</c:v>
                      </c:pt>
                      <c:pt idx="16">
                        <c:v>61632.63</c:v>
                      </c:pt>
                      <c:pt idx="17">
                        <c:v>32877.550000000003</c:v>
                      </c:pt>
                      <c:pt idx="18">
                        <c:v>81188.81</c:v>
                      </c:pt>
                      <c:pt idx="19">
                        <c:v>84152.9</c:v>
                      </c:pt>
                      <c:pt idx="20">
                        <c:v>188509.31</c:v>
                      </c:pt>
                      <c:pt idx="21">
                        <c:v>143570.98000000001</c:v>
                      </c:pt>
                      <c:pt idx="22">
                        <c:v>26370.18</c:v>
                      </c:pt>
                      <c:pt idx="23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94-4579-986B-91EF18E513D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Combined'!$L$50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Combined'!$B$51:$C$89</c15:sqref>
                        </c15:fullRef>
                        <c15:formulaRef>
                          <c15:sqref>('Restoration ($) Combined'!$B$51:$C$58,'Restoration ($) Combined'!$B$67:$C$67,'Restoration ($) Combined'!$B$70:$C$70,'Restoration ($) Combined'!$B$74:$C$78,'Restoration ($) Combined'!$B$81:$C$89)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Brannan Island</c:v>
                        </c:pt>
                        <c:pt idx="9">
                          <c:v>Venice Island</c:v>
                        </c:pt>
                        <c:pt idx="10">
                          <c:v>Rindge Tract</c:v>
                        </c:pt>
                        <c:pt idx="11">
                          <c:v>Wright-Elmwood Tract</c:v>
                        </c:pt>
                        <c:pt idx="12">
                          <c:v>McDonald Tract</c:v>
                        </c:pt>
                        <c:pt idx="13">
                          <c:v>Jones Tract</c:v>
                        </c:pt>
                        <c:pt idx="14">
                          <c:v>Rough and Ready</c:v>
                        </c:pt>
                        <c:pt idx="15">
                          <c:v>Victoria Island</c:v>
                        </c:pt>
                        <c:pt idx="16">
                          <c:v>Woodward Island</c:v>
                        </c:pt>
                        <c:pt idx="17">
                          <c:v>Coney Island</c:v>
                        </c:pt>
                        <c:pt idx="18">
                          <c:v>Orowood Tract</c:v>
                        </c:pt>
                        <c:pt idx="19">
                          <c:v>Palm Tract</c:v>
                        </c:pt>
                        <c:pt idx="20">
                          <c:v>Bacon Island</c:v>
                        </c:pt>
                        <c:pt idx="21">
                          <c:v>Holland Tract</c:v>
                        </c:pt>
                        <c:pt idx="22">
                          <c:v>Quinby Island</c:v>
                        </c:pt>
                        <c:pt idx="23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Combined'!$L$51:$L$89</c15:sqref>
                        </c15:fullRef>
                        <c15:formulaRef>
                          <c15:sqref>('Restoration ($) Combined'!$L$51:$L$58,'Restoration ($) Combined'!$L$67,'Restoration ($) Combined'!$L$70,'Restoration ($) Combined'!$L$74:$L$78,'Restoration ($) Combined'!$L$81:$L$89)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4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109705.4</c:v>
                      </c:pt>
                      <c:pt idx="2">
                        <c:v>117848.13</c:v>
                      </c:pt>
                      <c:pt idx="3">
                        <c:v>185204.52</c:v>
                      </c:pt>
                      <c:pt idx="4">
                        <c:v>72739.45</c:v>
                      </c:pt>
                      <c:pt idx="5">
                        <c:v>346764.46</c:v>
                      </c:pt>
                      <c:pt idx="6">
                        <c:v>47016.6</c:v>
                      </c:pt>
                      <c:pt idx="7">
                        <c:v>121255.13</c:v>
                      </c:pt>
                      <c:pt idx="8">
                        <c:v>439741.49</c:v>
                      </c:pt>
                      <c:pt idx="9">
                        <c:v>105412.58</c:v>
                      </c:pt>
                      <c:pt idx="10">
                        <c:v>229734.01</c:v>
                      </c:pt>
                      <c:pt idx="11">
                        <c:v>71717.350000000006</c:v>
                      </c:pt>
                      <c:pt idx="12">
                        <c:v>206464.2</c:v>
                      </c:pt>
                      <c:pt idx="13">
                        <c:v>413166.89</c:v>
                      </c:pt>
                      <c:pt idx="14">
                        <c:v>47732.07</c:v>
                      </c:pt>
                      <c:pt idx="15">
                        <c:v>245065.51</c:v>
                      </c:pt>
                      <c:pt idx="16">
                        <c:v>61632.63</c:v>
                      </c:pt>
                      <c:pt idx="17">
                        <c:v>32877.550000000003</c:v>
                      </c:pt>
                      <c:pt idx="18">
                        <c:v>81188.81</c:v>
                      </c:pt>
                      <c:pt idx="19">
                        <c:v>84152.9</c:v>
                      </c:pt>
                      <c:pt idx="20">
                        <c:v>188509.31</c:v>
                      </c:pt>
                      <c:pt idx="21">
                        <c:v>143570.98000000001</c:v>
                      </c:pt>
                      <c:pt idx="22">
                        <c:v>26370.18</c:v>
                      </c:pt>
                      <c:pt idx="23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294-4579-986B-91EF18E513D3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Combined'!$M$50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Combined'!$B$51:$C$89</c15:sqref>
                        </c15:fullRef>
                        <c15:formulaRef>
                          <c15:sqref>('Restoration ($) Combined'!$B$51:$C$58,'Restoration ($) Combined'!$B$67:$C$67,'Restoration ($) Combined'!$B$70:$C$70,'Restoration ($) Combined'!$B$74:$C$78,'Restoration ($) Combined'!$B$81:$C$89)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Brannan Island</c:v>
                        </c:pt>
                        <c:pt idx="9">
                          <c:v>Venice Island</c:v>
                        </c:pt>
                        <c:pt idx="10">
                          <c:v>Rindge Tract</c:v>
                        </c:pt>
                        <c:pt idx="11">
                          <c:v>Wright-Elmwood Tract</c:v>
                        </c:pt>
                        <c:pt idx="12">
                          <c:v>McDonald Tract</c:v>
                        </c:pt>
                        <c:pt idx="13">
                          <c:v>Jones Tract</c:v>
                        </c:pt>
                        <c:pt idx="14">
                          <c:v>Rough and Ready</c:v>
                        </c:pt>
                        <c:pt idx="15">
                          <c:v>Victoria Island</c:v>
                        </c:pt>
                        <c:pt idx="16">
                          <c:v>Woodward Island</c:v>
                        </c:pt>
                        <c:pt idx="17">
                          <c:v>Coney Island</c:v>
                        </c:pt>
                        <c:pt idx="18">
                          <c:v>Orowood Tract</c:v>
                        </c:pt>
                        <c:pt idx="19">
                          <c:v>Palm Tract</c:v>
                        </c:pt>
                        <c:pt idx="20">
                          <c:v>Bacon Island</c:v>
                        </c:pt>
                        <c:pt idx="21">
                          <c:v>Holland Tract</c:v>
                        </c:pt>
                        <c:pt idx="22">
                          <c:v>Quinby Island</c:v>
                        </c:pt>
                        <c:pt idx="23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Combined'!$M$51:$M$89</c15:sqref>
                        </c15:fullRef>
                        <c15:formulaRef>
                          <c15:sqref>('Restoration ($) Combined'!$M$51:$M$58,'Restoration ($) Combined'!$M$67,'Restoration ($) Combined'!$M$70,'Restoration ($) Combined'!$M$74:$M$78,'Restoration ($) Combined'!$M$81:$M$89)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4"/>
                      <c:pt idx="0" formatCode="_(&quot;$&quot;* #,##0.00_);_(&quot;$&quot;* \(#,##0.00\);_(&quot;$&quot;* &quot;-&quot;??_);_(@_)">
                        <c:v>444289.5876578546</c:v>
                      </c:pt>
                      <c:pt idx="1">
                        <c:v>34132</c:v>
                      </c:pt>
                      <c:pt idx="2">
                        <c:v>36665.4</c:v>
                      </c:pt>
                      <c:pt idx="3">
                        <c:v>57621.599999999999</c:v>
                      </c:pt>
                      <c:pt idx="4">
                        <c:v>22631</c:v>
                      </c:pt>
                      <c:pt idx="5">
                        <c:v>107886.8</c:v>
                      </c:pt>
                      <c:pt idx="6">
                        <c:v>14628</c:v>
                      </c:pt>
                      <c:pt idx="7">
                        <c:v>37725.4</c:v>
                      </c:pt>
                      <c:pt idx="8">
                        <c:v>136814.19999999998</c:v>
                      </c:pt>
                      <c:pt idx="9">
                        <c:v>32796.400000000001</c:v>
                      </c:pt>
                      <c:pt idx="10">
                        <c:v>71475.8</c:v>
                      </c:pt>
                      <c:pt idx="11">
                        <c:v>22313</c:v>
                      </c:pt>
                      <c:pt idx="12">
                        <c:v>64236</c:v>
                      </c:pt>
                      <c:pt idx="13">
                        <c:v>128546.2</c:v>
                      </c:pt>
                      <c:pt idx="14">
                        <c:v>14850.6</c:v>
                      </c:pt>
                      <c:pt idx="15">
                        <c:v>76245.8</c:v>
                      </c:pt>
                      <c:pt idx="16">
                        <c:v>19175.399999999998</c:v>
                      </c:pt>
                      <c:pt idx="17">
                        <c:v>10229</c:v>
                      </c:pt>
                      <c:pt idx="18">
                        <c:v>25259.8</c:v>
                      </c:pt>
                      <c:pt idx="19">
                        <c:v>26182</c:v>
                      </c:pt>
                      <c:pt idx="20">
                        <c:v>58649.799999999996</c:v>
                      </c:pt>
                      <c:pt idx="21">
                        <c:v>44668.4</c:v>
                      </c:pt>
                      <c:pt idx="22">
                        <c:v>8204.4</c:v>
                      </c:pt>
                      <c:pt idx="23">
                        <c:v>55300.2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294-4579-986B-91EF18E513D3}"/>
                  </c:ext>
                </c:extLst>
              </c15:ser>
            </c15:filteredBarSeries>
          </c:ext>
        </c:extLst>
      </c:barChart>
      <c:catAx>
        <c:axId val="6733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84079"/>
        <c:crosses val="autoZero"/>
        <c:auto val="1"/>
        <c:lblAlgn val="ctr"/>
        <c:lblOffset val="100"/>
        <c:noMultiLvlLbl val="0"/>
      </c:catAx>
      <c:valAx>
        <c:axId val="673384079"/>
        <c:scaling>
          <c:orientation val="minMax"/>
          <c:max val="2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8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/>
                </a:solidFill>
              </a:rPr>
              <a:t>100%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'Restoration ($) Combined'!$E$3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'Restoration ($) Combined'!$B$4:$C$42</c:f>
              <c:multiLvlStrCache>
                <c:ptCount val="39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Grand Island</c:v>
                  </c:pt>
                  <c:pt idx="9">
                    <c:v>Ryer Island</c:v>
                  </c:pt>
                  <c:pt idx="10">
                    <c:v>Tyler Island</c:v>
                  </c:pt>
                  <c:pt idx="11">
                    <c:v>Staten Island</c:v>
                  </c:pt>
                  <c:pt idx="12">
                    <c:v>Dead Horse Island</c:v>
                  </c:pt>
                  <c:pt idx="13">
                    <c:v>Sutter Island</c:v>
                  </c:pt>
                  <c:pt idx="14">
                    <c:v>New Hope Tract</c:v>
                  </c:pt>
                  <c:pt idx="15">
                    <c:v>Canal Ranch Tract</c:v>
                  </c:pt>
                  <c:pt idx="16">
                    <c:v>Brannan Island</c:v>
                  </c:pt>
                  <c:pt idx="17">
                    <c:v>Terminous Tract</c:v>
                  </c:pt>
                  <c:pt idx="18">
                    <c:v>Bouldin Island</c:v>
                  </c:pt>
                  <c:pt idx="19">
                    <c:v>Venice Island</c:v>
                  </c:pt>
                  <c:pt idx="20">
                    <c:v>Medford Island</c:v>
                  </c:pt>
                  <c:pt idx="21">
                    <c:v>Empire Tract</c:v>
                  </c:pt>
                  <c:pt idx="22">
                    <c:v>King Island</c:v>
                  </c:pt>
                  <c:pt idx="23">
                    <c:v>Rindge Tract</c:v>
                  </c:pt>
                  <c:pt idx="24">
                    <c:v>Wright-Elmwood Tract</c:v>
                  </c:pt>
                  <c:pt idx="25">
                    <c:v>McDonald Tract</c:v>
                  </c:pt>
                  <c:pt idx="26">
                    <c:v>Jones Tract</c:v>
                  </c:pt>
                  <c:pt idx="27">
                    <c:v>Rough and Ready</c:v>
                  </c:pt>
                  <c:pt idx="28">
                    <c:v>Roberts Island</c:v>
                  </c:pt>
                  <c:pt idx="29">
                    <c:v>Union Island</c:v>
                  </c:pt>
                  <c:pt idx="30">
                    <c:v>Victoria Island</c:v>
                  </c:pt>
                  <c:pt idx="31">
                    <c:v>Woodward Island</c:v>
                  </c:pt>
                  <c:pt idx="32">
                    <c:v>Coney Island</c:v>
                  </c:pt>
                  <c:pt idx="33">
                    <c:v>Orowood Tract</c:v>
                  </c:pt>
                  <c:pt idx="34">
                    <c:v>Palm Tract</c:v>
                  </c:pt>
                  <c:pt idx="35">
                    <c:v>Bacon Island</c:v>
                  </c:pt>
                  <c:pt idx="36">
                    <c:v>Holland Tract</c:v>
                  </c:pt>
                  <c:pt idx="37">
                    <c:v>Quinby Island</c:v>
                  </c:pt>
                  <c:pt idx="38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 Delta</c:v>
                  </c:pt>
                  <c:pt idx="16">
                    <c:v>North-Central</c:v>
                  </c:pt>
                  <c:pt idx="17">
                    <c:v>North-South</c:v>
                  </c:pt>
                  <c:pt idx="18">
                    <c:v>South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Combined'!$E$4:$E$45</c15:sqref>
                  </c15:fullRef>
                </c:ext>
              </c:extLst>
              <c:f>'Restoration ($) Combined'!$E$4:$E$42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4684150.4499999993</c:v>
                </c:pt>
                <c:pt idx="9">
                  <c:v>3340603.6999999997</c:v>
                </c:pt>
                <c:pt idx="10">
                  <c:v>2491436.8499999996</c:v>
                </c:pt>
                <c:pt idx="11">
                  <c:v>2579779.65</c:v>
                </c:pt>
                <c:pt idx="12">
                  <c:v>58895.199999999997</c:v>
                </c:pt>
                <c:pt idx="13">
                  <c:v>711839.1</c:v>
                </c:pt>
                <c:pt idx="14">
                  <c:v>2608094.65</c:v>
                </c:pt>
                <c:pt idx="15">
                  <c:v>831328.39999999991</c:v>
                </c:pt>
                <c:pt idx="16">
                  <c:v>3654617.05</c:v>
                </c:pt>
                <c:pt idx="17">
                  <c:v>2932867.6999999997</c:v>
                </c:pt>
                <c:pt idx="18">
                  <c:v>1680778.4</c:v>
                </c:pt>
                <c:pt idx="19">
                  <c:v>876066.1</c:v>
                </c:pt>
                <c:pt idx="20">
                  <c:v>329869.75</c:v>
                </c:pt>
                <c:pt idx="21">
                  <c:v>1026418.7499999999</c:v>
                </c:pt>
                <c:pt idx="22">
                  <c:v>910610.39999999991</c:v>
                </c:pt>
                <c:pt idx="23">
                  <c:v>1909280.45</c:v>
                </c:pt>
                <c:pt idx="24">
                  <c:v>596030.75</c:v>
                </c:pt>
                <c:pt idx="25">
                  <c:v>1715888.9999999998</c:v>
                </c:pt>
                <c:pt idx="26">
                  <c:v>3433760.05</c:v>
                </c:pt>
                <c:pt idx="27">
                  <c:v>396693.14999999997</c:v>
                </c:pt>
                <c:pt idx="28">
                  <c:v>10097978.449999999</c:v>
                </c:pt>
                <c:pt idx="29">
                  <c:v>7007962.4999999991</c:v>
                </c:pt>
                <c:pt idx="30">
                  <c:v>2036697.9499999997</c:v>
                </c:pt>
                <c:pt idx="31">
                  <c:v>512218.35</c:v>
                </c:pt>
                <c:pt idx="32">
                  <c:v>273239.75</c:v>
                </c:pt>
                <c:pt idx="33">
                  <c:v>674746.45</c:v>
                </c:pt>
                <c:pt idx="34">
                  <c:v>699380.5</c:v>
                </c:pt>
                <c:pt idx="35">
                  <c:v>1566668.95</c:v>
                </c:pt>
                <c:pt idx="36">
                  <c:v>1193194.0999999999</c:v>
                </c:pt>
                <c:pt idx="37">
                  <c:v>219158.09999999998</c:v>
                </c:pt>
                <c:pt idx="38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9-4B9A-A8C9-568B6DAFD9A4}"/>
            </c:ext>
          </c:extLst>
        </c:ser>
        <c:ser>
          <c:idx val="2"/>
          <c:order val="2"/>
          <c:tx>
            <c:strRef>
              <c:f>'Restoration ($) Combined'!$F$3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'Restoration ($) Combined'!$B$4:$C$42</c:f>
              <c:multiLvlStrCache>
                <c:ptCount val="39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Grand Island</c:v>
                  </c:pt>
                  <c:pt idx="9">
                    <c:v>Ryer Island</c:v>
                  </c:pt>
                  <c:pt idx="10">
                    <c:v>Tyler Island</c:v>
                  </c:pt>
                  <c:pt idx="11">
                    <c:v>Staten Island</c:v>
                  </c:pt>
                  <c:pt idx="12">
                    <c:v>Dead Horse Island</c:v>
                  </c:pt>
                  <c:pt idx="13">
                    <c:v>Sutter Island</c:v>
                  </c:pt>
                  <c:pt idx="14">
                    <c:v>New Hope Tract</c:v>
                  </c:pt>
                  <c:pt idx="15">
                    <c:v>Canal Ranch Tract</c:v>
                  </c:pt>
                  <c:pt idx="16">
                    <c:v>Brannan Island</c:v>
                  </c:pt>
                  <c:pt idx="17">
                    <c:v>Terminous Tract</c:v>
                  </c:pt>
                  <c:pt idx="18">
                    <c:v>Bouldin Island</c:v>
                  </c:pt>
                  <c:pt idx="19">
                    <c:v>Venice Island</c:v>
                  </c:pt>
                  <c:pt idx="20">
                    <c:v>Medford Island</c:v>
                  </c:pt>
                  <c:pt idx="21">
                    <c:v>Empire Tract</c:v>
                  </c:pt>
                  <c:pt idx="22">
                    <c:v>King Island</c:v>
                  </c:pt>
                  <c:pt idx="23">
                    <c:v>Rindge Tract</c:v>
                  </c:pt>
                  <c:pt idx="24">
                    <c:v>Wright-Elmwood Tract</c:v>
                  </c:pt>
                  <c:pt idx="25">
                    <c:v>McDonald Tract</c:v>
                  </c:pt>
                  <c:pt idx="26">
                    <c:v>Jones Tract</c:v>
                  </c:pt>
                  <c:pt idx="27">
                    <c:v>Rough and Ready</c:v>
                  </c:pt>
                  <c:pt idx="28">
                    <c:v>Roberts Island</c:v>
                  </c:pt>
                  <c:pt idx="29">
                    <c:v>Union Island</c:v>
                  </c:pt>
                  <c:pt idx="30">
                    <c:v>Victoria Island</c:v>
                  </c:pt>
                  <c:pt idx="31">
                    <c:v>Woodward Island</c:v>
                  </c:pt>
                  <c:pt idx="32">
                    <c:v>Coney Island</c:v>
                  </c:pt>
                  <c:pt idx="33">
                    <c:v>Orowood Tract</c:v>
                  </c:pt>
                  <c:pt idx="34">
                    <c:v>Palm Tract</c:v>
                  </c:pt>
                  <c:pt idx="35">
                    <c:v>Bacon Island</c:v>
                  </c:pt>
                  <c:pt idx="36">
                    <c:v>Holland Tract</c:v>
                  </c:pt>
                  <c:pt idx="37">
                    <c:v>Quinby Island</c:v>
                  </c:pt>
                  <c:pt idx="38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 Delta</c:v>
                  </c:pt>
                  <c:pt idx="16">
                    <c:v>North-Central</c:v>
                  </c:pt>
                  <c:pt idx="17">
                    <c:v>North-South</c:v>
                  </c:pt>
                  <c:pt idx="18">
                    <c:v>South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Combined'!$F$4:$F$45</c15:sqref>
                  </c15:fullRef>
                </c:ext>
              </c:extLst>
              <c:f>'Restoration ($) Combined'!$F$4:$F$42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6162102.0700000003</c:v>
                </c:pt>
                <c:pt idx="9">
                  <c:v>4394637.0200000005</c:v>
                </c:pt>
                <c:pt idx="10">
                  <c:v>3277539.5100000002</c:v>
                </c:pt>
                <c:pt idx="11">
                  <c:v>3393756.39</c:v>
                </c:pt>
                <c:pt idx="12">
                  <c:v>77477.919999999998</c:v>
                </c:pt>
                <c:pt idx="13">
                  <c:v>936439.86</c:v>
                </c:pt>
                <c:pt idx="14">
                  <c:v>3431005.39</c:v>
                </c:pt>
                <c:pt idx="15">
                  <c:v>1093630.6400000001</c:v>
                </c:pt>
                <c:pt idx="16">
                  <c:v>4807728.43</c:v>
                </c:pt>
                <c:pt idx="17">
                  <c:v>3858251.42</c:v>
                </c:pt>
                <c:pt idx="18">
                  <c:v>2211100.64</c:v>
                </c:pt>
                <c:pt idx="19">
                  <c:v>1152484.06</c:v>
                </c:pt>
                <c:pt idx="20">
                  <c:v>433950.85000000003</c:v>
                </c:pt>
                <c:pt idx="21">
                  <c:v>1350276.25</c:v>
                </c:pt>
                <c:pt idx="22">
                  <c:v>1197927.8400000001</c:v>
                </c:pt>
                <c:pt idx="23">
                  <c:v>2511700.0699999998</c:v>
                </c:pt>
                <c:pt idx="24">
                  <c:v>784091.45000000007</c:v>
                </c:pt>
                <c:pt idx="25">
                  <c:v>2257289.4</c:v>
                </c:pt>
                <c:pt idx="26">
                  <c:v>4517186.2300000004</c:v>
                </c:pt>
                <c:pt idx="27">
                  <c:v>521858.49</c:v>
                </c:pt>
                <c:pt idx="28">
                  <c:v>13284110.870000001</c:v>
                </c:pt>
                <c:pt idx="29">
                  <c:v>9219127.5</c:v>
                </c:pt>
                <c:pt idx="30">
                  <c:v>2679320.5700000003</c:v>
                </c:pt>
                <c:pt idx="31">
                  <c:v>673834.41</c:v>
                </c:pt>
                <c:pt idx="32">
                  <c:v>359452.85000000003</c:v>
                </c:pt>
                <c:pt idx="33">
                  <c:v>887643.67</c:v>
                </c:pt>
                <c:pt idx="34">
                  <c:v>920050.3</c:v>
                </c:pt>
                <c:pt idx="35">
                  <c:v>2060987.1700000002</c:v>
                </c:pt>
                <c:pt idx="36">
                  <c:v>1569672.86</c:v>
                </c:pt>
                <c:pt idx="37">
                  <c:v>288307.26</c:v>
                </c:pt>
                <c:pt idx="38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9-4B9A-A8C9-568B6DAFD9A4}"/>
            </c:ext>
          </c:extLst>
        </c:ser>
        <c:ser>
          <c:idx val="4"/>
          <c:order val="4"/>
          <c:tx>
            <c:strRef>
              <c:f>'Restoration ($) Combined'!$H$3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'Restoration ($) Combined'!$B$4:$C$42</c:f>
              <c:multiLvlStrCache>
                <c:ptCount val="39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Grand Island</c:v>
                  </c:pt>
                  <c:pt idx="9">
                    <c:v>Ryer Island</c:v>
                  </c:pt>
                  <c:pt idx="10">
                    <c:v>Tyler Island</c:v>
                  </c:pt>
                  <c:pt idx="11">
                    <c:v>Staten Island</c:v>
                  </c:pt>
                  <c:pt idx="12">
                    <c:v>Dead Horse Island</c:v>
                  </c:pt>
                  <c:pt idx="13">
                    <c:v>Sutter Island</c:v>
                  </c:pt>
                  <c:pt idx="14">
                    <c:v>New Hope Tract</c:v>
                  </c:pt>
                  <c:pt idx="15">
                    <c:v>Canal Ranch Tract</c:v>
                  </c:pt>
                  <c:pt idx="16">
                    <c:v>Brannan Island</c:v>
                  </c:pt>
                  <c:pt idx="17">
                    <c:v>Terminous Tract</c:v>
                  </c:pt>
                  <c:pt idx="18">
                    <c:v>Bouldin Island</c:v>
                  </c:pt>
                  <c:pt idx="19">
                    <c:v>Venice Island</c:v>
                  </c:pt>
                  <c:pt idx="20">
                    <c:v>Medford Island</c:v>
                  </c:pt>
                  <c:pt idx="21">
                    <c:v>Empire Tract</c:v>
                  </c:pt>
                  <c:pt idx="22">
                    <c:v>King Island</c:v>
                  </c:pt>
                  <c:pt idx="23">
                    <c:v>Rindge Tract</c:v>
                  </c:pt>
                  <c:pt idx="24">
                    <c:v>Wright-Elmwood Tract</c:v>
                  </c:pt>
                  <c:pt idx="25">
                    <c:v>McDonald Tract</c:v>
                  </c:pt>
                  <c:pt idx="26">
                    <c:v>Jones Tract</c:v>
                  </c:pt>
                  <c:pt idx="27">
                    <c:v>Rough and Ready</c:v>
                  </c:pt>
                  <c:pt idx="28">
                    <c:v>Roberts Island</c:v>
                  </c:pt>
                  <c:pt idx="29">
                    <c:v>Union Island</c:v>
                  </c:pt>
                  <c:pt idx="30">
                    <c:v>Victoria Island</c:v>
                  </c:pt>
                  <c:pt idx="31">
                    <c:v>Woodward Island</c:v>
                  </c:pt>
                  <c:pt idx="32">
                    <c:v>Coney Island</c:v>
                  </c:pt>
                  <c:pt idx="33">
                    <c:v>Orowood Tract</c:v>
                  </c:pt>
                  <c:pt idx="34">
                    <c:v>Palm Tract</c:v>
                  </c:pt>
                  <c:pt idx="35">
                    <c:v>Bacon Island</c:v>
                  </c:pt>
                  <c:pt idx="36">
                    <c:v>Holland Tract</c:v>
                  </c:pt>
                  <c:pt idx="37">
                    <c:v>Quinby Island</c:v>
                  </c:pt>
                  <c:pt idx="38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 Delta</c:v>
                  </c:pt>
                  <c:pt idx="16">
                    <c:v>North-Central</c:v>
                  </c:pt>
                  <c:pt idx="17">
                    <c:v>North-South</c:v>
                  </c:pt>
                  <c:pt idx="18">
                    <c:v>South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Combined'!$H$4:$H$45</c15:sqref>
                  </c15:fullRef>
                </c:ext>
              </c:extLst>
              <c:f>'Restoration ($) Combined'!$H$4:$H$42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2680296.8600000003</c:v>
                </c:pt>
                <c:pt idx="9">
                  <c:v>1911511.9600000002</c:v>
                </c:pt>
                <c:pt idx="10">
                  <c:v>1425613.98</c:v>
                </c:pt>
                <c:pt idx="11">
                  <c:v>1476164.2200000002</c:v>
                </c:pt>
                <c:pt idx="12">
                  <c:v>33700.160000000003</c:v>
                </c:pt>
                <c:pt idx="13">
                  <c:v>407318.28</c:v>
                </c:pt>
                <c:pt idx="14">
                  <c:v>1492366.2200000002</c:v>
                </c:pt>
                <c:pt idx="15">
                  <c:v>475690.72000000003</c:v>
                </c:pt>
                <c:pt idx="16">
                  <c:v>2091192.1400000001</c:v>
                </c:pt>
                <c:pt idx="17">
                  <c:v>1678203.1600000001</c:v>
                </c:pt>
                <c:pt idx="18">
                  <c:v>961750.72000000009</c:v>
                </c:pt>
                <c:pt idx="19">
                  <c:v>501289.88</c:v>
                </c:pt>
                <c:pt idx="20">
                  <c:v>188753.30000000002</c:v>
                </c:pt>
                <c:pt idx="21">
                  <c:v>587322.5</c:v>
                </c:pt>
                <c:pt idx="22">
                  <c:v>521056.32</c:v>
                </c:pt>
                <c:pt idx="23">
                  <c:v>1092500.8600000001</c:v>
                </c:pt>
                <c:pt idx="24">
                  <c:v>341052.10000000003</c:v>
                </c:pt>
                <c:pt idx="25">
                  <c:v>981841.20000000007</c:v>
                </c:pt>
                <c:pt idx="26">
                  <c:v>1964816.54</c:v>
                </c:pt>
                <c:pt idx="27">
                  <c:v>226990.02000000002</c:v>
                </c:pt>
                <c:pt idx="28">
                  <c:v>5778119.2600000007</c:v>
                </c:pt>
                <c:pt idx="29">
                  <c:v>4009995.0000000005</c:v>
                </c:pt>
                <c:pt idx="30">
                  <c:v>1165409.8600000001</c:v>
                </c:pt>
                <c:pt idx="31">
                  <c:v>293094.18</c:v>
                </c:pt>
                <c:pt idx="32">
                  <c:v>156349.30000000002</c:v>
                </c:pt>
                <c:pt idx="33">
                  <c:v>386093.66000000003</c:v>
                </c:pt>
                <c:pt idx="34">
                  <c:v>400189.4</c:v>
                </c:pt>
                <c:pt idx="35">
                  <c:v>896456.66</c:v>
                </c:pt>
                <c:pt idx="36">
                  <c:v>682752.28</c:v>
                </c:pt>
                <c:pt idx="37">
                  <c:v>125403.48000000001</c:v>
                </c:pt>
                <c:pt idx="38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9-4B9A-A8C9-568B6DAFD9A4}"/>
            </c:ext>
          </c:extLst>
        </c:ser>
        <c:ser>
          <c:idx val="6"/>
          <c:order val="6"/>
          <c:tx>
            <c:strRef>
              <c:f>'Restoration ($) Combined'!$J$3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'Restoration ($) Combined'!$B$4:$C$42</c:f>
              <c:multiLvlStrCache>
                <c:ptCount val="39"/>
                <c:lvl>
                  <c:pt idx="0">
                    <c:v>Suisun</c:v>
                  </c:pt>
                  <c:pt idx="1">
                    <c:v>Bethel Island</c:v>
                  </c:pt>
                  <c:pt idx="2">
                    <c:v>Jersey Island</c:v>
                  </c:pt>
                  <c:pt idx="3">
                    <c:v>Webb Tract</c:v>
                  </c:pt>
                  <c:pt idx="4">
                    <c:v>Bradford Island</c:v>
                  </c:pt>
                  <c:pt idx="5">
                    <c:v>Sherman Island</c:v>
                  </c:pt>
                  <c:pt idx="6">
                    <c:v>Franks Tract</c:v>
                  </c:pt>
                  <c:pt idx="7">
                    <c:v>Twitchell Island</c:v>
                  </c:pt>
                  <c:pt idx="8">
                    <c:v>Grand Island</c:v>
                  </c:pt>
                  <c:pt idx="9">
                    <c:v>Ryer Island</c:v>
                  </c:pt>
                  <c:pt idx="10">
                    <c:v>Tyler Island</c:v>
                  </c:pt>
                  <c:pt idx="11">
                    <c:v>Staten Island</c:v>
                  </c:pt>
                  <c:pt idx="12">
                    <c:v>Dead Horse Island</c:v>
                  </c:pt>
                  <c:pt idx="13">
                    <c:v>Sutter Island</c:v>
                  </c:pt>
                  <c:pt idx="14">
                    <c:v>New Hope Tract</c:v>
                  </c:pt>
                  <c:pt idx="15">
                    <c:v>Canal Ranch Tract</c:v>
                  </c:pt>
                  <c:pt idx="16">
                    <c:v>Brannan Island</c:v>
                  </c:pt>
                  <c:pt idx="17">
                    <c:v>Terminous Tract</c:v>
                  </c:pt>
                  <c:pt idx="18">
                    <c:v>Bouldin Island</c:v>
                  </c:pt>
                  <c:pt idx="19">
                    <c:v>Venice Island</c:v>
                  </c:pt>
                  <c:pt idx="20">
                    <c:v>Medford Island</c:v>
                  </c:pt>
                  <c:pt idx="21">
                    <c:v>Empire Tract</c:v>
                  </c:pt>
                  <c:pt idx="22">
                    <c:v>King Island</c:v>
                  </c:pt>
                  <c:pt idx="23">
                    <c:v>Rindge Tract</c:v>
                  </c:pt>
                  <c:pt idx="24">
                    <c:v>Wright-Elmwood Tract</c:v>
                  </c:pt>
                  <c:pt idx="25">
                    <c:v>McDonald Tract</c:v>
                  </c:pt>
                  <c:pt idx="26">
                    <c:v>Jones Tract</c:v>
                  </c:pt>
                  <c:pt idx="27">
                    <c:v>Rough and Ready</c:v>
                  </c:pt>
                  <c:pt idx="28">
                    <c:v>Roberts Island</c:v>
                  </c:pt>
                  <c:pt idx="29">
                    <c:v>Union Island</c:v>
                  </c:pt>
                  <c:pt idx="30">
                    <c:v>Victoria Island</c:v>
                  </c:pt>
                  <c:pt idx="31">
                    <c:v>Woodward Island</c:v>
                  </c:pt>
                  <c:pt idx="32">
                    <c:v>Coney Island</c:v>
                  </c:pt>
                  <c:pt idx="33">
                    <c:v>Orowood Tract</c:v>
                  </c:pt>
                  <c:pt idx="34">
                    <c:v>Palm Tract</c:v>
                  </c:pt>
                  <c:pt idx="35">
                    <c:v>Bacon Island</c:v>
                  </c:pt>
                  <c:pt idx="36">
                    <c:v>Holland Tract</c:v>
                  </c:pt>
                  <c:pt idx="37">
                    <c:v>Quinby Island</c:v>
                  </c:pt>
                  <c:pt idx="38">
                    <c:v>Mandeville Island</c:v>
                  </c:pt>
                </c:lvl>
                <c:lvl>
                  <c:pt idx="0">
                    <c:v>Suisun Marsh</c:v>
                  </c:pt>
                  <c:pt idx="1">
                    <c:v>Central Delta</c:v>
                  </c:pt>
                  <c:pt idx="8">
                    <c:v>North Delta</c:v>
                  </c:pt>
                  <c:pt idx="16">
                    <c:v>North-Central</c:v>
                  </c:pt>
                  <c:pt idx="17">
                    <c:v>North-South</c:v>
                  </c:pt>
                  <c:pt idx="18">
                    <c:v>South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Combined'!$J$4:$J$45</c15:sqref>
                  </c15:fullRef>
                </c:ext>
              </c:extLst>
              <c:f>'Restoration ($) Combined'!$J$4:$J$42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1540484.1600000001</c:v>
                </c:pt>
                <c:pt idx="9">
                  <c:v>1098629.76</c:v>
                </c:pt>
                <c:pt idx="10">
                  <c:v>819362.88</c:v>
                </c:pt>
                <c:pt idx="11">
                  <c:v>848416.32000000007</c:v>
                </c:pt>
                <c:pt idx="12">
                  <c:v>19368.96</c:v>
                </c:pt>
                <c:pt idx="13">
                  <c:v>234103.68000000002</c:v>
                </c:pt>
                <c:pt idx="14">
                  <c:v>857728.32000000007</c:v>
                </c:pt>
                <c:pt idx="15">
                  <c:v>273400.32000000001</c:v>
                </c:pt>
                <c:pt idx="16">
                  <c:v>1201899.8400000001</c:v>
                </c:pt>
                <c:pt idx="17">
                  <c:v>964536.96000000008</c:v>
                </c:pt>
                <c:pt idx="18">
                  <c:v>552760.32000000007</c:v>
                </c:pt>
                <c:pt idx="19">
                  <c:v>288113.28000000003</c:v>
                </c:pt>
                <c:pt idx="20">
                  <c:v>108484.8</c:v>
                </c:pt>
                <c:pt idx="21">
                  <c:v>337560</c:v>
                </c:pt>
                <c:pt idx="22">
                  <c:v>299473.92000000004</c:v>
                </c:pt>
                <c:pt idx="23">
                  <c:v>627908.16</c:v>
                </c:pt>
                <c:pt idx="24">
                  <c:v>196017.6</c:v>
                </c:pt>
                <c:pt idx="25">
                  <c:v>564307.20000000007</c:v>
                </c:pt>
                <c:pt idx="26">
                  <c:v>1129266.24</c:v>
                </c:pt>
                <c:pt idx="27">
                  <c:v>130461.12000000001</c:v>
                </c:pt>
                <c:pt idx="28">
                  <c:v>3320938.56</c:v>
                </c:pt>
                <c:pt idx="29">
                  <c:v>2304720</c:v>
                </c:pt>
                <c:pt idx="30">
                  <c:v>669812.16</c:v>
                </c:pt>
                <c:pt idx="31">
                  <c:v>168454.08000000002</c:v>
                </c:pt>
                <c:pt idx="32">
                  <c:v>89860.800000000003</c:v>
                </c:pt>
                <c:pt idx="33">
                  <c:v>221904.96000000002</c:v>
                </c:pt>
                <c:pt idx="34">
                  <c:v>230006.40000000002</c:v>
                </c:pt>
                <c:pt idx="35">
                  <c:v>515232.96</c:v>
                </c:pt>
                <c:pt idx="36">
                  <c:v>392407.68</c:v>
                </c:pt>
                <c:pt idx="37">
                  <c:v>72074.880000000005</c:v>
                </c:pt>
                <c:pt idx="38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E9-4B9A-A8C9-568B6DAFD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0966319"/>
        <c:axId val="8409672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'Restoration ($) Combined'!$D$3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'Restoration ($) Combined'!$B$4:$C$42</c15:sqref>
                        </c15:formulaRef>
                      </c:ext>
                    </c:extLst>
                    <c:multiLvlStrCache>
                      <c:ptCount val="39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Grand Island</c:v>
                        </c:pt>
                        <c:pt idx="9">
                          <c:v>Ryer Island</c:v>
                        </c:pt>
                        <c:pt idx="10">
                          <c:v>Tyler Island</c:v>
                        </c:pt>
                        <c:pt idx="11">
                          <c:v>Staten Island</c:v>
                        </c:pt>
                        <c:pt idx="12">
                          <c:v>Dead Horse Island</c:v>
                        </c:pt>
                        <c:pt idx="13">
                          <c:v>Sutter Island</c:v>
                        </c:pt>
                        <c:pt idx="14">
                          <c:v>New Hope Tract</c:v>
                        </c:pt>
                        <c:pt idx="15">
                          <c:v>Canal Ranch Tract</c:v>
                        </c:pt>
                        <c:pt idx="16">
                          <c:v>Brannan Island</c:v>
                        </c:pt>
                        <c:pt idx="17">
                          <c:v>Terminous Tract</c:v>
                        </c:pt>
                        <c:pt idx="18">
                          <c:v>Bouldin Island</c:v>
                        </c:pt>
                        <c:pt idx="19">
                          <c:v>Venice Island</c:v>
                        </c:pt>
                        <c:pt idx="20">
                          <c:v>Medford Island</c:v>
                        </c:pt>
                        <c:pt idx="21">
                          <c:v>Empire Tract</c:v>
                        </c:pt>
                        <c:pt idx="22">
                          <c:v>King Island</c:v>
                        </c:pt>
                        <c:pt idx="23">
                          <c:v>Rindge Tract</c:v>
                        </c:pt>
                        <c:pt idx="24">
                          <c:v>Wright-Elmwood Tract</c:v>
                        </c:pt>
                        <c:pt idx="25">
                          <c:v>McDonald Tract</c:v>
                        </c:pt>
                        <c:pt idx="26">
                          <c:v>Jones Tract</c:v>
                        </c:pt>
                        <c:pt idx="27">
                          <c:v>Rough and Ready</c:v>
                        </c:pt>
                        <c:pt idx="28">
                          <c:v>Roberts Island</c:v>
                        </c:pt>
                        <c:pt idx="29">
                          <c:v>Union Island</c:v>
                        </c:pt>
                        <c:pt idx="30">
                          <c:v>Victoria Island</c:v>
                        </c:pt>
                        <c:pt idx="31">
                          <c:v>Woodward Island</c:v>
                        </c:pt>
                        <c:pt idx="32">
                          <c:v>Coney Island</c:v>
                        </c:pt>
                        <c:pt idx="33">
                          <c:v>Orowood Tract</c:v>
                        </c:pt>
                        <c:pt idx="34">
                          <c:v>Palm Tract</c:v>
                        </c:pt>
                        <c:pt idx="35">
                          <c:v>Bacon Island</c:v>
                        </c:pt>
                        <c:pt idx="36">
                          <c:v>Holland Tract</c:v>
                        </c:pt>
                        <c:pt idx="37">
                          <c:v>Quinby Island</c:v>
                        </c:pt>
                        <c:pt idx="38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 Delta</c:v>
                        </c:pt>
                        <c:pt idx="16">
                          <c:v>North-Central</c:v>
                        </c:pt>
                        <c:pt idx="17">
                          <c:v>North-South</c:v>
                        </c:pt>
                        <c:pt idx="18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'Restoration ($) Combined'!$D$4:$D$45</c15:sqref>
                        </c15:fullRef>
                        <c15:formulaRef>
                          <c15:sqref>'Restoration ($) Combined'!$D$4:$D$42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14724008.419653563</c:v>
                      </c:pt>
                      <c:pt idx="1">
                        <c:v>1131153.8</c:v>
                      </c:pt>
                      <c:pt idx="2">
                        <c:v>1215112.1100000001</c:v>
                      </c:pt>
                      <c:pt idx="3">
                        <c:v>1909612.4400000002</c:v>
                      </c:pt>
                      <c:pt idx="4">
                        <c:v>750004.15</c:v>
                      </c:pt>
                      <c:pt idx="5">
                        <c:v>3575429.62</c:v>
                      </c:pt>
                      <c:pt idx="6">
                        <c:v>484780.2</c:v>
                      </c:pt>
                      <c:pt idx="7">
                        <c:v>1250241.1100000001</c:v>
                      </c:pt>
                      <c:pt idx="8">
                        <c:v>5811390.4700000007</c:v>
                      </c:pt>
                      <c:pt idx="9">
                        <c:v>4144519.4200000004</c:v>
                      </c:pt>
                      <c:pt idx="10">
                        <c:v>3091000.71</c:v>
                      </c:pt>
                      <c:pt idx="11">
                        <c:v>3200603.1900000004</c:v>
                      </c:pt>
                      <c:pt idx="12">
                        <c:v>73068.320000000007</c:v>
                      </c:pt>
                      <c:pt idx="13">
                        <c:v>883143.06</c:v>
                      </c:pt>
                      <c:pt idx="14">
                        <c:v>3235732.1900000004</c:v>
                      </c:pt>
                      <c:pt idx="15">
                        <c:v>1031387.4400000001</c:v>
                      </c:pt>
                      <c:pt idx="16">
                        <c:v>4534100.03</c:v>
                      </c:pt>
                      <c:pt idx="17">
                        <c:v>3638661.8200000003</c:v>
                      </c:pt>
                      <c:pt idx="18">
                        <c:v>2085257.4400000002</c:v>
                      </c:pt>
                      <c:pt idx="19">
                        <c:v>1086891.26</c:v>
                      </c:pt>
                      <c:pt idx="20">
                        <c:v>409252.85000000003</c:v>
                      </c:pt>
                      <c:pt idx="21">
                        <c:v>1273426.25</c:v>
                      </c:pt>
                      <c:pt idx="22">
                        <c:v>1129748.6400000001</c:v>
                      </c:pt>
                      <c:pt idx="23">
                        <c:v>2368748.4700000002</c:v>
                      </c:pt>
                      <c:pt idx="24">
                        <c:v>739465.45000000007</c:v>
                      </c:pt>
                      <c:pt idx="25">
                        <c:v>2128817.4</c:v>
                      </c:pt>
                      <c:pt idx="26">
                        <c:v>4260093.83</c:v>
                      </c:pt>
                      <c:pt idx="27">
                        <c:v>492157.29000000004</c:v>
                      </c:pt>
                      <c:pt idx="28">
                        <c:v>12528055.270000001</c:v>
                      </c:pt>
                      <c:pt idx="29">
                        <c:v>8694427.5</c:v>
                      </c:pt>
                      <c:pt idx="30">
                        <c:v>2526828.9700000002</c:v>
                      </c:pt>
                      <c:pt idx="31">
                        <c:v>635483.61</c:v>
                      </c:pt>
                      <c:pt idx="32">
                        <c:v>338994.85000000003</c:v>
                      </c:pt>
                      <c:pt idx="33">
                        <c:v>837124.07000000007</c:v>
                      </c:pt>
                      <c:pt idx="34">
                        <c:v>867686.3</c:v>
                      </c:pt>
                      <c:pt idx="35">
                        <c:v>1943687.57</c:v>
                      </c:pt>
                      <c:pt idx="36">
                        <c:v>1480336.06</c:v>
                      </c:pt>
                      <c:pt idx="37">
                        <c:v>271898.46000000002</c:v>
                      </c:pt>
                      <c:pt idx="38">
                        <c:v>1832679.9300000002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DE9-4B9A-A8C9-568B6DAFD9A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Combined'!$G$3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'Restoration ($) Combined'!$B$4:$C$42</c15:sqref>
                        </c15:formulaRef>
                      </c:ext>
                    </c:extLst>
                    <c:multiLvlStrCache>
                      <c:ptCount val="39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Grand Island</c:v>
                        </c:pt>
                        <c:pt idx="9">
                          <c:v>Ryer Island</c:v>
                        </c:pt>
                        <c:pt idx="10">
                          <c:v>Tyler Island</c:v>
                        </c:pt>
                        <c:pt idx="11">
                          <c:v>Staten Island</c:v>
                        </c:pt>
                        <c:pt idx="12">
                          <c:v>Dead Horse Island</c:v>
                        </c:pt>
                        <c:pt idx="13">
                          <c:v>Sutter Island</c:v>
                        </c:pt>
                        <c:pt idx="14">
                          <c:v>New Hope Tract</c:v>
                        </c:pt>
                        <c:pt idx="15">
                          <c:v>Canal Ranch Tract</c:v>
                        </c:pt>
                        <c:pt idx="16">
                          <c:v>Brannan Island</c:v>
                        </c:pt>
                        <c:pt idx="17">
                          <c:v>Terminous Tract</c:v>
                        </c:pt>
                        <c:pt idx="18">
                          <c:v>Bouldin Island</c:v>
                        </c:pt>
                        <c:pt idx="19">
                          <c:v>Venice Island</c:v>
                        </c:pt>
                        <c:pt idx="20">
                          <c:v>Medford Island</c:v>
                        </c:pt>
                        <c:pt idx="21">
                          <c:v>Empire Tract</c:v>
                        </c:pt>
                        <c:pt idx="22">
                          <c:v>King Island</c:v>
                        </c:pt>
                        <c:pt idx="23">
                          <c:v>Rindge Tract</c:v>
                        </c:pt>
                        <c:pt idx="24">
                          <c:v>Wright-Elmwood Tract</c:v>
                        </c:pt>
                        <c:pt idx="25">
                          <c:v>McDonald Tract</c:v>
                        </c:pt>
                        <c:pt idx="26">
                          <c:v>Jones Tract</c:v>
                        </c:pt>
                        <c:pt idx="27">
                          <c:v>Rough and Ready</c:v>
                        </c:pt>
                        <c:pt idx="28">
                          <c:v>Roberts Island</c:v>
                        </c:pt>
                        <c:pt idx="29">
                          <c:v>Union Island</c:v>
                        </c:pt>
                        <c:pt idx="30">
                          <c:v>Victoria Island</c:v>
                        </c:pt>
                        <c:pt idx="31">
                          <c:v>Woodward Island</c:v>
                        </c:pt>
                        <c:pt idx="32">
                          <c:v>Coney Island</c:v>
                        </c:pt>
                        <c:pt idx="33">
                          <c:v>Orowood Tract</c:v>
                        </c:pt>
                        <c:pt idx="34">
                          <c:v>Palm Tract</c:v>
                        </c:pt>
                        <c:pt idx="35">
                          <c:v>Bacon Island</c:v>
                        </c:pt>
                        <c:pt idx="36">
                          <c:v>Holland Tract</c:v>
                        </c:pt>
                        <c:pt idx="37">
                          <c:v>Quinby Island</c:v>
                        </c:pt>
                        <c:pt idx="38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 Delta</c:v>
                        </c:pt>
                        <c:pt idx="16">
                          <c:v>North-Central</c:v>
                        </c:pt>
                        <c:pt idx="17">
                          <c:v>North-South</c:v>
                        </c:pt>
                        <c:pt idx="18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Combined'!$G$4:$G$45</c15:sqref>
                        </c15:fullRef>
                        <c15:formulaRef>
                          <c15:sqref>'Restoration ($) Combined'!$G$4:$G$42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9138952.9898979831</c:v>
                      </c:pt>
                      <c:pt idx="1">
                        <c:v>702088.79999999993</c:v>
                      </c:pt>
                      <c:pt idx="2">
                        <c:v>754200.36</c:v>
                      </c:pt>
                      <c:pt idx="3">
                        <c:v>1185265.44</c:v>
                      </c:pt>
                      <c:pt idx="4">
                        <c:v>465515.39999999997</c:v>
                      </c:pt>
                      <c:pt idx="5">
                        <c:v>2219211.12</c:v>
                      </c:pt>
                      <c:pt idx="6">
                        <c:v>300895.2</c:v>
                      </c:pt>
                      <c:pt idx="7">
                        <c:v>776004.36</c:v>
                      </c:pt>
                      <c:pt idx="8">
                        <c:v>3607035.7199999997</c:v>
                      </c:pt>
                      <c:pt idx="9">
                        <c:v>2572435.92</c:v>
                      </c:pt>
                      <c:pt idx="10">
                        <c:v>1918533.96</c:v>
                      </c:pt>
                      <c:pt idx="11">
                        <c:v>1986562.44</c:v>
                      </c:pt>
                      <c:pt idx="12">
                        <c:v>45352.32</c:v>
                      </c:pt>
                      <c:pt idx="13">
                        <c:v>548152.55999999994</c:v>
                      </c:pt>
                      <c:pt idx="14">
                        <c:v>2008366.44</c:v>
                      </c:pt>
                      <c:pt idx="15">
                        <c:v>640165.43999999994</c:v>
                      </c:pt>
                      <c:pt idx="16">
                        <c:v>2814242.28</c:v>
                      </c:pt>
                      <c:pt idx="17">
                        <c:v>2258458.3199999998</c:v>
                      </c:pt>
                      <c:pt idx="18">
                        <c:v>1294285.44</c:v>
                      </c:pt>
                      <c:pt idx="19">
                        <c:v>674615.76</c:v>
                      </c:pt>
                      <c:pt idx="20">
                        <c:v>254016.59999999998</c:v>
                      </c:pt>
                      <c:pt idx="21">
                        <c:v>790395</c:v>
                      </c:pt>
                      <c:pt idx="22">
                        <c:v>701216.64</c:v>
                      </c:pt>
                      <c:pt idx="23">
                        <c:v>1470243.72</c:v>
                      </c:pt>
                      <c:pt idx="24">
                        <c:v>458974.2</c:v>
                      </c:pt>
                      <c:pt idx="25">
                        <c:v>1321322.3999999999</c:v>
                      </c:pt>
                      <c:pt idx="26">
                        <c:v>2644171.08</c:v>
                      </c:pt>
                      <c:pt idx="27">
                        <c:v>305474.03999999998</c:v>
                      </c:pt>
                      <c:pt idx="28">
                        <c:v>7775960.5199999996</c:v>
                      </c:pt>
                      <c:pt idx="29">
                        <c:v>5396490</c:v>
                      </c:pt>
                      <c:pt idx="30">
                        <c:v>1568361.72</c:v>
                      </c:pt>
                      <c:pt idx="31">
                        <c:v>394434.36</c:v>
                      </c:pt>
                      <c:pt idx="32">
                        <c:v>210408.6</c:v>
                      </c:pt>
                      <c:pt idx="33">
                        <c:v>519589.32</c:v>
                      </c:pt>
                      <c:pt idx="34">
                        <c:v>538558.79999999993</c:v>
                      </c:pt>
                      <c:pt idx="35">
                        <c:v>1206415.32</c:v>
                      </c:pt>
                      <c:pt idx="36">
                        <c:v>918820.55999999994</c:v>
                      </c:pt>
                      <c:pt idx="37">
                        <c:v>168762.96</c:v>
                      </c:pt>
                      <c:pt idx="38">
                        <c:v>1137514.68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DE9-4B9A-A8C9-568B6DAFD9A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Combined'!$I$3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'Restoration ($) Combined'!$B$4:$C$42</c15:sqref>
                        </c15:formulaRef>
                      </c:ext>
                    </c:extLst>
                    <c:multiLvlStrCache>
                      <c:ptCount val="39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Grand Island</c:v>
                        </c:pt>
                        <c:pt idx="9">
                          <c:v>Ryer Island</c:v>
                        </c:pt>
                        <c:pt idx="10">
                          <c:v>Tyler Island</c:v>
                        </c:pt>
                        <c:pt idx="11">
                          <c:v>Staten Island</c:v>
                        </c:pt>
                        <c:pt idx="12">
                          <c:v>Dead Horse Island</c:v>
                        </c:pt>
                        <c:pt idx="13">
                          <c:v>Sutter Island</c:v>
                        </c:pt>
                        <c:pt idx="14">
                          <c:v>New Hope Tract</c:v>
                        </c:pt>
                        <c:pt idx="15">
                          <c:v>Canal Ranch Tract</c:v>
                        </c:pt>
                        <c:pt idx="16">
                          <c:v>Brannan Island</c:v>
                        </c:pt>
                        <c:pt idx="17">
                          <c:v>Terminous Tract</c:v>
                        </c:pt>
                        <c:pt idx="18">
                          <c:v>Bouldin Island</c:v>
                        </c:pt>
                        <c:pt idx="19">
                          <c:v>Venice Island</c:v>
                        </c:pt>
                        <c:pt idx="20">
                          <c:v>Medford Island</c:v>
                        </c:pt>
                        <c:pt idx="21">
                          <c:v>Empire Tract</c:v>
                        </c:pt>
                        <c:pt idx="22">
                          <c:v>King Island</c:v>
                        </c:pt>
                        <c:pt idx="23">
                          <c:v>Rindge Tract</c:v>
                        </c:pt>
                        <c:pt idx="24">
                          <c:v>Wright-Elmwood Tract</c:v>
                        </c:pt>
                        <c:pt idx="25">
                          <c:v>McDonald Tract</c:v>
                        </c:pt>
                        <c:pt idx="26">
                          <c:v>Jones Tract</c:v>
                        </c:pt>
                        <c:pt idx="27">
                          <c:v>Rough and Ready</c:v>
                        </c:pt>
                        <c:pt idx="28">
                          <c:v>Roberts Island</c:v>
                        </c:pt>
                        <c:pt idx="29">
                          <c:v>Union Island</c:v>
                        </c:pt>
                        <c:pt idx="30">
                          <c:v>Victoria Island</c:v>
                        </c:pt>
                        <c:pt idx="31">
                          <c:v>Woodward Island</c:v>
                        </c:pt>
                        <c:pt idx="32">
                          <c:v>Coney Island</c:v>
                        </c:pt>
                        <c:pt idx="33">
                          <c:v>Orowood Tract</c:v>
                        </c:pt>
                        <c:pt idx="34">
                          <c:v>Palm Tract</c:v>
                        </c:pt>
                        <c:pt idx="35">
                          <c:v>Bacon Island</c:v>
                        </c:pt>
                        <c:pt idx="36">
                          <c:v>Holland Tract</c:v>
                        </c:pt>
                        <c:pt idx="37">
                          <c:v>Quinby Island</c:v>
                        </c:pt>
                        <c:pt idx="38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 Delta</c:v>
                        </c:pt>
                        <c:pt idx="16">
                          <c:v>North-Central</c:v>
                        </c:pt>
                        <c:pt idx="17">
                          <c:v>North-South</c:v>
                        </c:pt>
                        <c:pt idx="18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Combined'!$I$4:$I$45</c15:sqref>
                        </c15:fullRef>
                        <c15:formulaRef>
                          <c15:sqref>'Restoration ($) Combined'!$I$4:$I$42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6378070.4296128051</c:v>
                      </c:pt>
                      <c:pt idx="1">
                        <c:v>489987.39999999997</c:v>
                      </c:pt>
                      <c:pt idx="2">
                        <c:v>526356.02999999991</c:v>
                      </c:pt>
                      <c:pt idx="3">
                        <c:v>827196.11999999988</c:v>
                      </c:pt>
                      <c:pt idx="4">
                        <c:v>324882.94999999995</c:v>
                      </c:pt>
                      <c:pt idx="5">
                        <c:v>1548786.2599999998</c:v>
                      </c:pt>
                      <c:pt idx="6">
                        <c:v>209994.59999999998</c:v>
                      </c:pt>
                      <c:pt idx="7">
                        <c:v>541573.02999999991</c:v>
                      </c:pt>
                      <c:pt idx="8">
                        <c:v>2517348.3099999996</c:v>
                      </c:pt>
                      <c:pt idx="9">
                        <c:v>1795301.66</c:v>
                      </c:pt>
                      <c:pt idx="10">
                        <c:v>1338943.8299999998</c:v>
                      </c:pt>
                      <c:pt idx="11">
                        <c:v>1386420.8699999999</c:v>
                      </c:pt>
                      <c:pt idx="12">
                        <c:v>31651.359999999997</c:v>
                      </c:pt>
                      <c:pt idx="13">
                        <c:v>382555.37999999995</c:v>
                      </c:pt>
                      <c:pt idx="14">
                        <c:v>1401637.8699999999</c:v>
                      </c:pt>
                      <c:pt idx="15">
                        <c:v>446771.11999999994</c:v>
                      </c:pt>
                      <c:pt idx="16">
                        <c:v>1964058.19</c:v>
                      </c:pt>
                      <c:pt idx="17">
                        <c:v>1576176.8599999999</c:v>
                      </c:pt>
                      <c:pt idx="18">
                        <c:v>903281.11999999988</c:v>
                      </c:pt>
                      <c:pt idx="19">
                        <c:v>470813.98</c:v>
                      </c:pt>
                      <c:pt idx="20">
                        <c:v>177278.05</c:v>
                      </c:pt>
                      <c:pt idx="21">
                        <c:v>551616.25</c:v>
                      </c:pt>
                      <c:pt idx="22">
                        <c:v>489378.72</c:v>
                      </c:pt>
                      <c:pt idx="23">
                        <c:v>1026082.3099999999</c:v>
                      </c:pt>
                      <c:pt idx="24">
                        <c:v>320317.84999999998</c:v>
                      </c:pt>
                      <c:pt idx="25">
                        <c:v>922150.2</c:v>
                      </c:pt>
                      <c:pt idx="26">
                        <c:v>1845365.5899999999</c:v>
                      </c:pt>
                      <c:pt idx="27">
                        <c:v>213190.16999999998</c:v>
                      </c:pt>
                      <c:pt idx="28">
                        <c:v>5426838.71</c:v>
                      </c:pt>
                      <c:pt idx="29">
                        <c:v>3766207.4999999995</c:v>
                      </c:pt>
                      <c:pt idx="30">
                        <c:v>1094558.8099999998</c:v>
                      </c:pt>
                      <c:pt idx="31">
                        <c:v>275275.52999999997</c:v>
                      </c:pt>
                      <c:pt idx="32">
                        <c:v>146844.04999999999</c:v>
                      </c:pt>
                      <c:pt idx="33">
                        <c:v>362621.11</c:v>
                      </c:pt>
                      <c:pt idx="34">
                        <c:v>375859.89999999997</c:v>
                      </c:pt>
                      <c:pt idx="35">
                        <c:v>841956.61</c:v>
                      </c:pt>
                      <c:pt idx="36">
                        <c:v>641244.38</c:v>
                      </c:pt>
                      <c:pt idx="37">
                        <c:v>117779.57999999999</c:v>
                      </c:pt>
                      <c:pt idx="38">
                        <c:v>793870.8899999999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E9-4B9A-A8C9-568B6DAFD9A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Combined'!$K$3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'Restoration ($) Combined'!$B$4:$C$42</c15:sqref>
                        </c15:formulaRef>
                      </c:ext>
                    </c:extLst>
                    <c:multiLvlStrCache>
                      <c:ptCount val="39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Grand Island</c:v>
                        </c:pt>
                        <c:pt idx="9">
                          <c:v>Ryer Island</c:v>
                        </c:pt>
                        <c:pt idx="10">
                          <c:v>Tyler Island</c:v>
                        </c:pt>
                        <c:pt idx="11">
                          <c:v>Staten Island</c:v>
                        </c:pt>
                        <c:pt idx="12">
                          <c:v>Dead Horse Island</c:v>
                        </c:pt>
                        <c:pt idx="13">
                          <c:v>Sutter Island</c:v>
                        </c:pt>
                        <c:pt idx="14">
                          <c:v>New Hope Tract</c:v>
                        </c:pt>
                        <c:pt idx="15">
                          <c:v>Canal Ranch Tract</c:v>
                        </c:pt>
                        <c:pt idx="16">
                          <c:v>Brannan Island</c:v>
                        </c:pt>
                        <c:pt idx="17">
                          <c:v>Terminous Tract</c:v>
                        </c:pt>
                        <c:pt idx="18">
                          <c:v>Bouldin Island</c:v>
                        </c:pt>
                        <c:pt idx="19">
                          <c:v>Venice Island</c:v>
                        </c:pt>
                        <c:pt idx="20">
                          <c:v>Medford Island</c:v>
                        </c:pt>
                        <c:pt idx="21">
                          <c:v>Empire Tract</c:v>
                        </c:pt>
                        <c:pt idx="22">
                          <c:v>King Island</c:v>
                        </c:pt>
                        <c:pt idx="23">
                          <c:v>Rindge Tract</c:v>
                        </c:pt>
                        <c:pt idx="24">
                          <c:v>Wright-Elmwood Tract</c:v>
                        </c:pt>
                        <c:pt idx="25">
                          <c:v>McDonald Tract</c:v>
                        </c:pt>
                        <c:pt idx="26">
                          <c:v>Jones Tract</c:v>
                        </c:pt>
                        <c:pt idx="27">
                          <c:v>Rough and Ready</c:v>
                        </c:pt>
                        <c:pt idx="28">
                          <c:v>Roberts Island</c:v>
                        </c:pt>
                        <c:pt idx="29">
                          <c:v>Union Island</c:v>
                        </c:pt>
                        <c:pt idx="30">
                          <c:v>Victoria Island</c:v>
                        </c:pt>
                        <c:pt idx="31">
                          <c:v>Woodward Island</c:v>
                        </c:pt>
                        <c:pt idx="32">
                          <c:v>Coney Island</c:v>
                        </c:pt>
                        <c:pt idx="33">
                          <c:v>Orowood Tract</c:v>
                        </c:pt>
                        <c:pt idx="34">
                          <c:v>Palm Tract</c:v>
                        </c:pt>
                        <c:pt idx="35">
                          <c:v>Bacon Island</c:v>
                        </c:pt>
                        <c:pt idx="36">
                          <c:v>Holland Tract</c:v>
                        </c:pt>
                        <c:pt idx="37">
                          <c:v>Quinby Island</c:v>
                        </c:pt>
                        <c:pt idx="38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 Delta</c:v>
                        </c:pt>
                        <c:pt idx="16">
                          <c:v>North-Central</c:v>
                        </c:pt>
                        <c:pt idx="17">
                          <c:v>North-South</c:v>
                        </c:pt>
                        <c:pt idx="18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Combined'!$K$4:$K$45</c15:sqref>
                        </c15:fullRef>
                        <c15:formulaRef>
                          <c15:sqref>'Restoration ($) Combined'!$K$4:$K$42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109705.4</c:v>
                      </c:pt>
                      <c:pt idx="2">
                        <c:v>117848.13</c:v>
                      </c:pt>
                      <c:pt idx="3">
                        <c:v>185204.52</c:v>
                      </c:pt>
                      <c:pt idx="4">
                        <c:v>72739.45</c:v>
                      </c:pt>
                      <c:pt idx="5">
                        <c:v>346764.46</c:v>
                      </c:pt>
                      <c:pt idx="6">
                        <c:v>47016.6</c:v>
                      </c:pt>
                      <c:pt idx="7">
                        <c:v>121255.13</c:v>
                      </c:pt>
                      <c:pt idx="8">
                        <c:v>563620.01</c:v>
                      </c:pt>
                      <c:pt idx="9">
                        <c:v>401957.86</c:v>
                      </c:pt>
                      <c:pt idx="10">
                        <c:v>299781.93</c:v>
                      </c:pt>
                      <c:pt idx="11">
                        <c:v>310411.77</c:v>
                      </c:pt>
                      <c:pt idx="12">
                        <c:v>7086.56</c:v>
                      </c:pt>
                      <c:pt idx="13">
                        <c:v>85651.98</c:v>
                      </c:pt>
                      <c:pt idx="14">
                        <c:v>313818.77</c:v>
                      </c:pt>
                      <c:pt idx="15">
                        <c:v>100029.52</c:v>
                      </c:pt>
                      <c:pt idx="16">
                        <c:v>439741.49</c:v>
                      </c:pt>
                      <c:pt idx="17">
                        <c:v>352897.06</c:v>
                      </c:pt>
                      <c:pt idx="18">
                        <c:v>202239.52</c:v>
                      </c:pt>
                      <c:pt idx="19">
                        <c:v>105412.58</c:v>
                      </c:pt>
                      <c:pt idx="20">
                        <c:v>39691.550000000003</c:v>
                      </c:pt>
                      <c:pt idx="21">
                        <c:v>123503.75</c:v>
                      </c:pt>
                      <c:pt idx="22">
                        <c:v>109569.12</c:v>
                      </c:pt>
                      <c:pt idx="23">
                        <c:v>229734.01</c:v>
                      </c:pt>
                      <c:pt idx="24">
                        <c:v>71717.350000000006</c:v>
                      </c:pt>
                      <c:pt idx="25">
                        <c:v>206464.2</c:v>
                      </c:pt>
                      <c:pt idx="26">
                        <c:v>413166.89</c:v>
                      </c:pt>
                      <c:pt idx="27">
                        <c:v>47732.07</c:v>
                      </c:pt>
                      <c:pt idx="28">
                        <c:v>1215038.4099999999</c:v>
                      </c:pt>
                      <c:pt idx="29">
                        <c:v>843232.5</c:v>
                      </c:pt>
                      <c:pt idx="30">
                        <c:v>245065.51</c:v>
                      </c:pt>
                      <c:pt idx="31">
                        <c:v>61632.63</c:v>
                      </c:pt>
                      <c:pt idx="32">
                        <c:v>32877.550000000003</c:v>
                      </c:pt>
                      <c:pt idx="33">
                        <c:v>81188.81</c:v>
                      </c:pt>
                      <c:pt idx="34">
                        <c:v>84152.9</c:v>
                      </c:pt>
                      <c:pt idx="35">
                        <c:v>188509.31</c:v>
                      </c:pt>
                      <c:pt idx="36">
                        <c:v>143570.98000000001</c:v>
                      </c:pt>
                      <c:pt idx="37">
                        <c:v>26370.18</c:v>
                      </c:pt>
                      <c:pt idx="38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DE9-4B9A-A8C9-568B6DAFD9A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Combined'!$L$3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'Restoration ($) Combined'!$B$4:$C$42</c15:sqref>
                        </c15:formulaRef>
                      </c:ext>
                    </c:extLst>
                    <c:multiLvlStrCache>
                      <c:ptCount val="39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Grand Island</c:v>
                        </c:pt>
                        <c:pt idx="9">
                          <c:v>Ryer Island</c:v>
                        </c:pt>
                        <c:pt idx="10">
                          <c:v>Tyler Island</c:v>
                        </c:pt>
                        <c:pt idx="11">
                          <c:v>Staten Island</c:v>
                        </c:pt>
                        <c:pt idx="12">
                          <c:v>Dead Horse Island</c:v>
                        </c:pt>
                        <c:pt idx="13">
                          <c:v>Sutter Island</c:v>
                        </c:pt>
                        <c:pt idx="14">
                          <c:v>New Hope Tract</c:v>
                        </c:pt>
                        <c:pt idx="15">
                          <c:v>Canal Ranch Tract</c:v>
                        </c:pt>
                        <c:pt idx="16">
                          <c:v>Brannan Island</c:v>
                        </c:pt>
                        <c:pt idx="17">
                          <c:v>Terminous Tract</c:v>
                        </c:pt>
                        <c:pt idx="18">
                          <c:v>Bouldin Island</c:v>
                        </c:pt>
                        <c:pt idx="19">
                          <c:v>Venice Island</c:v>
                        </c:pt>
                        <c:pt idx="20">
                          <c:v>Medford Island</c:v>
                        </c:pt>
                        <c:pt idx="21">
                          <c:v>Empire Tract</c:v>
                        </c:pt>
                        <c:pt idx="22">
                          <c:v>King Island</c:v>
                        </c:pt>
                        <c:pt idx="23">
                          <c:v>Rindge Tract</c:v>
                        </c:pt>
                        <c:pt idx="24">
                          <c:v>Wright-Elmwood Tract</c:v>
                        </c:pt>
                        <c:pt idx="25">
                          <c:v>McDonald Tract</c:v>
                        </c:pt>
                        <c:pt idx="26">
                          <c:v>Jones Tract</c:v>
                        </c:pt>
                        <c:pt idx="27">
                          <c:v>Rough and Ready</c:v>
                        </c:pt>
                        <c:pt idx="28">
                          <c:v>Roberts Island</c:v>
                        </c:pt>
                        <c:pt idx="29">
                          <c:v>Union Island</c:v>
                        </c:pt>
                        <c:pt idx="30">
                          <c:v>Victoria Island</c:v>
                        </c:pt>
                        <c:pt idx="31">
                          <c:v>Woodward Island</c:v>
                        </c:pt>
                        <c:pt idx="32">
                          <c:v>Coney Island</c:v>
                        </c:pt>
                        <c:pt idx="33">
                          <c:v>Orowood Tract</c:v>
                        </c:pt>
                        <c:pt idx="34">
                          <c:v>Palm Tract</c:v>
                        </c:pt>
                        <c:pt idx="35">
                          <c:v>Bacon Island</c:v>
                        </c:pt>
                        <c:pt idx="36">
                          <c:v>Holland Tract</c:v>
                        </c:pt>
                        <c:pt idx="37">
                          <c:v>Quinby Island</c:v>
                        </c:pt>
                        <c:pt idx="38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 Delta</c:v>
                        </c:pt>
                        <c:pt idx="16">
                          <c:v>North-Central</c:v>
                        </c:pt>
                        <c:pt idx="17">
                          <c:v>North-South</c:v>
                        </c:pt>
                        <c:pt idx="18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Combined'!$L$4:$L$45</c15:sqref>
                        </c15:fullRef>
                        <c15:formulaRef>
                          <c15:sqref>'Restoration ($) Combined'!$L$4:$L$42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109705.4</c:v>
                      </c:pt>
                      <c:pt idx="2">
                        <c:v>117848.13</c:v>
                      </c:pt>
                      <c:pt idx="3">
                        <c:v>185204.52</c:v>
                      </c:pt>
                      <c:pt idx="4">
                        <c:v>72739.45</c:v>
                      </c:pt>
                      <c:pt idx="5">
                        <c:v>346764.46</c:v>
                      </c:pt>
                      <c:pt idx="6">
                        <c:v>47016.6</c:v>
                      </c:pt>
                      <c:pt idx="7">
                        <c:v>121255.13</c:v>
                      </c:pt>
                      <c:pt idx="8">
                        <c:v>563620.01</c:v>
                      </c:pt>
                      <c:pt idx="9">
                        <c:v>401957.86</c:v>
                      </c:pt>
                      <c:pt idx="10">
                        <c:v>299781.93</c:v>
                      </c:pt>
                      <c:pt idx="11">
                        <c:v>310411.77</c:v>
                      </c:pt>
                      <c:pt idx="12">
                        <c:v>7086.56</c:v>
                      </c:pt>
                      <c:pt idx="13">
                        <c:v>85651.98</c:v>
                      </c:pt>
                      <c:pt idx="14">
                        <c:v>313818.77</c:v>
                      </c:pt>
                      <c:pt idx="15">
                        <c:v>100029.52</c:v>
                      </c:pt>
                      <c:pt idx="16">
                        <c:v>439741.49</c:v>
                      </c:pt>
                      <c:pt idx="17">
                        <c:v>352897.06</c:v>
                      </c:pt>
                      <c:pt idx="18">
                        <c:v>202239.52</c:v>
                      </c:pt>
                      <c:pt idx="19">
                        <c:v>105412.58</c:v>
                      </c:pt>
                      <c:pt idx="20">
                        <c:v>39691.550000000003</c:v>
                      </c:pt>
                      <c:pt idx="21">
                        <c:v>123503.75</c:v>
                      </c:pt>
                      <c:pt idx="22">
                        <c:v>109569.12</c:v>
                      </c:pt>
                      <c:pt idx="23">
                        <c:v>229734.01</c:v>
                      </c:pt>
                      <c:pt idx="24">
                        <c:v>71717.350000000006</c:v>
                      </c:pt>
                      <c:pt idx="25">
                        <c:v>206464.2</c:v>
                      </c:pt>
                      <c:pt idx="26">
                        <c:v>413166.89</c:v>
                      </c:pt>
                      <c:pt idx="27">
                        <c:v>47732.07</c:v>
                      </c:pt>
                      <c:pt idx="28">
                        <c:v>1215038.4099999999</c:v>
                      </c:pt>
                      <c:pt idx="29">
                        <c:v>843232.5</c:v>
                      </c:pt>
                      <c:pt idx="30">
                        <c:v>245065.51</c:v>
                      </c:pt>
                      <c:pt idx="31">
                        <c:v>61632.63</c:v>
                      </c:pt>
                      <c:pt idx="32">
                        <c:v>32877.550000000003</c:v>
                      </c:pt>
                      <c:pt idx="33">
                        <c:v>81188.81</c:v>
                      </c:pt>
                      <c:pt idx="34">
                        <c:v>84152.9</c:v>
                      </c:pt>
                      <c:pt idx="35">
                        <c:v>188509.31</c:v>
                      </c:pt>
                      <c:pt idx="36">
                        <c:v>143570.98000000001</c:v>
                      </c:pt>
                      <c:pt idx="37">
                        <c:v>26370.18</c:v>
                      </c:pt>
                      <c:pt idx="38">
                        <c:v>177743.19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DE9-4B9A-A8C9-568B6DAFD9A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Combined'!$M$3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'Restoration ($) Combined'!$B$4:$C$42</c15:sqref>
                        </c15:formulaRef>
                      </c:ext>
                    </c:extLst>
                    <c:multiLvlStrCache>
                      <c:ptCount val="39"/>
                      <c:lvl>
                        <c:pt idx="0">
                          <c:v>Suisun</c:v>
                        </c:pt>
                        <c:pt idx="1">
                          <c:v>Bethel Island</c:v>
                        </c:pt>
                        <c:pt idx="2">
                          <c:v>Jersey Island</c:v>
                        </c:pt>
                        <c:pt idx="3">
                          <c:v>Webb Tract</c:v>
                        </c:pt>
                        <c:pt idx="4">
                          <c:v>Bradford Island</c:v>
                        </c:pt>
                        <c:pt idx="5">
                          <c:v>Sherman Island</c:v>
                        </c:pt>
                        <c:pt idx="6">
                          <c:v>Franks Tract</c:v>
                        </c:pt>
                        <c:pt idx="7">
                          <c:v>Twitchell Island</c:v>
                        </c:pt>
                        <c:pt idx="8">
                          <c:v>Grand Island</c:v>
                        </c:pt>
                        <c:pt idx="9">
                          <c:v>Ryer Island</c:v>
                        </c:pt>
                        <c:pt idx="10">
                          <c:v>Tyler Island</c:v>
                        </c:pt>
                        <c:pt idx="11">
                          <c:v>Staten Island</c:v>
                        </c:pt>
                        <c:pt idx="12">
                          <c:v>Dead Horse Island</c:v>
                        </c:pt>
                        <c:pt idx="13">
                          <c:v>Sutter Island</c:v>
                        </c:pt>
                        <c:pt idx="14">
                          <c:v>New Hope Tract</c:v>
                        </c:pt>
                        <c:pt idx="15">
                          <c:v>Canal Ranch Tract</c:v>
                        </c:pt>
                        <c:pt idx="16">
                          <c:v>Brannan Island</c:v>
                        </c:pt>
                        <c:pt idx="17">
                          <c:v>Terminous Tract</c:v>
                        </c:pt>
                        <c:pt idx="18">
                          <c:v>Bouldin Island</c:v>
                        </c:pt>
                        <c:pt idx="19">
                          <c:v>Venice Island</c:v>
                        </c:pt>
                        <c:pt idx="20">
                          <c:v>Medford Island</c:v>
                        </c:pt>
                        <c:pt idx="21">
                          <c:v>Empire Tract</c:v>
                        </c:pt>
                        <c:pt idx="22">
                          <c:v>King Island</c:v>
                        </c:pt>
                        <c:pt idx="23">
                          <c:v>Rindge Tract</c:v>
                        </c:pt>
                        <c:pt idx="24">
                          <c:v>Wright-Elmwood Tract</c:v>
                        </c:pt>
                        <c:pt idx="25">
                          <c:v>McDonald Tract</c:v>
                        </c:pt>
                        <c:pt idx="26">
                          <c:v>Jones Tract</c:v>
                        </c:pt>
                        <c:pt idx="27">
                          <c:v>Rough and Ready</c:v>
                        </c:pt>
                        <c:pt idx="28">
                          <c:v>Roberts Island</c:v>
                        </c:pt>
                        <c:pt idx="29">
                          <c:v>Union Island</c:v>
                        </c:pt>
                        <c:pt idx="30">
                          <c:v>Victoria Island</c:v>
                        </c:pt>
                        <c:pt idx="31">
                          <c:v>Woodward Island</c:v>
                        </c:pt>
                        <c:pt idx="32">
                          <c:v>Coney Island</c:v>
                        </c:pt>
                        <c:pt idx="33">
                          <c:v>Orowood Tract</c:v>
                        </c:pt>
                        <c:pt idx="34">
                          <c:v>Palm Tract</c:v>
                        </c:pt>
                        <c:pt idx="35">
                          <c:v>Bacon Island</c:v>
                        </c:pt>
                        <c:pt idx="36">
                          <c:v>Holland Tract</c:v>
                        </c:pt>
                        <c:pt idx="37">
                          <c:v>Quinby Island</c:v>
                        </c:pt>
                        <c:pt idx="38">
                          <c:v>Mandeville Island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Central Delta</c:v>
                        </c:pt>
                        <c:pt idx="8">
                          <c:v>North Delta</c:v>
                        </c:pt>
                        <c:pt idx="16">
                          <c:v>North-Central</c:v>
                        </c:pt>
                        <c:pt idx="17">
                          <c:v>North-South</c:v>
                        </c:pt>
                        <c:pt idx="18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Combined'!$M$4:$M$45</c15:sqref>
                        </c15:fullRef>
                        <c15:formulaRef>
                          <c15:sqref>'Restoration ($) Combined'!$M$4:$M$42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9"/>
                      <c:pt idx="0" formatCode="_(&quot;$&quot;* #,##0.00_);_(&quot;$&quot;* \(#,##0.00\);_(&quot;$&quot;* &quot;-&quot;??_);_(@_)">
                        <c:v>444289.5876578546</c:v>
                      </c:pt>
                      <c:pt idx="1">
                        <c:v>34132</c:v>
                      </c:pt>
                      <c:pt idx="2">
                        <c:v>36665.4</c:v>
                      </c:pt>
                      <c:pt idx="3">
                        <c:v>57621.599999999999</c:v>
                      </c:pt>
                      <c:pt idx="4">
                        <c:v>22631</c:v>
                      </c:pt>
                      <c:pt idx="5">
                        <c:v>107886.8</c:v>
                      </c:pt>
                      <c:pt idx="6">
                        <c:v>14628</c:v>
                      </c:pt>
                      <c:pt idx="7">
                        <c:v>37725.4</c:v>
                      </c:pt>
                      <c:pt idx="8">
                        <c:v>175355.8</c:v>
                      </c:pt>
                      <c:pt idx="9">
                        <c:v>125058.8</c:v>
                      </c:pt>
                      <c:pt idx="10">
                        <c:v>93269.4</c:v>
                      </c:pt>
                      <c:pt idx="11">
                        <c:v>96576.599999999991</c:v>
                      </c:pt>
                      <c:pt idx="12">
                        <c:v>2204.7999999999997</c:v>
                      </c:pt>
                      <c:pt idx="13">
                        <c:v>26648.399999999998</c:v>
                      </c:pt>
                      <c:pt idx="14">
                        <c:v>97636.599999999991</c:v>
                      </c:pt>
                      <c:pt idx="15">
                        <c:v>31121.599999999999</c:v>
                      </c:pt>
                      <c:pt idx="16">
                        <c:v>136814.19999999998</c:v>
                      </c:pt>
                      <c:pt idx="17">
                        <c:v>109794.8</c:v>
                      </c:pt>
                      <c:pt idx="18">
                        <c:v>62921.599999999999</c:v>
                      </c:pt>
                      <c:pt idx="19">
                        <c:v>32796.400000000001</c:v>
                      </c:pt>
                      <c:pt idx="20">
                        <c:v>12349</c:v>
                      </c:pt>
                      <c:pt idx="21">
                        <c:v>38425</c:v>
                      </c:pt>
                      <c:pt idx="22">
                        <c:v>34089.599999999999</c:v>
                      </c:pt>
                      <c:pt idx="23">
                        <c:v>71475.8</c:v>
                      </c:pt>
                      <c:pt idx="24">
                        <c:v>22313</c:v>
                      </c:pt>
                      <c:pt idx="25">
                        <c:v>64236</c:v>
                      </c:pt>
                      <c:pt idx="26">
                        <c:v>128546.2</c:v>
                      </c:pt>
                      <c:pt idx="27">
                        <c:v>14850.6</c:v>
                      </c:pt>
                      <c:pt idx="28">
                        <c:v>378027.8</c:v>
                      </c:pt>
                      <c:pt idx="29">
                        <c:v>262350</c:v>
                      </c:pt>
                      <c:pt idx="30">
                        <c:v>76245.8</c:v>
                      </c:pt>
                      <c:pt idx="31">
                        <c:v>19175.399999999998</c:v>
                      </c:pt>
                      <c:pt idx="32">
                        <c:v>10229</c:v>
                      </c:pt>
                      <c:pt idx="33">
                        <c:v>25259.8</c:v>
                      </c:pt>
                      <c:pt idx="34">
                        <c:v>26182</c:v>
                      </c:pt>
                      <c:pt idx="35">
                        <c:v>58649.799999999996</c:v>
                      </c:pt>
                      <c:pt idx="36">
                        <c:v>44668.4</c:v>
                      </c:pt>
                      <c:pt idx="37">
                        <c:v>8204.4</c:v>
                      </c:pt>
                      <c:pt idx="38">
                        <c:v>55300.2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DE9-4B9A-A8C9-568B6DAFD9A4}"/>
                  </c:ext>
                </c:extLst>
              </c15:ser>
            </c15:filteredBarSeries>
          </c:ext>
        </c:extLst>
      </c:barChart>
      <c:catAx>
        <c:axId val="8409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67279"/>
        <c:crosses val="autoZero"/>
        <c:auto val="1"/>
        <c:lblAlgn val="ctr"/>
        <c:lblOffset val="100"/>
        <c:noMultiLvlLbl val="0"/>
      </c:catAx>
      <c:valAx>
        <c:axId val="84096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Suisun Marsh and Uplands</a:t>
            </a:r>
            <a:r>
              <a:rPr lang="en-US" baseline="0"/>
              <a:t> Restoration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'Restoration ($) Combined'!$E$3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('Restoration ($) Combined'!$B$4:$C$4,'Restoration ($) Combined'!$B$43:$C$45)</c:f>
              <c:multiLvlStrCache>
                <c:ptCount val="4"/>
                <c:lvl>
                  <c:pt idx="0">
                    <c:v>Suisun</c:v>
                  </c:pt>
                  <c:pt idx="1">
                    <c:v>Meadows</c:v>
                  </c:pt>
                  <c:pt idx="2">
                    <c:v>Floodplain</c:v>
                  </c:pt>
                  <c:pt idx="3">
                    <c:v>Wetland</c:v>
                  </c:pt>
                </c:lvl>
                <c:lvl>
                  <c:pt idx="0">
                    <c:v>Suisun Marsh</c:v>
                  </c:pt>
                  <c:pt idx="1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Combined'!$E$4:$E$45</c15:sqref>
                  </c15:fullRef>
                </c:ext>
              </c:extLst>
              <c:f>('Restoration ($) Combined'!$E$4,'Restoration ($) Combined'!$E$43:$E$45)</c:f>
              <c:numCache>
                <c:formatCode>_([$$-409]* #,##0.00_);_([$$-409]* \(#,##0.00\);_([$$-409]* "-"??_);_(@_)</c:formatCode>
                <c:ptCount val="4"/>
                <c:pt idx="0" formatCode="_(&quot;$&quot;* #,##0.00_);_(&quot;$&quot;* \(#,##0.00\);_(&quot;$&quot;* &quot;-&quot;??_);_(@_)">
                  <c:v>11867980.825030332</c:v>
                </c:pt>
                <c:pt idx="1">
                  <c:v>98420391.649999991</c:v>
                </c:pt>
                <c:pt idx="2">
                  <c:v>85899781.799999997</c:v>
                </c:pt>
                <c:pt idx="3">
                  <c:v>58613182.599999994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F-44CF-9EB8-027A2EAFB1ED}"/>
            </c:ext>
          </c:extLst>
        </c:ser>
        <c:ser>
          <c:idx val="2"/>
          <c:order val="2"/>
          <c:tx>
            <c:strRef>
              <c:f>'Restoration ($) Combined'!$F$3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('Restoration ($) Combined'!$B$4:$C$4,'Restoration ($) Combined'!$B$43:$C$45)</c:f>
              <c:multiLvlStrCache>
                <c:ptCount val="4"/>
                <c:lvl>
                  <c:pt idx="0">
                    <c:v>Suisun</c:v>
                  </c:pt>
                  <c:pt idx="1">
                    <c:v>Meadows</c:v>
                  </c:pt>
                  <c:pt idx="2">
                    <c:v>Floodplain</c:v>
                  </c:pt>
                  <c:pt idx="3">
                    <c:v>Wetland</c:v>
                  </c:pt>
                </c:lvl>
                <c:lvl>
                  <c:pt idx="0">
                    <c:v>Suisun Marsh</c:v>
                  </c:pt>
                  <c:pt idx="1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Combined'!$F$4:$F$45</c15:sqref>
                  </c15:fullRef>
                </c:ext>
              </c:extLst>
              <c:f>('Restoration ($) Combined'!$F$4,'Restoration ($) Combined'!$F$43:$F$45)</c:f>
              <c:numCache>
                <c:formatCode>_([$$-409]* #,##0.00_);_([$$-409]* \(#,##0.00\);_([$$-409]* "-"??_);_(@_)</c:formatCode>
                <c:ptCount val="4"/>
                <c:pt idx="0" formatCode="_(&quot;$&quot;* #,##0.00_);_(&quot;$&quot;* \(#,##0.00\);_(&quot;$&quot;* &quot;-&quot;??_);_(@_)">
                  <c:v>15612587.594969271</c:v>
                </c:pt>
                <c:pt idx="1">
                  <c:v>129474171.59</c:v>
                </c:pt>
                <c:pt idx="2">
                  <c:v>113003036.28</c:v>
                </c:pt>
                <c:pt idx="3">
                  <c:v>77106919.960000008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DF-44CF-9EB8-027A2EAFB1ED}"/>
            </c:ext>
          </c:extLst>
        </c:ser>
        <c:ser>
          <c:idx val="4"/>
          <c:order val="4"/>
          <c:tx>
            <c:strRef>
              <c:f>'Restoration ($) Combined'!$H$3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('Restoration ($) Combined'!$B$4:$C$4,'Restoration ($) Combined'!$B$43:$C$45)</c:f>
              <c:multiLvlStrCache>
                <c:ptCount val="4"/>
                <c:lvl>
                  <c:pt idx="0">
                    <c:v>Suisun</c:v>
                  </c:pt>
                  <c:pt idx="1">
                    <c:v>Meadows</c:v>
                  </c:pt>
                  <c:pt idx="2">
                    <c:v>Floodplain</c:v>
                  </c:pt>
                  <c:pt idx="3">
                    <c:v>Wetland</c:v>
                  </c:pt>
                </c:lvl>
                <c:lvl>
                  <c:pt idx="0">
                    <c:v>Suisun Marsh</c:v>
                  </c:pt>
                  <c:pt idx="1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Combined'!$H$4:$H$45</c15:sqref>
                  </c15:fullRef>
                </c:ext>
              </c:extLst>
              <c:f>('Restoration ($) Combined'!$H$4,'Restoration ($) Combined'!$H$43:$H$45)</c:f>
              <c:numCache>
                <c:formatCode>_([$$-409]* #,##0.00_);_([$$-409]* \(#,##0.00\);_([$$-409]* "-"??_);_(@_)</c:formatCode>
                <c:ptCount val="4"/>
                <c:pt idx="0" formatCode="_(&quot;$&quot;* #,##0.00_);_(&quot;$&quot;* \(#,##0.00\);_(&quot;$&quot;* &quot;-&quot;??_);_(@_)">
                  <c:v>6790924.4332382651</c:v>
                </c:pt>
                <c:pt idx="1">
                  <c:v>56316693.82</c:v>
                </c:pt>
                <c:pt idx="2">
                  <c:v>49152331.440000005</c:v>
                </c:pt>
                <c:pt idx="3">
                  <c:v>33538788.080000002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DF-44CF-9EB8-027A2EAFB1ED}"/>
            </c:ext>
          </c:extLst>
        </c:ser>
        <c:ser>
          <c:idx val="6"/>
          <c:order val="6"/>
          <c:tx>
            <c:strRef>
              <c:f>'Restoration ($) Combined'!$J$3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Combined'!$B$4:$C$45</c15:sqref>
                  </c15:fullRef>
                </c:ext>
              </c:extLst>
              <c:f>('Restoration ($) Combined'!$B$4:$C$4,'Restoration ($) Combined'!$B$43:$C$45)</c:f>
              <c:multiLvlStrCache>
                <c:ptCount val="4"/>
                <c:lvl>
                  <c:pt idx="0">
                    <c:v>Suisun</c:v>
                  </c:pt>
                  <c:pt idx="1">
                    <c:v>Meadows</c:v>
                  </c:pt>
                  <c:pt idx="2">
                    <c:v>Floodplain</c:v>
                  </c:pt>
                  <c:pt idx="3">
                    <c:v>Wetland</c:v>
                  </c:pt>
                </c:lvl>
                <c:lvl>
                  <c:pt idx="0">
                    <c:v>Suisun Marsh</c:v>
                  </c:pt>
                  <c:pt idx="1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Combined'!$J$4:$J$45</c15:sqref>
                  </c15:fullRef>
                </c:ext>
              </c:extLst>
              <c:f>('Restoration ($) Combined'!$J$4,'Restoration ($) Combined'!$J$43:$J$45)</c:f>
              <c:numCache>
                <c:formatCode>_([$$-409]* #,##0.00_);_([$$-409]* \(#,##0.00\);_([$$-409]* "-"??_);_(@_)</c:formatCode>
                <c:ptCount val="4"/>
                <c:pt idx="0" formatCode="_(&quot;$&quot;* #,##0.00_);_(&quot;$&quot;* \(#,##0.00\);_(&quot;$&quot;* &quot;-&quot;??_);_(@_)">
                  <c:v>3903042.1134622097</c:v>
                </c:pt>
                <c:pt idx="1">
                  <c:v>32367673.920000002</c:v>
                </c:pt>
                <c:pt idx="2">
                  <c:v>28250000.640000001</c:v>
                </c:pt>
                <c:pt idx="3">
                  <c:v>19276212.48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DF-44CF-9EB8-027A2EAFB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59149135"/>
        <c:axId val="11591505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'Restoration ($) Combined'!$D$3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('Restoration ($) Combined'!$B$4:$C$4,'Restoration ($) Combined'!$B$43:$C$45)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Suisun</c:v>
                        </c:pt>
                        <c:pt idx="1">
                          <c:v>Meadows</c:v>
                        </c:pt>
                        <c:pt idx="2">
                          <c:v>Floodplain</c:v>
                        </c:pt>
                        <c:pt idx="3">
                          <c:v>Wetland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'Restoration ($) Combined'!$D$4:$D$45</c15:sqref>
                        </c15:fullRef>
                        <c15:formulaRef>
                          <c15:sqref>('Restoration ($) Combined'!$D$4,'Restoration ($) Combined'!$D$43:$D$45)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"/>
                      <c:pt idx="0" formatCode="_(&quot;$&quot;* #,##0.00_);_(&quot;$&quot;* \(#,##0.00\);_(&quot;$&quot;* &quot;-&quot;??_);_(@_)">
                        <c:v>14724008.419653563</c:v>
                      </c:pt>
                      <c:pt idx="1">
                        <c:v>122105242.39</c:v>
                      </c:pt>
                      <c:pt idx="2">
                        <c:v>106571549.88000001</c:v>
                      </c:pt>
                      <c:pt idx="3">
                        <c:v>72718435.160000011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DF-44CF-9EB8-027A2EAFB1E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Combined'!$G$3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('Restoration ($) Combined'!$B$4:$C$4,'Restoration ($) Combined'!$B$43:$C$45)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Suisun</c:v>
                        </c:pt>
                        <c:pt idx="1">
                          <c:v>Meadows</c:v>
                        </c:pt>
                        <c:pt idx="2">
                          <c:v>Floodplain</c:v>
                        </c:pt>
                        <c:pt idx="3">
                          <c:v>Wetland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Combined'!$G$4:$G$45</c15:sqref>
                        </c15:fullRef>
                        <c15:formulaRef>
                          <c15:sqref>('Restoration ($) Combined'!$G$4,'Restoration ($) Combined'!$G$43:$G$45)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"/>
                      <c:pt idx="0" formatCode="_(&quot;$&quot;* #,##0.00_);_(&quot;$&quot;* \(#,##0.00\);_(&quot;$&quot;* &quot;-&quot;??_);_(@_)">
                        <c:v>9138952.9898979831</c:v>
                      </c:pt>
                      <c:pt idx="1">
                        <c:v>75788741.640000001</c:v>
                      </c:pt>
                      <c:pt idx="2">
                        <c:v>66147230.879999995</c:v>
                      </c:pt>
                      <c:pt idx="3">
                        <c:v>45135152.159999996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DF-44CF-9EB8-027A2EAFB1E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Combined'!$I$3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('Restoration ($) Combined'!$B$4:$C$4,'Restoration ($) Combined'!$B$43:$C$45)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Suisun</c:v>
                        </c:pt>
                        <c:pt idx="1">
                          <c:v>Meadows</c:v>
                        </c:pt>
                        <c:pt idx="2">
                          <c:v>Floodplain</c:v>
                        </c:pt>
                        <c:pt idx="3">
                          <c:v>Wetland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Combined'!$I$4:$I$45</c15:sqref>
                        </c15:fullRef>
                        <c15:formulaRef>
                          <c15:sqref>('Restoration ($) Combined'!$I$4,'Restoration ($) Combined'!$I$43:$I$45)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"/>
                      <c:pt idx="0" formatCode="_(&quot;$&quot;* #,##0.00_);_(&quot;$&quot;* \(#,##0.00\);_(&quot;$&quot;* &quot;-&quot;??_);_(@_)">
                        <c:v>6378070.4296128051</c:v>
                      </c:pt>
                      <c:pt idx="1">
                        <c:v>52892922.469999999</c:v>
                      </c:pt>
                      <c:pt idx="2">
                        <c:v>46164117.239999995</c:v>
                      </c:pt>
                      <c:pt idx="3">
                        <c:v>31499798.679999996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ADF-44CF-9EB8-027A2EAFB1E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Combined'!$K$3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('Restoration ($) Combined'!$B$4:$C$4,'Restoration ($) Combined'!$B$43:$C$45)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Suisun</c:v>
                        </c:pt>
                        <c:pt idx="1">
                          <c:v>Meadows</c:v>
                        </c:pt>
                        <c:pt idx="2">
                          <c:v>Floodplain</c:v>
                        </c:pt>
                        <c:pt idx="3">
                          <c:v>Wetland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Combined'!$K$4:$K$45</c15:sqref>
                        </c15:fullRef>
                        <c15:formulaRef>
                          <c15:sqref>('Restoration ($) Combined'!$K$4,'Restoration ($) Combined'!$K$43:$K$45)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11842425.369999999</c:v>
                      </c:pt>
                      <c:pt idx="2">
                        <c:v>10335884.040000001</c:v>
                      </c:pt>
                      <c:pt idx="3">
                        <c:v>7052626.2800000003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DF-44CF-9EB8-027A2EAFB1E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Combined'!$L$3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('Restoration ($) Combined'!$B$4:$C$4,'Restoration ($) Combined'!$B$43:$C$45)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Suisun</c:v>
                        </c:pt>
                        <c:pt idx="1">
                          <c:v>Meadows</c:v>
                        </c:pt>
                        <c:pt idx="2">
                          <c:v>Floodplain</c:v>
                        </c:pt>
                        <c:pt idx="3">
                          <c:v>Wetland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Combined'!$L$4:$L$45</c15:sqref>
                        </c15:fullRef>
                        <c15:formulaRef>
                          <c15:sqref>('Restoration ($) Combined'!$L$4,'Restoration ($) Combined'!$L$43:$L$45)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"/>
                      <c:pt idx="0" formatCode="_(&quot;$&quot;* #,##0.00_);_(&quot;$&quot;* \(#,##0.00\);_(&quot;$&quot;* &quot;-&quot;??_);_(@_)">
                        <c:v>1428013.7973116138</c:v>
                      </c:pt>
                      <c:pt idx="1">
                        <c:v>11842425.369999999</c:v>
                      </c:pt>
                      <c:pt idx="2">
                        <c:v>10335884.040000001</c:v>
                      </c:pt>
                      <c:pt idx="3">
                        <c:v>7052626.2800000003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ADF-44CF-9EB8-027A2EAFB1ED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Combined'!$M$3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('Restoration ($) Combined'!$B$4:$C$4,'Restoration ($) Combined'!$B$43:$C$45)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Suisun</c:v>
                        </c:pt>
                        <c:pt idx="1">
                          <c:v>Meadows</c:v>
                        </c:pt>
                        <c:pt idx="2">
                          <c:v>Floodplain</c:v>
                        </c:pt>
                        <c:pt idx="3">
                          <c:v>Wetland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Combined'!$M$4:$M$45</c15:sqref>
                        </c15:fullRef>
                        <c15:formulaRef>
                          <c15:sqref>('Restoration ($) Combined'!$M$4,'Restoration ($) Combined'!$M$43:$M$45)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"/>
                      <c:pt idx="0" formatCode="_(&quot;$&quot;* #,##0.00_);_(&quot;$&quot;* \(#,##0.00\);_(&quot;$&quot;* &quot;-&quot;??_);_(@_)">
                        <c:v>444289.5876578546</c:v>
                      </c:pt>
                      <c:pt idx="1">
                        <c:v>3684464.6</c:v>
                      </c:pt>
                      <c:pt idx="2">
                        <c:v>3215743.1999999997</c:v>
                      </c:pt>
                      <c:pt idx="3">
                        <c:v>2194242.4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ADF-44CF-9EB8-027A2EAFB1ED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Combined'!$N$3</c15:sqref>
                        </c15:formulaRef>
                      </c:ext>
                    </c:extLst>
                    <c:strCache>
                      <c:ptCount val="1"/>
                      <c:pt idx="0">
                        <c:v>Sum of all ten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Combined'!$B$4:$C$45</c15:sqref>
                        </c15:fullRef>
                        <c15:formulaRef>
                          <c15:sqref>('Restoration ($) Combined'!$B$4:$C$4,'Restoration ($) Combined'!$B$43:$C$45)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Suisun</c:v>
                        </c:pt>
                        <c:pt idx="1">
                          <c:v>Meadows</c:v>
                        </c:pt>
                        <c:pt idx="2">
                          <c:v>Floodplain</c:v>
                        </c:pt>
                        <c:pt idx="3">
                          <c:v>Wetland</c:v>
                        </c:pt>
                      </c:lvl>
                      <c:lvl>
                        <c:pt idx="0">
                          <c:v>Suisun Marsh</c:v>
                        </c:pt>
                        <c:pt idx="1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Combined'!$N$4:$N$45</c15:sqref>
                        </c15:fullRef>
                        <c15:formulaRef>
                          <c15:sqref>('Restoration ($) Combined'!$N$4,'Restoration ($) Combined'!$N$43:$N$45)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"/>
                      <c:pt idx="0" formatCode="_(&quot;$&quot;* #,##0.00_);_(&quot;$&quot;* \(#,##0.00\);_(&quot;$&quot;* &quot;-&quot;??_);_(@_)">
                        <c:v>71715883.988145515</c:v>
                      </c:pt>
                      <c:pt idx="1">
                        <c:v>594735152.82000005</c:v>
                      </c:pt>
                      <c:pt idx="2">
                        <c:v>519075559.44</c:v>
                      </c:pt>
                      <c:pt idx="3">
                        <c:v>354187984.07999998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ADF-44CF-9EB8-027A2EAFB1ED}"/>
                  </c:ext>
                </c:extLst>
              </c15:ser>
            </c15:filteredBarSeries>
          </c:ext>
        </c:extLst>
      </c:barChart>
      <c:catAx>
        <c:axId val="115914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50575"/>
        <c:crosses val="autoZero"/>
        <c:auto val="1"/>
        <c:lblAlgn val="ctr"/>
        <c:lblOffset val="100"/>
        <c:noMultiLvlLbl val="0"/>
      </c:catAx>
      <c:valAx>
        <c:axId val="115915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4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ecosystem service benefits for Suisun Marsh restoration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'Restoration ($) Combined'!$E$3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'Restoration ($) Combined'!$B$4:$C$4</c:f>
              <c:strCache>
                <c:ptCount val="2"/>
                <c:pt idx="0">
                  <c:v>Suisun Marsh</c:v>
                </c:pt>
                <c:pt idx="1">
                  <c:v>Suisun</c:v>
                </c:pt>
              </c:strCache>
            </c:strRef>
          </c:cat>
          <c:val>
            <c:numRef>
              <c:f>'Restoration ($) Combined'!$E$4</c:f>
              <c:numCache>
                <c:formatCode>_("$"* #,##0.00_);_("$"* \(#,##0.00\);_("$"* "-"??_);_(@_)</c:formatCode>
                <c:ptCount val="1"/>
                <c:pt idx="0">
                  <c:v>11867980.825030332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9A-4B1B-90A9-E3E52161DD4C}"/>
            </c:ext>
          </c:extLst>
        </c:ser>
        <c:ser>
          <c:idx val="2"/>
          <c:order val="2"/>
          <c:tx>
            <c:strRef>
              <c:f>'Restoration ($) Combined'!$F$3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'Restoration ($) Combined'!$B$4:$C$4</c:f>
              <c:strCache>
                <c:ptCount val="2"/>
                <c:pt idx="0">
                  <c:v>Suisun Marsh</c:v>
                </c:pt>
                <c:pt idx="1">
                  <c:v>Suisun</c:v>
                </c:pt>
              </c:strCache>
            </c:strRef>
          </c:cat>
          <c:val>
            <c:numRef>
              <c:f>'Restoration ($) Combined'!$F$4</c:f>
              <c:numCache>
                <c:formatCode>_("$"* #,##0.00_);_("$"* \(#,##0.00\);_("$"* "-"??_);_(@_)</c:formatCode>
                <c:ptCount val="1"/>
                <c:pt idx="0">
                  <c:v>15612587.594969271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9A-4B1B-90A9-E3E52161DD4C}"/>
            </c:ext>
          </c:extLst>
        </c:ser>
        <c:ser>
          <c:idx val="4"/>
          <c:order val="4"/>
          <c:tx>
            <c:strRef>
              <c:f>'Restoration ($) Combined'!$H$3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'Restoration ($) Combined'!$B$4:$C$4</c:f>
              <c:strCache>
                <c:ptCount val="2"/>
                <c:pt idx="0">
                  <c:v>Suisun Marsh</c:v>
                </c:pt>
                <c:pt idx="1">
                  <c:v>Suisun</c:v>
                </c:pt>
              </c:strCache>
            </c:strRef>
          </c:cat>
          <c:val>
            <c:numRef>
              <c:f>'Restoration ($) Combined'!$H$4</c:f>
              <c:numCache>
                <c:formatCode>_("$"* #,##0.00_);_("$"* \(#,##0.00\);_("$"* "-"??_);_(@_)</c:formatCode>
                <c:ptCount val="1"/>
                <c:pt idx="0">
                  <c:v>6790924.4332382651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9A-4B1B-90A9-E3E52161DD4C}"/>
            </c:ext>
          </c:extLst>
        </c:ser>
        <c:ser>
          <c:idx val="6"/>
          <c:order val="6"/>
          <c:tx>
            <c:strRef>
              <c:f>'Restoration ($) Combined'!$J$3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'Restoration ($) Combined'!$B$4:$C$4</c:f>
              <c:strCache>
                <c:ptCount val="2"/>
                <c:pt idx="0">
                  <c:v>Suisun Marsh</c:v>
                </c:pt>
                <c:pt idx="1">
                  <c:v>Suisun</c:v>
                </c:pt>
              </c:strCache>
            </c:strRef>
          </c:cat>
          <c:val>
            <c:numRef>
              <c:f>'Restoration ($) Combined'!$J$4</c:f>
              <c:numCache>
                <c:formatCode>_("$"* #,##0.00_);_("$"* \(#,##0.00\);_("$"* "-"??_);_(@_)</c:formatCode>
                <c:ptCount val="1"/>
                <c:pt idx="0">
                  <c:v>3903042.1134622097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9A-4B1B-90A9-E3E52161D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543135"/>
        <c:axId val="8485402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'Restoration ($) Combined'!$D$3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'Restoration ($) Combined'!$B$4:$C$4</c15:sqref>
                        </c15:formulaRef>
                      </c:ext>
                    </c:extLst>
                    <c:strCache>
                      <c:ptCount val="2"/>
                      <c:pt idx="0">
                        <c:v>Suisun Marsh</c:v>
                      </c:pt>
                      <c:pt idx="1">
                        <c:v>Suisun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'Restoration ($) Combined'!$D$4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"/>
                      <c:pt idx="0">
                        <c:v>14724008.419653563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89A-4B1B-90A9-E3E52161DD4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Combined'!$G$3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Combined'!$B$4:$C$4</c15:sqref>
                        </c15:formulaRef>
                      </c:ext>
                    </c:extLst>
                    <c:strCache>
                      <c:ptCount val="2"/>
                      <c:pt idx="0">
                        <c:v>Suisun Marsh</c:v>
                      </c:pt>
                      <c:pt idx="1">
                        <c:v>Suisun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"/>
                      <c:pt idx="0">
                        <c:v>9138952.9898979831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89A-4B1B-90A9-E3E52161DD4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Combined'!$I$3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Combined'!$B$4:$C$4</c15:sqref>
                        </c15:formulaRef>
                      </c:ext>
                    </c:extLst>
                    <c:strCache>
                      <c:ptCount val="2"/>
                      <c:pt idx="0">
                        <c:v>Suisun Marsh</c:v>
                      </c:pt>
                      <c:pt idx="1">
                        <c:v>Suisun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"/>
                      <c:pt idx="0">
                        <c:v>6378070.4296128051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89A-4B1B-90A9-E3E52161DD4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Combined'!$K$3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Combined'!$B$4:$C$4</c15:sqref>
                        </c15:formulaRef>
                      </c:ext>
                    </c:extLst>
                    <c:strCache>
                      <c:ptCount val="2"/>
                      <c:pt idx="0">
                        <c:v>Suisun Marsh</c:v>
                      </c:pt>
                      <c:pt idx="1">
                        <c:v>Suisun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"/>
                      <c:pt idx="0">
                        <c:v>1428013.7973116138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89A-4B1B-90A9-E3E52161DD4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Combined'!$L$3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Combined'!$B$4:$C$4</c15:sqref>
                        </c15:formulaRef>
                      </c:ext>
                    </c:extLst>
                    <c:strCache>
                      <c:ptCount val="2"/>
                      <c:pt idx="0">
                        <c:v>Suisun Marsh</c:v>
                      </c:pt>
                      <c:pt idx="1">
                        <c:v>Suisun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"/>
                      <c:pt idx="0">
                        <c:v>1428013.7973116138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89A-4B1B-90A9-E3E52161DD4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Combined'!$M$3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Combined'!$B$4:$C$4</c15:sqref>
                        </c15:formulaRef>
                      </c:ext>
                    </c:extLst>
                    <c:strCache>
                      <c:ptCount val="2"/>
                      <c:pt idx="0">
                        <c:v>Suisun Marsh</c:v>
                      </c:pt>
                      <c:pt idx="1">
                        <c:v>Suisun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1"/>
                      <c:pt idx="0">
                        <c:v>444289.5876578546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89A-4B1B-90A9-E3E52161DD4C}"/>
                  </c:ext>
                </c:extLst>
              </c15:ser>
            </c15:filteredBarSeries>
          </c:ext>
        </c:extLst>
      </c:barChart>
      <c:catAx>
        <c:axId val="8485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40255"/>
        <c:crosses val="autoZero"/>
        <c:auto val="1"/>
        <c:lblAlgn val="ctr"/>
        <c:lblOffset val="100"/>
        <c:noMultiLvlLbl val="0"/>
      </c:catAx>
      <c:valAx>
        <c:axId val="848540255"/>
        <c:scaling>
          <c:orientation val="minMax"/>
          <c:max val="1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4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Upland lower</a:t>
            </a:r>
            <a:r>
              <a:rPr lang="en-US" baseline="0"/>
              <a:t> bound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'Restoration ($) Combined'!$E$93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'Restoration ($) Combined'!$B$131:$C$133</c:f>
              <c:multiLvlStrCache>
                <c:ptCount val="3"/>
                <c:lvl>
                  <c:pt idx="0">
                    <c:v>Meadows</c:v>
                  </c:pt>
                  <c:pt idx="1">
                    <c:v>Floodplain</c:v>
                  </c:pt>
                  <c:pt idx="2">
                    <c:v>Wetland</c:v>
                  </c:pt>
                </c:lvl>
                <c:lvl>
                  <c:pt idx="0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Combined'!$E$94:$E$133</c15:sqref>
                  </c15:fullRef>
                </c:ext>
              </c:extLst>
              <c:f>'Restoration ($) Combined'!$E$131:$E$133</c:f>
              <c:numCache>
                <c:formatCode>_([$$-409]* #,##0.00_);_([$$-409]* \(#,##0.00\);_([$$-409]* "-"??_);_(@_)</c:formatCode>
                <c:ptCount val="3"/>
                <c:pt idx="0">
                  <c:v>3280575.9</c:v>
                </c:pt>
                <c:pt idx="1">
                  <c:v>1800833.9999999998</c:v>
                </c:pt>
                <c:pt idx="2">
                  <c:v>13651510.949999999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E-4CFB-AFF8-86B25A1BBFD0}"/>
            </c:ext>
          </c:extLst>
        </c:ser>
        <c:ser>
          <c:idx val="2"/>
          <c:order val="2"/>
          <c:tx>
            <c:strRef>
              <c:f>'Restoration ($) Combined'!$F$93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'Restoration ($) Combined'!$B$131:$C$133</c:f>
              <c:multiLvlStrCache>
                <c:ptCount val="3"/>
                <c:lvl>
                  <c:pt idx="0">
                    <c:v>Meadows</c:v>
                  </c:pt>
                  <c:pt idx="1">
                    <c:v>Floodplain</c:v>
                  </c:pt>
                  <c:pt idx="2">
                    <c:v>Wetland</c:v>
                  </c:pt>
                </c:lvl>
                <c:lvl>
                  <c:pt idx="0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Combined'!$F$94:$F$133</c15:sqref>
                  </c15:fullRef>
                </c:ext>
              </c:extLst>
              <c:f>'Restoration ($) Combined'!$F$131:$F$133</c:f>
              <c:numCache>
                <c:formatCode>_([$$-409]* #,##0.00_);_([$$-409]* \(#,##0.00\);_([$$-409]* "-"??_);_(@_)</c:formatCode>
                <c:ptCount val="3"/>
                <c:pt idx="0">
                  <c:v>4315669.1399999997</c:v>
                </c:pt>
                <c:pt idx="1">
                  <c:v>2369036.4</c:v>
                </c:pt>
                <c:pt idx="2">
                  <c:v>17958860.370000001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2E-4CFB-AFF8-86B25A1BBFD0}"/>
            </c:ext>
          </c:extLst>
        </c:ser>
        <c:ser>
          <c:idx val="4"/>
          <c:order val="4"/>
          <c:tx>
            <c:strRef>
              <c:f>'Restoration ($) Combined'!$H$93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'Restoration ($) Combined'!$B$131:$C$133</c:f>
              <c:multiLvlStrCache>
                <c:ptCount val="3"/>
                <c:lvl>
                  <c:pt idx="0">
                    <c:v>Meadows</c:v>
                  </c:pt>
                  <c:pt idx="1">
                    <c:v>Floodplain</c:v>
                  </c:pt>
                  <c:pt idx="2">
                    <c:v>Wetland</c:v>
                  </c:pt>
                </c:lvl>
                <c:lvl>
                  <c:pt idx="0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Combined'!$H$94:$H$133</c15:sqref>
                  </c15:fullRef>
                </c:ext>
              </c:extLst>
              <c:f>'Restoration ($) Combined'!$H$131:$H$133</c:f>
              <c:numCache>
                <c:formatCode>_([$$-409]* #,##0.00_);_([$$-409]* \(#,##0.00\);_([$$-409]* "-"??_);_(@_)</c:formatCode>
                <c:ptCount val="3"/>
                <c:pt idx="0">
                  <c:v>1877163.7200000002</c:v>
                </c:pt>
                <c:pt idx="1">
                  <c:v>1030447.2000000001</c:v>
                </c:pt>
                <c:pt idx="2">
                  <c:v>7811470.2600000007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2E-4CFB-AFF8-86B25A1BBFD0}"/>
            </c:ext>
          </c:extLst>
        </c:ser>
        <c:ser>
          <c:idx val="6"/>
          <c:order val="6"/>
          <c:tx>
            <c:strRef>
              <c:f>'Restoration ($) Combined'!$J$93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'Restoration ($) Combined'!$B$94:$C$133</c15:sqref>
                  </c15:fullRef>
                </c:ext>
              </c:extLst>
              <c:f>'Restoration ($) Combined'!$B$131:$C$133</c:f>
              <c:multiLvlStrCache>
                <c:ptCount val="3"/>
                <c:lvl>
                  <c:pt idx="0">
                    <c:v>Meadows</c:v>
                  </c:pt>
                  <c:pt idx="1">
                    <c:v>Floodplain</c:v>
                  </c:pt>
                  <c:pt idx="2">
                    <c:v>Wetland</c:v>
                  </c:pt>
                </c:lvl>
                <c:lvl>
                  <c:pt idx="0">
                    <c:v>Upland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Combined'!$J$94:$J$133</c15:sqref>
                  </c15:fullRef>
                </c:ext>
              </c:extLst>
              <c:f>'Restoration ($) Combined'!$J$131:$J$133</c:f>
              <c:numCache>
                <c:formatCode>_([$$-409]* #,##0.00_);_([$$-409]* \(#,##0.00\);_([$$-409]* "-"??_);_(@_)</c:formatCode>
                <c:ptCount val="3"/>
                <c:pt idx="0">
                  <c:v>1078888.32</c:v>
                </c:pt>
                <c:pt idx="1">
                  <c:v>592243.20000000007</c:v>
                </c:pt>
                <c:pt idx="2">
                  <c:v>4489594.5600000005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2E-4CFB-AFF8-86B25A1BB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879103"/>
        <c:axId val="7888867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'Restoration ($) Combined'!$D$93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'Restoration ($) Combined'!$B$131:$C$133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Meadows</c:v>
                        </c:pt>
                        <c:pt idx="1">
                          <c:v>Floodplain</c:v>
                        </c:pt>
                        <c:pt idx="2">
                          <c:v>Wetland</c:v>
                        </c:pt>
                      </c:lvl>
                      <c:lvl>
                        <c:pt idx="0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'Restoration ($) Combined'!$D$94:$D$133</c15:sqref>
                        </c15:fullRef>
                        <c15:formulaRef>
                          <c15:sqref>'Restoration ($) Combined'!$D$131:$D$133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4070045.9400000004</c:v>
                      </c:pt>
                      <c:pt idx="1">
                        <c:v>2234204.4</c:v>
                      </c:pt>
                      <c:pt idx="2">
                        <c:v>16936744.77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F2E-4CFB-AFF8-86B25A1BBF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Combined'!$G$93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'Restoration ($) Combined'!$B$131:$C$133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Meadows</c:v>
                        </c:pt>
                        <c:pt idx="1">
                          <c:v>Floodplain</c:v>
                        </c:pt>
                        <c:pt idx="2">
                          <c:v>Wetland</c:v>
                        </c:pt>
                      </c:lvl>
                      <c:lvl>
                        <c:pt idx="0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Combined'!$G$94:$G$133</c15:sqref>
                        </c15:fullRef>
                        <c15:formulaRef>
                          <c15:sqref>'Restoration ($) Combined'!$G$131:$G$133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2526211.44</c:v>
                      </c:pt>
                      <c:pt idx="1">
                        <c:v>1386734.4</c:v>
                      </c:pt>
                      <c:pt idx="2">
                        <c:v>10512362.52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2E-4CFB-AFF8-86B25A1BBFD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Combined'!$I$93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'Restoration ($) Combined'!$B$131:$C$133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Meadows</c:v>
                        </c:pt>
                        <c:pt idx="1">
                          <c:v>Floodplain</c:v>
                        </c:pt>
                        <c:pt idx="2">
                          <c:v>Wetland</c:v>
                        </c:pt>
                      </c:lvl>
                      <c:lvl>
                        <c:pt idx="0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Combined'!$I$94:$I$133</c15:sqref>
                        </c15:fullRef>
                        <c15:formulaRef>
                          <c15:sqref>'Restoration ($) Combined'!$I$131:$I$133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1763041.6199999999</c:v>
                      </c:pt>
                      <c:pt idx="1">
                        <c:v>967801.2</c:v>
                      </c:pt>
                      <c:pt idx="2">
                        <c:v>7336572.209999999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2E-4CFB-AFF8-86B25A1BBFD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Combined'!$K$93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'Restoration ($) Combined'!$B$131:$C$133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Meadows</c:v>
                        </c:pt>
                        <c:pt idx="1">
                          <c:v>Floodplain</c:v>
                        </c:pt>
                        <c:pt idx="2">
                          <c:v>Wetland</c:v>
                        </c:pt>
                      </c:lvl>
                      <c:lvl>
                        <c:pt idx="0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Combined'!$K$94:$K$133</c15:sqref>
                        </c15:fullRef>
                        <c15:formulaRef>
                          <c15:sqref>'Restoration ($) Combined'!$K$131:$K$133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394735.02</c:v>
                      </c:pt>
                      <c:pt idx="1">
                        <c:v>216685.2</c:v>
                      </c:pt>
                      <c:pt idx="2">
                        <c:v>1642616.91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2E-4CFB-AFF8-86B25A1BBFD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Combined'!$L$93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'Restoration ($) Combined'!$B$131:$C$133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Meadows</c:v>
                        </c:pt>
                        <c:pt idx="1">
                          <c:v>Floodplain</c:v>
                        </c:pt>
                        <c:pt idx="2">
                          <c:v>Wetland</c:v>
                        </c:pt>
                      </c:lvl>
                      <c:lvl>
                        <c:pt idx="0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Combined'!$L$94:$L$133</c15:sqref>
                        </c15:fullRef>
                        <c15:formulaRef>
                          <c15:sqref>'Restoration ($) Combined'!$L$131:$L$133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394735.02</c:v>
                      </c:pt>
                      <c:pt idx="1">
                        <c:v>216685.2</c:v>
                      </c:pt>
                      <c:pt idx="2">
                        <c:v>1642616.91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F2E-4CFB-AFF8-86B25A1BBFD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Combined'!$M$93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'Restoration ($) Combined'!$B$131:$C$133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Meadows</c:v>
                        </c:pt>
                        <c:pt idx="1">
                          <c:v>Floodplain</c:v>
                        </c:pt>
                        <c:pt idx="2">
                          <c:v>Wetland</c:v>
                        </c:pt>
                      </c:lvl>
                      <c:lvl>
                        <c:pt idx="0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Combined'!$M$94:$M$133</c15:sqref>
                        </c15:fullRef>
                        <c15:formulaRef>
                          <c15:sqref>'Restoration ($) Combined'!$M$131:$M$133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122811.59999999999</c:v>
                      </c:pt>
                      <c:pt idx="1">
                        <c:v>67416</c:v>
                      </c:pt>
                      <c:pt idx="2">
                        <c:v>511057.8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F2E-4CFB-AFF8-86B25A1BBFD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'Restoration ($) Combined'!$N$93</c15:sqref>
                        </c15:formulaRef>
                      </c:ext>
                    </c:extLst>
                    <c:strCache>
                      <c:ptCount val="1"/>
                      <c:pt idx="0">
                        <c:v>Sum of all ten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Combined'!$B$94:$C$133</c15:sqref>
                        </c15:fullRef>
                        <c15:formulaRef>
                          <c15:sqref>'Restoration ($) Combined'!$B$131:$C$133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Meadows</c:v>
                        </c:pt>
                        <c:pt idx="1">
                          <c:v>Floodplain</c:v>
                        </c:pt>
                        <c:pt idx="2">
                          <c:v>Wetland</c:v>
                        </c:pt>
                      </c:lvl>
                      <c:lvl>
                        <c:pt idx="0">
                          <c:v>Upland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'Restoration ($) Combined'!$N$94:$N$133</c15:sqref>
                        </c15:fullRef>
                        <c15:formulaRef>
                          <c15:sqref>'Restoration ($) Combined'!$N$131:$N$133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"/>
                      <c:pt idx="0">
                        <c:v>19823877.719999999</c:v>
                      </c:pt>
                      <c:pt idx="1">
                        <c:v>10882087.199999999</c:v>
                      </c:pt>
                      <c:pt idx="2">
                        <c:v>82493407.260000005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F2E-4CFB-AFF8-86B25A1BBFD0}"/>
                  </c:ext>
                </c:extLst>
              </c15:ser>
            </c15:filteredBarSeries>
          </c:ext>
        </c:extLst>
      </c:barChart>
      <c:catAx>
        <c:axId val="7888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86783"/>
        <c:crosses val="autoZero"/>
        <c:auto val="1"/>
        <c:lblAlgn val="ctr"/>
        <c:lblOffset val="100"/>
        <c:noMultiLvlLbl val="0"/>
      </c:catAx>
      <c:valAx>
        <c:axId val="7888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7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742950</xdr:colOff>
      <xdr:row>54</xdr:row>
      <xdr:rowOff>104775</xdr:rowOff>
    </xdr:from>
    <xdr:to>
      <xdr:col>16</xdr:col>
      <xdr:colOff>552450</xdr:colOff>
      <xdr:row>77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55BCCD-E29D-2CFA-E775-21279309D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14286</xdr:colOff>
      <xdr:row>1</xdr:row>
      <xdr:rowOff>142874</xdr:rowOff>
    </xdr:from>
    <xdr:to>
      <xdr:col>36</xdr:col>
      <xdr:colOff>190499</xdr:colOff>
      <xdr:row>47</xdr:row>
      <xdr:rowOff>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638C6A1D-E6FA-1EF8-6015-5FE0921FA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28572</xdr:colOff>
      <xdr:row>48</xdr:row>
      <xdr:rowOff>133349</xdr:rowOff>
    </xdr:from>
    <xdr:to>
      <xdr:col>36</xdr:col>
      <xdr:colOff>171447</xdr:colOff>
      <xdr:row>91</xdr:row>
      <xdr:rowOff>114299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FB4DF2C-0D70-7BE2-71E0-DB29C16BA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</xdr:colOff>
      <xdr:row>92</xdr:row>
      <xdr:rowOff>28576</xdr:rowOff>
    </xdr:from>
    <xdr:to>
      <xdr:col>36</xdr:col>
      <xdr:colOff>133350</xdr:colOff>
      <xdr:row>133</xdr:row>
      <xdr:rowOff>123826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23BB4B3E-DE8E-A792-9466-AA682F6FD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144944</xdr:colOff>
      <xdr:row>103</xdr:row>
      <xdr:rowOff>11596</xdr:rowOff>
    </xdr:from>
    <xdr:to>
      <xdr:col>34</xdr:col>
      <xdr:colOff>538368</xdr:colOff>
      <xdr:row>132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0D9CA-0802-74B2-C525-52E3B65F3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530087</xdr:colOff>
      <xdr:row>58</xdr:row>
      <xdr:rowOff>82823</xdr:rowOff>
    </xdr:from>
    <xdr:to>
      <xdr:col>38</xdr:col>
      <xdr:colOff>339587</xdr:colOff>
      <xdr:row>87</xdr:row>
      <xdr:rowOff>115954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A0658-C1C1-1DA1-D18F-26938A9F6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107674</xdr:colOff>
      <xdr:row>6</xdr:row>
      <xdr:rowOff>16567</xdr:rowOff>
    </xdr:from>
    <xdr:to>
      <xdr:col>37</xdr:col>
      <xdr:colOff>99392</xdr:colOff>
      <xdr:row>35</xdr:row>
      <xdr:rowOff>140806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8B14DC-0FDE-C8DD-AA32-FAAF603B6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74545</xdr:colOff>
      <xdr:row>42</xdr:row>
      <xdr:rowOff>66261</xdr:rowOff>
    </xdr:from>
    <xdr:to>
      <xdr:col>34</xdr:col>
      <xdr:colOff>231914</xdr:colOff>
      <xdr:row>71</xdr:row>
      <xdr:rowOff>145773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49A354-817C-B698-B6DB-7BF89D001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289892</xdr:colOff>
      <xdr:row>17</xdr:row>
      <xdr:rowOff>11595</xdr:rowOff>
    </xdr:from>
    <xdr:to>
      <xdr:col>29</xdr:col>
      <xdr:colOff>571500</xdr:colOff>
      <xdr:row>33</xdr:row>
      <xdr:rowOff>104360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73C82A4-4BEF-EEE1-BA98-50CFF6C52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372718</xdr:colOff>
      <xdr:row>109</xdr:row>
      <xdr:rowOff>127553</xdr:rowOff>
    </xdr:from>
    <xdr:to>
      <xdr:col>26</xdr:col>
      <xdr:colOff>41413</xdr:colOff>
      <xdr:row>126</xdr:row>
      <xdr:rowOff>54666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046267-28BA-F7CC-B430-2FB46E2E7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DA5571-1DFE-4EB2-AE0A-6D02974BE5C7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78073e7-decb-41e1-bbe8-3487b6925d0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B140-B8E6-4B30-8F09-3219CEF7D589}">
  <dimension ref="A1:W36"/>
  <sheetViews>
    <sheetView workbookViewId="0">
      <selection activeCell="D18" sqref="D18"/>
    </sheetView>
  </sheetViews>
  <sheetFormatPr defaultRowHeight="12.75" x14ac:dyDescent="0.2"/>
  <cols>
    <col min="1" max="1" width="35.28515625" bestFit="1" customWidth="1"/>
    <col min="2" max="2" width="11" bestFit="1" customWidth="1"/>
    <col min="3" max="3" width="25.28515625" bestFit="1" customWidth="1"/>
    <col min="4" max="4" width="16.42578125" bestFit="1" customWidth="1"/>
    <col min="5" max="5" width="15.42578125" bestFit="1" customWidth="1"/>
    <col min="6" max="6" width="8.42578125" bestFit="1" customWidth="1"/>
    <col min="7" max="7" width="34.140625" bestFit="1" customWidth="1"/>
    <col min="8" max="8" width="2.85546875" customWidth="1"/>
    <col min="9" max="9" width="50.7109375" bestFit="1" customWidth="1"/>
    <col min="10" max="10" width="8.42578125" bestFit="1" customWidth="1"/>
    <col min="11" max="11" width="34.140625" bestFit="1" customWidth="1"/>
    <col min="12" max="12" width="2.85546875" customWidth="1"/>
    <col min="13" max="13" width="44.85546875" bestFit="1" customWidth="1"/>
    <col min="14" max="14" width="8.42578125" bestFit="1" customWidth="1"/>
    <col min="15" max="15" width="34.140625" bestFit="1" customWidth="1"/>
    <col min="16" max="16" width="2.85546875" customWidth="1"/>
    <col min="17" max="17" width="34.28515625" bestFit="1" customWidth="1"/>
    <col min="18" max="18" width="8.42578125" bestFit="1" customWidth="1"/>
    <col min="19" max="19" width="34.140625" bestFit="1" customWidth="1"/>
    <col min="20" max="20" width="2.85546875" customWidth="1"/>
    <col min="21" max="21" width="35.28515625" bestFit="1" customWidth="1"/>
    <col min="22" max="22" width="8.42578125" bestFit="1" customWidth="1"/>
    <col min="23" max="23" width="34.140625" bestFit="1" customWidth="1"/>
    <col min="24" max="24" width="2.85546875" customWidth="1"/>
  </cols>
  <sheetData>
    <row r="1" spans="1:16" ht="20.100000000000001" customHeight="1" x14ac:dyDescent="0.25">
      <c r="A1" s="73" t="s">
        <v>139</v>
      </c>
    </row>
    <row r="2" spans="1:16" ht="14.1" customHeight="1" thickBot="1" x14ac:dyDescent="0.3">
      <c r="A2" s="74" t="s">
        <v>140</v>
      </c>
      <c r="G2" s="211" t="s">
        <v>161</v>
      </c>
      <c r="H2" s="211"/>
      <c r="I2" s="211"/>
      <c r="J2" s="211"/>
      <c r="K2" s="211"/>
      <c r="L2" s="211"/>
      <c r="M2" s="211"/>
      <c r="N2" s="211"/>
      <c r="O2" s="211"/>
      <c r="P2" s="211"/>
    </row>
    <row r="3" spans="1:16" ht="27.95" customHeight="1" thickBot="1" x14ac:dyDescent="0.25">
      <c r="B3" s="84" t="s">
        <v>141</v>
      </c>
      <c r="C3" s="85" t="s">
        <v>142</v>
      </c>
      <c r="D3" s="85" t="s">
        <v>93</v>
      </c>
      <c r="E3" s="86" t="s">
        <v>121</v>
      </c>
      <c r="G3" s="211"/>
      <c r="H3" s="211"/>
      <c r="I3" s="211"/>
      <c r="J3" s="211"/>
      <c r="K3" s="211"/>
      <c r="L3" s="211"/>
      <c r="M3" s="211"/>
      <c r="N3" s="211"/>
      <c r="O3" s="211"/>
      <c r="P3" s="211"/>
    </row>
    <row r="4" spans="1:16" ht="14.1" customHeight="1" x14ac:dyDescent="0.2">
      <c r="A4" s="75" t="s">
        <v>143</v>
      </c>
      <c r="B4" s="81" t="s">
        <v>144</v>
      </c>
      <c r="C4" s="87">
        <f>IF($C14=0,IF(C14&gt;0,5,IF(C14&lt;0,-5,0)),MAX(-5,MIN(5,ROUND((C14-$C14)/$C14*100,0))))</f>
        <v>0</v>
      </c>
      <c r="D4" s="82">
        <f t="shared" ref="D4:E4" si="0">IF($C14=0,IF(D14&gt;0,5,IF(D14&lt;0,-5,0)),MAX(-5,MIN(5,ROUND((D14-$C14)/$C14*100,0))))</f>
        <v>5</v>
      </c>
      <c r="E4" s="83">
        <f t="shared" si="0"/>
        <v>-5</v>
      </c>
      <c r="G4" s="211"/>
      <c r="H4" s="211"/>
      <c r="I4" s="211"/>
      <c r="J4" s="211"/>
      <c r="K4" s="211"/>
      <c r="L4" s="211"/>
      <c r="M4" s="211"/>
      <c r="N4" s="211"/>
      <c r="O4" s="211"/>
      <c r="P4" s="211"/>
    </row>
    <row r="5" spans="1:16" ht="14.1" customHeight="1" x14ac:dyDescent="0.2">
      <c r="B5" s="76" t="s">
        <v>95</v>
      </c>
      <c r="C5" s="88">
        <f t="shared" ref="C5:E5" si="1">IF($C15=0,IF(C15&gt;0,5,IF(C15&lt;0,-5,0)),MAX(-5,MIN(5,ROUND((C15-$C15)/$C15*100,0))))</f>
        <v>0</v>
      </c>
      <c r="D5" s="72">
        <f t="shared" si="1"/>
        <v>0</v>
      </c>
      <c r="E5" s="77">
        <f t="shared" si="1"/>
        <v>0</v>
      </c>
      <c r="G5" s="211"/>
      <c r="H5" s="211"/>
      <c r="I5" s="211"/>
      <c r="J5" s="211"/>
      <c r="K5" s="211"/>
      <c r="L5" s="211"/>
      <c r="M5" s="211"/>
      <c r="N5" s="211"/>
      <c r="O5" s="211"/>
      <c r="P5" s="211"/>
    </row>
    <row r="6" spans="1:16" ht="14.1" customHeight="1" x14ac:dyDescent="0.2">
      <c r="B6" s="76" t="s">
        <v>99</v>
      </c>
      <c r="C6" s="88">
        <f t="shared" ref="C6:E6" si="2">IF($C16=0,IF(C16&gt;0,5,IF(C16&lt;0,-5,0)),MAX(-5,MIN(5,ROUND((C16-$C16)/$C16*100,0))))</f>
        <v>0</v>
      </c>
      <c r="D6" s="72">
        <f t="shared" si="2"/>
        <v>0</v>
      </c>
      <c r="E6" s="77">
        <f t="shared" si="2"/>
        <v>-5</v>
      </c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16" ht="14.1" customHeight="1" x14ac:dyDescent="0.2">
      <c r="B7" s="76" t="s">
        <v>101</v>
      </c>
      <c r="C7" s="88">
        <f t="shared" ref="C7:E7" si="3">IF($C17=0,IF(C17&gt;0,5,IF(C17&lt;0,-5,0)),MAX(-5,MIN(5,ROUND((C17-$C17)/$C17*100,0))))</f>
        <v>0</v>
      </c>
      <c r="D7" s="72">
        <f t="shared" si="3"/>
        <v>5</v>
      </c>
      <c r="E7" s="77">
        <f t="shared" si="3"/>
        <v>0</v>
      </c>
      <c r="G7" s="211"/>
      <c r="H7" s="211"/>
      <c r="I7" s="211"/>
      <c r="J7" s="211"/>
      <c r="K7" s="211"/>
      <c r="L7" s="211"/>
      <c r="M7" s="211"/>
      <c r="N7" s="211"/>
      <c r="O7" s="211"/>
      <c r="P7" s="211"/>
    </row>
    <row r="8" spans="1:16" ht="14.1" customHeight="1" x14ac:dyDescent="0.2">
      <c r="B8" s="76" t="s">
        <v>102</v>
      </c>
      <c r="C8" s="88">
        <f t="shared" ref="C8:E8" si="4">IF($C18=0,IF(C18&gt;0,5,IF(C18&lt;0,-5,0)),MAX(-5,MIN(5,ROUND((C18-$C18)/$C18*100,0))))</f>
        <v>0</v>
      </c>
      <c r="D8" s="72">
        <f t="shared" si="4"/>
        <v>5</v>
      </c>
      <c r="E8" s="77">
        <f t="shared" si="4"/>
        <v>-5</v>
      </c>
      <c r="G8" s="211"/>
      <c r="H8" s="211"/>
      <c r="I8" s="211"/>
      <c r="J8" s="211"/>
      <c r="K8" s="211"/>
      <c r="L8" s="211"/>
      <c r="M8" s="211"/>
      <c r="N8" s="211"/>
      <c r="O8" s="211"/>
      <c r="P8" s="211"/>
    </row>
    <row r="9" spans="1:16" ht="14.1" customHeight="1" thickBot="1" x14ac:dyDescent="0.25">
      <c r="B9" s="78" t="s">
        <v>109</v>
      </c>
      <c r="C9" s="89">
        <f t="shared" ref="C9:E9" si="5">IF($C19=0,IF(C19&gt;0,5,IF(C19&lt;0,-5,0)),MAX(-5,MIN(5,ROUND((C19-$C19)/$C19*100,0))))</f>
        <v>0</v>
      </c>
      <c r="D9" s="79">
        <f t="shared" si="5"/>
        <v>5</v>
      </c>
      <c r="E9" s="80">
        <f t="shared" si="5"/>
        <v>-5</v>
      </c>
      <c r="G9" s="211"/>
      <c r="H9" s="211"/>
      <c r="I9" s="211"/>
      <c r="J9" s="211"/>
      <c r="K9" s="211"/>
      <c r="L9" s="211"/>
      <c r="M9" s="211"/>
      <c r="N9" s="211"/>
      <c r="O9" s="211"/>
      <c r="P9" s="211"/>
    </row>
    <row r="10" spans="1:16" ht="14.1" customHeight="1" x14ac:dyDescent="0.2">
      <c r="G10" s="211"/>
      <c r="H10" s="211"/>
      <c r="I10" s="211"/>
      <c r="J10" s="211"/>
      <c r="K10" s="211"/>
      <c r="L10" s="211"/>
      <c r="M10" s="211"/>
      <c r="N10" s="211"/>
      <c r="O10" s="211"/>
      <c r="P10" s="211"/>
    </row>
    <row r="11" spans="1:16" ht="14.1" customHeight="1" thickBot="1" x14ac:dyDescent="0.25"/>
    <row r="12" spans="1:16" ht="14.1" customHeight="1" thickBot="1" x14ac:dyDescent="0.3">
      <c r="A12" s="74" t="s">
        <v>145</v>
      </c>
      <c r="B12" s="218" t="s">
        <v>174</v>
      </c>
      <c r="C12" s="219"/>
      <c r="D12" s="219"/>
      <c r="E12" s="220"/>
    </row>
    <row r="13" spans="1:16" ht="27.95" customHeight="1" x14ac:dyDescent="0.2">
      <c r="B13" s="92" t="s">
        <v>86</v>
      </c>
      <c r="C13" s="114" t="s">
        <v>142</v>
      </c>
      <c r="D13" s="115" t="s">
        <v>93</v>
      </c>
      <c r="E13" s="128" t="s">
        <v>121</v>
      </c>
    </row>
    <row r="14" spans="1:16" ht="14.1" customHeight="1" x14ac:dyDescent="0.2">
      <c r="B14" s="91" t="s">
        <v>144</v>
      </c>
      <c r="C14" s="108">
        <f>SUM(C15:C19)</f>
        <v>608339.11204319377</v>
      </c>
      <c r="D14" s="108">
        <f>SUM(D15:D19)</f>
        <v>1150076.1120431938</v>
      </c>
      <c r="E14" s="109">
        <f>SUM(E15:E19)</f>
        <v>165739.11204319383</v>
      </c>
    </row>
    <row r="15" spans="1:16" ht="14.1" customHeight="1" x14ac:dyDescent="0.2">
      <c r="B15" s="76" t="s">
        <v>95</v>
      </c>
      <c r="C15" s="110">
        <f>'Restoration ($) Combined'!Q51</f>
        <v>41914.112043193833</v>
      </c>
      <c r="D15" s="110">
        <f>'Restoration ($) Combined'!Q4</f>
        <v>41914.112043193833</v>
      </c>
      <c r="E15" s="111">
        <f>'Restoration ($) Combined'!Q94</f>
        <v>41914.112043193833</v>
      </c>
    </row>
    <row r="16" spans="1:16" ht="14.1" customHeight="1" x14ac:dyDescent="0.2">
      <c r="B16" s="76" t="s">
        <v>99</v>
      </c>
      <c r="C16" s="110">
        <f>SUM('Restoration ($) Combined'!Q52:Q58)+'Restoration ($) Combined'!Q67</f>
        <v>42274</v>
      </c>
      <c r="D16" s="110">
        <f>SUM('Restoration ($) Combined'!Q5:Q11)+'Restoration ($) Combined'!Q20</f>
        <v>42274</v>
      </c>
      <c r="E16" s="111">
        <f>SUM('Restoration ($) Combined'!Q95:Q101)+'Restoration ($) Combined'!Q110</f>
        <v>29367</v>
      </c>
    </row>
    <row r="17" spans="1:23" ht="14.1" customHeight="1" x14ac:dyDescent="0.2">
      <c r="B17" s="76" t="s">
        <v>101</v>
      </c>
      <c r="C17" s="110">
        <f>SUM('Restoration ($) Combined'!Q59:Q66)</f>
        <v>0</v>
      </c>
      <c r="D17" s="110">
        <f>SUM('Restoration ($) Combined'!Q12:Q19)</f>
        <v>61120</v>
      </c>
      <c r="E17" s="111">
        <f>SUM('Restoration ($) Combined'!Q102:Q109)</f>
        <v>0</v>
      </c>
    </row>
    <row r="18" spans="1:23" ht="14.1" customHeight="1" x14ac:dyDescent="0.2">
      <c r="B18" s="76" t="s">
        <v>102</v>
      </c>
      <c r="C18" s="110">
        <f>'Restoration ($) Combined'!Q68+SUM('Restoration ($) Combined'!Q69:Q89)</f>
        <v>62088</v>
      </c>
      <c r="D18" s="110">
        <f>'Restoration ($) Combined'!Q21+SUM('Restoration ($) Combined'!Q22:Q42)</f>
        <v>146801</v>
      </c>
      <c r="E18" s="111">
        <f>'Restoration ($) Combined'!Q111+SUM('Restoration ($) Combined'!Q112:Q130)</f>
        <v>28299</v>
      </c>
    </row>
    <row r="19" spans="1:23" ht="14.1" customHeight="1" thickBot="1" x14ac:dyDescent="0.25">
      <c r="B19" s="78" t="s">
        <v>109</v>
      </c>
      <c r="C19" s="112">
        <f>SUM('50% Restoration ($)'!D42:D44)</f>
        <v>462063</v>
      </c>
      <c r="D19" s="112">
        <f>SUM('Restoration ($) Combined'!Q43:Q45)</f>
        <v>857967</v>
      </c>
      <c r="E19" s="113">
        <f>SUM('Restoration ($) Combined'!Q131:Q133)</f>
        <v>66159</v>
      </c>
    </row>
    <row r="20" spans="1:23" ht="14.1" customHeight="1" x14ac:dyDescent="0.2"/>
    <row r="21" spans="1:23" ht="14.1" customHeight="1" thickBot="1" x14ac:dyDescent="0.25"/>
    <row r="22" spans="1:23" ht="14.1" customHeight="1" thickBot="1" x14ac:dyDescent="0.3">
      <c r="A22" s="215" t="s">
        <v>146</v>
      </c>
      <c r="B22" s="216"/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7"/>
    </row>
    <row r="23" spans="1:23" ht="14.1" customHeight="1" thickBot="1" x14ac:dyDescent="0.25">
      <c r="A23" s="212" t="s">
        <v>144</v>
      </c>
      <c r="B23" s="213"/>
      <c r="C23" s="214"/>
      <c r="D23" s="96"/>
      <c r="E23" s="212" t="s">
        <v>95</v>
      </c>
      <c r="F23" s="213"/>
      <c r="G23" s="214"/>
      <c r="H23" s="96"/>
      <c r="I23" s="212" t="s">
        <v>99</v>
      </c>
      <c r="J23" s="213"/>
      <c r="K23" s="214"/>
      <c r="L23" s="96"/>
      <c r="M23" s="212" t="s">
        <v>101</v>
      </c>
      <c r="N23" s="213"/>
      <c r="O23" s="214"/>
      <c r="P23" s="96"/>
      <c r="Q23" s="212" t="s">
        <v>102</v>
      </c>
      <c r="R23" s="213"/>
      <c r="S23" s="214"/>
      <c r="T23" s="96"/>
      <c r="U23" s="212" t="s">
        <v>109</v>
      </c>
      <c r="V23" s="213"/>
      <c r="W23" s="214"/>
    </row>
    <row r="24" spans="1:23" ht="14.1" customHeight="1" x14ac:dyDescent="0.2">
      <c r="A24" s="105" t="s">
        <v>147</v>
      </c>
      <c r="B24" s="106" t="s">
        <v>148</v>
      </c>
      <c r="C24" s="106" t="s">
        <v>149</v>
      </c>
      <c r="D24" s="97"/>
      <c r="E24" s="106" t="s">
        <v>147</v>
      </c>
      <c r="F24" s="106" t="s">
        <v>148</v>
      </c>
      <c r="G24" s="106" t="s">
        <v>149</v>
      </c>
      <c r="H24" s="97"/>
      <c r="I24" s="106" t="s">
        <v>147</v>
      </c>
      <c r="J24" s="106" t="s">
        <v>148</v>
      </c>
      <c r="K24" s="106" t="s">
        <v>149</v>
      </c>
      <c r="L24" s="97"/>
      <c r="M24" s="106" t="s">
        <v>147</v>
      </c>
      <c r="N24" s="106" t="s">
        <v>148</v>
      </c>
      <c r="O24" s="106" t="s">
        <v>149</v>
      </c>
      <c r="P24" s="97"/>
      <c r="Q24" s="106" t="s">
        <v>147</v>
      </c>
      <c r="R24" s="106" t="s">
        <v>148</v>
      </c>
      <c r="S24" s="106" t="s">
        <v>149</v>
      </c>
      <c r="T24" s="97"/>
      <c r="U24" s="106" t="s">
        <v>147</v>
      </c>
      <c r="V24" s="106" t="s">
        <v>148</v>
      </c>
      <c r="W24" s="107" t="s">
        <v>149</v>
      </c>
    </row>
    <row r="25" spans="1:23" ht="14.1" customHeight="1" x14ac:dyDescent="0.2">
      <c r="A25" s="99" t="str">
        <f t="shared" ref="A25:A35" si="6">_xlfn.TEXTJOIN(", ",TRUE,IF($C$4=B25,$C$3&amp;" ("&amp;TEXT($C$14,"#,##0")&amp;" ac)",""),IF($D$4=B25,$D$3,""),IF($E$4=B25,$E$3,""))</f>
        <v>100% Restoration</v>
      </c>
      <c r="B25" s="98">
        <v>5</v>
      </c>
      <c r="C25" s="97" t="s">
        <v>150</v>
      </c>
      <c r="D25" s="97"/>
      <c r="E25" s="97" t="str">
        <f t="shared" ref="E25:E35" si="7">_xlfn.TEXTJOIN(", ",TRUE,IF($C$5=F25,$C$3&amp;" ("&amp;TEXT($C$15,"#,##0")&amp;" ac)",""),IF($D$5=F25,$D$3,""),IF($E$5=F25,$E$3,""))</f>
        <v/>
      </c>
      <c r="F25" s="98">
        <v>5</v>
      </c>
      <c r="G25" s="97" t="s">
        <v>150</v>
      </c>
      <c r="H25" s="97"/>
      <c r="I25" s="97" t="str">
        <f t="shared" ref="I25:I35" si="8">_xlfn.TEXTJOIN(", ",TRUE,IF($C$6=J25,$C$3&amp;" ("&amp;TEXT($C$16,"#,##0")&amp;" ac)",""),IF($D$6=J25,$D$3,""),IF($E$6=J25,$E$3,""))</f>
        <v/>
      </c>
      <c r="J25" s="98">
        <v>5</v>
      </c>
      <c r="K25" s="97" t="s">
        <v>150</v>
      </c>
      <c r="L25" s="97"/>
      <c r="M25" s="97" t="str">
        <f t="shared" ref="M25:M35" si="9">_xlfn.TEXTJOIN(", ",TRUE,IF($C$7=N25,$C$3&amp;" ("&amp;TEXT($C$17,"#,##0")&amp;" ac)",""),IF($D$7=N25,$D$3,""),IF($E$7=N25,$E$3,""))</f>
        <v>100% Restoration</v>
      </c>
      <c r="N25" s="98">
        <v>5</v>
      </c>
      <c r="O25" s="97" t="s">
        <v>150</v>
      </c>
      <c r="P25" s="97"/>
      <c r="Q25" s="97" t="str">
        <f t="shared" ref="Q25:Q35" si="10">_xlfn.TEXTJOIN(", ",TRUE,IF($C$8=R25,$C$3&amp;" ("&amp;TEXT($C$18,"#,##0")&amp;" ac)",""),IF($D$8=R25,$D$3,""),IF($E$8=R25,$E$3,""))</f>
        <v>100% Restoration</v>
      </c>
      <c r="R25" s="98">
        <v>5</v>
      </c>
      <c r="S25" s="97" t="s">
        <v>150</v>
      </c>
      <c r="T25" s="97"/>
      <c r="U25" s="97" t="str">
        <f t="shared" ref="U25:U35" si="11">_xlfn.TEXTJOIN(", ",TRUE,IF($C$9=V25,$C$3&amp;" ("&amp;TEXT($C$19,"#,##0")&amp;" ac)",""),IF($D$9=V25,$D$3,""),IF($E$9=V25,$E$3,""))</f>
        <v>100% Restoration</v>
      </c>
      <c r="V25" s="98">
        <v>5</v>
      </c>
      <c r="W25" s="100" t="s">
        <v>150</v>
      </c>
    </row>
    <row r="26" spans="1:23" ht="14.1" customHeight="1" x14ac:dyDescent="0.2">
      <c r="A26" s="99" t="str">
        <f t="shared" si="6"/>
        <v/>
      </c>
      <c r="B26" s="98">
        <v>4</v>
      </c>
      <c r="C26" s="97" t="s">
        <v>151</v>
      </c>
      <c r="D26" s="97"/>
      <c r="E26" s="97" t="str">
        <f t="shared" si="7"/>
        <v/>
      </c>
      <c r="F26" s="98">
        <v>4</v>
      </c>
      <c r="G26" s="97" t="s">
        <v>151</v>
      </c>
      <c r="H26" s="97"/>
      <c r="I26" s="97" t="str">
        <f t="shared" si="8"/>
        <v/>
      </c>
      <c r="J26" s="98">
        <v>4</v>
      </c>
      <c r="K26" s="97" t="s">
        <v>151</v>
      </c>
      <c r="L26" s="97"/>
      <c r="M26" s="97" t="str">
        <f t="shared" si="9"/>
        <v/>
      </c>
      <c r="N26" s="98">
        <v>4</v>
      </c>
      <c r="O26" s="97" t="s">
        <v>151</v>
      </c>
      <c r="P26" s="97"/>
      <c r="Q26" s="97" t="str">
        <f t="shared" si="10"/>
        <v/>
      </c>
      <c r="R26" s="98">
        <v>4</v>
      </c>
      <c r="S26" s="97" t="s">
        <v>151</v>
      </c>
      <c r="T26" s="97"/>
      <c r="U26" s="97" t="str">
        <f t="shared" si="11"/>
        <v/>
      </c>
      <c r="V26" s="98">
        <v>4</v>
      </c>
      <c r="W26" s="100" t="s">
        <v>151</v>
      </c>
    </row>
    <row r="27" spans="1:23" ht="14.1" customHeight="1" x14ac:dyDescent="0.2">
      <c r="A27" s="99" t="str">
        <f t="shared" si="6"/>
        <v/>
      </c>
      <c r="B27" s="98">
        <v>3</v>
      </c>
      <c r="C27" s="97" t="s">
        <v>152</v>
      </c>
      <c r="D27" s="97"/>
      <c r="E27" s="97" t="str">
        <f t="shared" si="7"/>
        <v/>
      </c>
      <c r="F27" s="98">
        <v>3</v>
      </c>
      <c r="G27" s="97" t="s">
        <v>152</v>
      </c>
      <c r="H27" s="97"/>
      <c r="I27" s="97" t="str">
        <f t="shared" si="8"/>
        <v/>
      </c>
      <c r="J27" s="98">
        <v>3</v>
      </c>
      <c r="K27" s="97" t="s">
        <v>152</v>
      </c>
      <c r="L27" s="97"/>
      <c r="M27" s="97" t="str">
        <f t="shared" si="9"/>
        <v/>
      </c>
      <c r="N27" s="98">
        <v>3</v>
      </c>
      <c r="O27" s="97" t="s">
        <v>152</v>
      </c>
      <c r="P27" s="97"/>
      <c r="Q27" s="97" t="str">
        <f t="shared" si="10"/>
        <v/>
      </c>
      <c r="R27" s="98">
        <v>3</v>
      </c>
      <c r="S27" s="97" t="s">
        <v>152</v>
      </c>
      <c r="T27" s="97"/>
      <c r="U27" s="97" t="str">
        <f t="shared" si="11"/>
        <v/>
      </c>
      <c r="V27" s="98">
        <v>3</v>
      </c>
      <c r="W27" s="100" t="s">
        <v>152</v>
      </c>
    </row>
    <row r="28" spans="1:23" ht="14.1" customHeight="1" x14ac:dyDescent="0.2">
      <c r="A28" s="99" t="str">
        <f t="shared" si="6"/>
        <v/>
      </c>
      <c r="B28" s="98">
        <v>2</v>
      </c>
      <c r="C28" s="97" t="s">
        <v>153</v>
      </c>
      <c r="D28" s="97"/>
      <c r="E28" s="97" t="str">
        <f t="shared" si="7"/>
        <v/>
      </c>
      <c r="F28" s="98">
        <v>2</v>
      </c>
      <c r="G28" s="97" t="s">
        <v>153</v>
      </c>
      <c r="H28" s="97"/>
      <c r="I28" s="97" t="str">
        <f t="shared" si="8"/>
        <v/>
      </c>
      <c r="J28" s="98">
        <v>2</v>
      </c>
      <c r="K28" s="97" t="s">
        <v>153</v>
      </c>
      <c r="L28" s="97"/>
      <c r="M28" s="97" t="str">
        <f t="shared" si="9"/>
        <v/>
      </c>
      <c r="N28" s="98">
        <v>2</v>
      </c>
      <c r="O28" s="97" t="s">
        <v>153</v>
      </c>
      <c r="P28" s="97"/>
      <c r="Q28" s="97" t="str">
        <f t="shared" si="10"/>
        <v/>
      </c>
      <c r="R28" s="98">
        <v>2</v>
      </c>
      <c r="S28" s="97" t="s">
        <v>153</v>
      </c>
      <c r="T28" s="97"/>
      <c r="U28" s="97" t="str">
        <f t="shared" si="11"/>
        <v/>
      </c>
      <c r="V28" s="98">
        <v>2</v>
      </c>
      <c r="W28" s="100" t="s">
        <v>153</v>
      </c>
    </row>
    <row r="29" spans="1:23" ht="14.1" customHeight="1" x14ac:dyDescent="0.2">
      <c r="A29" s="99" t="str">
        <f t="shared" si="6"/>
        <v/>
      </c>
      <c r="B29" s="98">
        <v>1</v>
      </c>
      <c r="C29" s="97" t="s">
        <v>154</v>
      </c>
      <c r="D29" s="97"/>
      <c r="E29" s="97" t="str">
        <f t="shared" si="7"/>
        <v/>
      </c>
      <c r="F29" s="98">
        <v>1</v>
      </c>
      <c r="G29" s="97" t="s">
        <v>154</v>
      </c>
      <c r="H29" s="97"/>
      <c r="I29" s="97" t="str">
        <f t="shared" si="8"/>
        <v/>
      </c>
      <c r="J29" s="98">
        <v>1</v>
      </c>
      <c r="K29" s="97" t="s">
        <v>154</v>
      </c>
      <c r="L29" s="97"/>
      <c r="M29" s="97" t="str">
        <f t="shared" si="9"/>
        <v/>
      </c>
      <c r="N29" s="98">
        <v>1</v>
      </c>
      <c r="O29" s="97" t="s">
        <v>154</v>
      </c>
      <c r="P29" s="97"/>
      <c r="Q29" s="97" t="str">
        <f t="shared" si="10"/>
        <v/>
      </c>
      <c r="R29" s="98">
        <v>1</v>
      </c>
      <c r="S29" s="97" t="s">
        <v>154</v>
      </c>
      <c r="T29" s="97"/>
      <c r="U29" s="97" t="str">
        <f t="shared" si="11"/>
        <v/>
      </c>
      <c r="V29" s="98">
        <v>1</v>
      </c>
      <c r="W29" s="100" t="s">
        <v>154</v>
      </c>
    </row>
    <row r="30" spans="1:23" ht="14.1" customHeight="1" x14ac:dyDescent="0.2">
      <c r="A30" s="99" t="str">
        <f t="shared" si="6"/>
        <v>50% Restoration (Baseline) (608,339 ac)</v>
      </c>
      <c r="B30" s="98">
        <v>0</v>
      </c>
      <c r="C30" s="97" t="s">
        <v>155</v>
      </c>
      <c r="D30" s="97"/>
      <c r="E30" s="97" t="str">
        <f t="shared" si="7"/>
        <v>50% Restoration (Baseline) (41,914 ac), 100% Restoration, 25% Restoration</v>
      </c>
      <c r="F30" s="98">
        <v>0</v>
      </c>
      <c r="G30" s="97" t="s">
        <v>155</v>
      </c>
      <c r="H30" s="97"/>
      <c r="I30" s="97" t="str">
        <f t="shared" si="8"/>
        <v>50% Restoration (Baseline) (42,274 ac), 100% Restoration</v>
      </c>
      <c r="J30" s="98">
        <v>0</v>
      </c>
      <c r="K30" s="97" t="s">
        <v>155</v>
      </c>
      <c r="L30" s="97"/>
      <c r="M30" s="97" t="str">
        <f t="shared" si="9"/>
        <v>50% Restoration (Baseline) (0 ac), 25% Restoration</v>
      </c>
      <c r="N30" s="98">
        <v>0</v>
      </c>
      <c r="O30" s="97" t="s">
        <v>155</v>
      </c>
      <c r="P30" s="97"/>
      <c r="Q30" s="97" t="str">
        <f t="shared" si="10"/>
        <v>50% Restoration (Baseline) (62,088 ac)</v>
      </c>
      <c r="R30" s="98">
        <v>0</v>
      </c>
      <c r="S30" s="97" t="s">
        <v>155</v>
      </c>
      <c r="T30" s="97"/>
      <c r="U30" s="97" t="str">
        <f t="shared" si="11"/>
        <v>50% Restoration (Baseline) (462,063 ac)</v>
      </c>
      <c r="V30" s="98">
        <v>0</v>
      </c>
      <c r="W30" s="100" t="s">
        <v>155</v>
      </c>
    </row>
    <row r="31" spans="1:23" ht="14.1" customHeight="1" x14ac:dyDescent="0.2">
      <c r="A31" s="99" t="str">
        <f t="shared" si="6"/>
        <v/>
      </c>
      <c r="B31" s="98">
        <v>-1</v>
      </c>
      <c r="C31" s="97" t="s">
        <v>156</v>
      </c>
      <c r="D31" s="97"/>
      <c r="E31" s="97" t="str">
        <f t="shared" si="7"/>
        <v/>
      </c>
      <c r="F31" s="98">
        <v>-1</v>
      </c>
      <c r="G31" s="97" t="s">
        <v>156</v>
      </c>
      <c r="H31" s="97"/>
      <c r="I31" s="97" t="str">
        <f t="shared" si="8"/>
        <v/>
      </c>
      <c r="J31" s="98">
        <v>-1</v>
      </c>
      <c r="K31" s="97" t="s">
        <v>156</v>
      </c>
      <c r="L31" s="97"/>
      <c r="M31" s="97" t="str">
        <f t="shared" si="9"/>
        <v/>
      </c>
      <c r="N31" s="98">
        <v>-1</v>
      </c>
      <c r="O31" s="97" t="s">
        <v>156</v>
      </c>
      <c r="P31" s="97"/>
      <c r="Q31" s="97" t="str">
        <f t="shared" si="10"/>
        <v/>
      </c>
      <c r="R31" s="98">
        <v>-1</v>
      </c>
      <c r="S31" s="97" t="s">
        <v>156</v>
      </c>
      <c r="T31" s="97"/>
      <c r="U31" s="97" t="str">
        <f t="shared" si="11"/>
        <v/>
      </c>
      <c r="V31" s="98">
        <v>-1</v>
      </c>
      <c r="W31" s="100" t="s">
        <v>156</v>
      </c>
    </row>
    <row r="32" spans="1:23" ht="14.1" customHeight="1" x14ac:dyDescent="0.2">
      <c r="A32" s="99" t="str">
        <f t="shared" si="6"/>
        <v/>
      </c>
      <c r="B32" s="98">
        <v>-2</v>
      </c>
      <c r="C32" s="97" t="s">
        <v>157</v>
      </c>
      <c r="D32" s="97"/>
      <c r="E32" s="97" t="str">
        <f t="shared" si="7"/>
        <v/>
      </c>
      <c r="F32" s="98">
        <v>-2</v>
      </c>
      <c r="G32" s="97" t="s">
        <v>157</v>
      </c>
      <c r="H32" s="97"/>
      <c r="I32" s="97" t="str">
        <f t="shared" si="8"/>
        <v/>
      </c>
      <c r="J32" s="98">
        <v>-2</v>
      </c>
      <c r="K32" s="97" t="s">
        <v>157</v>
      </c>
      <c r="L32" s="97"/>
      <c r="M32" s="97" t="str">
        <f t="shared" si="9"/>
        <v/>
      </c>
      <c r="N32" s="98">
        <v>-2</v>
      </c>
      <c r="O32" s="97" t="s">
        <v>157</v>
      </c>
      <c r="P32" s="97"/>
      <c r="Q32" s="97" t="str">
        <f t="shared" si="10"/>
        <v/>
      </c>
      <c r="R32" s="98">
        <v>-2</v>
      </c>
      <c r="S32" s="97" t="s">
        <v>157</v>
      </c>
      <c r="T32" s="97"/>
      <c r="U32" s="97" t="str">
        <f t="shared" si="11"/>
        <v/>
      </c>
      <c r="V32" s="98">
        <v>-2</v>
      </c>
      <c r="W32" s="100" t="s">
        <v>157</v>
      </c>
    </row>
    <row r="33" spans="1:23" ht="14.1" customHeight="1" x14ac:dyDescent="0.2">
      <c r="A33" s="99" t="str">
        <f t="shared" si="6"/>
        <v/>
      </c>
      <c r="B33" s="98">
        <v>-3</v>
      </c>
      <c r="C33" s="97" t="s">
        <v>158</v>
      </c>
      <c r="D33" s="97"/>
      <c r="E33" s="97" t="str">
        <f t="shared" si="7"/>
        <v/>
      </c>
      <c r="F33" s="98">
        <v>-3</v>
      </c>
      <c r="G33" s="97" t="s">
        <v>158</v>
      </c>
      <c r="H33" s="97"/>
      <c r="I33" s="97" t="str">
        <f t="shared" si="8"/>
        <v/>
      </c>
      <c r="J33" s="98">
        <v>-3</v>
      </c>
      <c r="K33" s="97" t="s">
        <v>158</v>
      </c>
      <c r="L33" s="97"/>
      <c r="M33" s="97" t="str">
        <f t="shared" si="9"/>
        <v/>
      </c>
      <c r="N33" s="98">
        <v>-3</v>
      </c>
      <c r="O33" s="97" t="s">
        <v>158</v>
      </c>
      <c r="P33" s="97"/>
      <c r="Q33" s="97" t="str">
        <f t="shared" si="10"/>
        <v/>
      </c>
      <c r="R33" s="98">
        <v>-3</v>
      </c>
      <c r="S33" s="97" t="s">
        <v>158</v>
      </c>
      <c r="T33" s="97"/>
      <c r="U33" s="97" t="str">
        <f t="shared" si="11"/>
        <v/>
      </c>
      <c r="V33" s="98">
        <v>-3</v>
      </c>
      <c r="W33" s="100" t="s">
        <v>158</v>
      </c>
    </row>
    <row r="34" spans="1:23" ht="14.1" customHeight="1" x14ac:dyDescent="0.2">
      <c r="A34" s="99" t="str">
        <f t="shared" si="6"/>
        <v/>
      </c>
      <c r="B34" s="98">
        <v>-4</v>
      </c>
      <c r="C34" s="97" t="s">
        <v>159</v>
      </c>
      <c r="D34" s="97"/>
      <c r="E34" s="97" t="str">
        <f t="shared" si="7"/>
        <v/>
      </c>
      <c r="F34" s="98">
        <v>-4</v>
      </c>
      <c r="G34" s="97" t="s">
        <v>159</v>
      </c>
      <c r="H34" s="97"/>
      <c r="I34" s="97" t="str">
        <f t="shared" si="8"/>
        <v/>
      </c>
      <c r="J34" s="98">
        <v>-4</v>
      </c>
      <c r="K34" s="97" t="s">
        <v>159</v>
      </c>
      <c r="L34" s="97"/>
      <c r="M34" s="97" t="str">
        <f t="shared" si="9"/>
        <v/>
      </c>
      <c r="N34" s="98">
        <v>-4</v>
      </c>
      <c r="O34" s="97" t="s">
        <v>159</v>
      </c>
      <c r="P34" s="97"/>
      <c r="Q34" s="97" t="str">
        <f t="shared" si="10"/>
        <v/>
      </c>
      <c r="R34" s="98">
        <v>-4</v>
      </c>
      <c r="S34" s="97" t="s">
        <v>159</v>
      </c>
      <c r="T34" s="97"/>
      <c r="U34" s="97" t="str">
        <f t="shared" si="11"/>
        <v/>
      </c>
      <c r="V34" s="98">
        <v>-4</v>
      </c>
      <c r="W34" s="100" t="s">
        <v>159</v>
      </c>
    </row>
    <row r="35" spans="1:23" ht="14.1" customHeight="1" thickBot="1" x14ac:dyDescent="0.25">
      <c r="A35" s="101" t="str">
        <f t="shared" si="6"/>
        <v>25% Restoration</v>
      </c>
      <c r="B35" s="102">
        <v>-5</v>
      </c>
      <c r="C35" s="103" t="s">
        <v>160</v>
      </c>
      <c r="D35" s="103"/>
      <c r="E35" s="103" t="str">
        <f t="shared" si="7"/>
        <v/>
      </c>
      <c r="F35" s="102">
        <v>-5</v>
      </c>
      <c r="G35" s="103" t="s">
        <v>160</v>
      </c>
      <c r="H35" s="103"/>
      <c r="I35" s="103" t="str">
        <f t="shared" si="8"/>
        <v>25% Restoration</v>
      </c>
      <c r="J35" s="102">
        <v>-5</v>
      </c>
      <c r="K35" s="103" t="s">
        <v>160</v>
      </c>
      <c r="L35" s="103"/>
      <c r="M35" s="103" t="str">
        <f t="shared" si="9"/>
        <v/>
      </c>
      <c r="N35" s="102">
        <v>-5</v>
      </c>
      <c r="O35" s="103" t="s">
        <v>160</v>
      </c>
      <c r="P35" s="103"/>
      <c r="Q35" s="103" t="str">
        <f t="shared" si="10"/>
        <v>25% Restoration</v>
      </c>
      <c r="R35" s="102">
        <v>-5</v>
      </c>
      <c r="S35" s="103" t="s">
        <v>160</v>
      </c>
      <c r="T35" s="103"/>
      <c r="U35" s="103" t="str">
        <f t="shared" si="11"/>
        <v>25% Restoration</v>
      </c>
      <c r="V35" s="102">
        <v>-5</v>
      </c>
      <c r="W35" s="104" t="s">
        <v>160</v>
      </c>
    </row>
    <row r="36" spans="1:23" ht="14.1" customHeight="1" x14ac:dyDescent="0.2"/>
  </sheetData>
  <mergeCells count="9">
    <mergeCell ref="Q23:S23"/>
    <mergeCell ref="U23:W23"/>
    <mergeCell ref="A22:W22"/>
    <mergeCell ref="G2:P10"/>
    <mergeCell ref="B12:E12"/>
    <mergeCell ref="A23:C23"/>
    <mergeCell ref="E23:G23"/>
    <mergeCell ref="I23:K23"/>
    <mergeCell ref="M23:O23"/>
  </mergeCells>
  <conditionalFormatting sqref="C14:E19">
    <cfRule type="top10" dxfId="33" priority="1" percent="1" rank="2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45A8-178D-4B22-BF37-AA91DD36525A}">
  <dimension ref="B1:X127"/>
  <sheetViews>
    <sheetView topLeftCell="G1" workbookViewId="0">
      <selection activeCell="O12" sqref="O12"/>
    </sheetView>
  </sheetViews>
  <sheetFormatPr defaultRowHeight="12.75" x14ac:dyDescent="0.2"/>
  <cols>
    <col min="2" max="2" width="31.42578125" customWidth="1"/>
    <col min="3" max="3" width="10.140625" bestFit="1" customWidth="1"/>
    <col min="4" max="4" width="25.28515625" bestFit="1" customWidth="1"/>
    <col min="5" max="5" width="16.42578125" bestFit="1" customWidth="1"/>
    <col min="6" max="6" width="15.42578125" bestFit="1" customWidth="1"/>
    <col min="7" max="7" width="15.28515625" customWidth="1"/>
    <col min="8" max="8" width="38.140625" customWidth="1"/>
    <col min="9" max="9" width="2.85546875" customWidth="1"/>
    <col min="10" max="10" width="65.7109375" customWidth="1"/>
    <col min="11" max="11" width="9.5703125" customWidth="1"/>
    <col min="12" max="12" width="38.140625" customWidth="1"/>
    <col min="13" max="13" width="22.85546875" customWidth="1"/>
    <col min="14" max="18" width="17.140625" customWidth="1"/>
    <col min="19" max="19" width="9.5703125" customWidth="1"/>
    <col min="20" max="20" width="38.140625" customWidth="1"/>
    <col min="21" max="21" width="2.85546875" customWidth="1"/>
    <col min="22" max="22" width="65.7109375" customWidth="1"/>
    <col min="23" max="23" width="9.5703125" customWidth="1"/>
    <col min="24" max="24" width="38.140625" customWidth="1"/>
    <col min="25" max="25" width="2.85546875" customWidth="1"/>
  </cols>
  <sheetData>
    <row r="1" spans="2:18" ht="20.100000000000001" customHeight="1" thickBot="1" x14ac:dyDescent="0.3">
      <c r="B1" s="73"/>
    </row>
    <row r="2" spans="2:18" ht="14.1" customHeight="1" thickBot="1" x14ac:dyDescent="0.3">
      <c r="B2" s="162"/>
      <c r="C2" s="205" t="s">
        <v>162</v>
      </c>
      <c r="D2" s="206"/>
      <c r="E2" s="206"/>
      <c r="F2" s="206"/>
      <c r="G2" s="207"/>
      <c r="H2" s="268" t="s">
        <v>195</v>
      </c>
      <c r="I2" s="269"/>
      <c r="J2" s="269"/>
      <c r="K2" s="270"/>
      <c r="L2" s="244"/>
      <c r="M2" s="244"/>
      <c r="N2" s="244"/>
      <c r="O2" s="244"/>
      <c r="P2" s="244"/>
      <c r="Q2" s="244"/>
      <c r="R2" s="244"/>
    </row>
    <row r="3" spans="2:18" ht="27.95" customHeight="1" x14ac:dyDescent="0.25">
      <c r="B3" s="163"/>
      <c r="C3" s="165" t="s">
        <v>141</v>
      </c>
      <c r="D3" s="166" t="s">
        <v>121</v>
      </c>
      <c r="E3" s="167" t="s">
        <v>120</v>
      </c>
      <c r="F3" s="168" t="s">
        <v>93</v>
      </c>
      <c r="G3" s="169" t="s">
        <v>185</v>
      </c>
      <c r="H3" s="266"/>
      <c r="I3" s="267"/>
      <c r="J3" s="267"/>
      <c r="K3" s="271"/>
      <c r="L3" s="244"/>
      <c r="M3" s="245" t="s">
        <v>197</v>
      </c>
    </row>
    <row r="4" spans="2:18" ht="14.1" customHeight="1" x14ac:dyDescent="0.2">
      <c r="B4" s="203" t="s">
        <v>164</v>
      </c>
      <c r="C4" s="94" t="s">
        <v>144</v>
      </c>
      <c r="D4" s="88">
        <f t="shared" ref="D4:D9" si="0">IF($G35=0,IF(F35&gt;0,5,IF(F35&lt;0,-5,0)),MAX(-5,MIN(5,ROUND((F35-$G35)/$G35*100,0))))</f>
        <v>5</v>
      </c>
      <c r="E4" s="88">
        <f t="shared" ref="E4:F9" si="1">IF($G35=0,IF(D35&gt;0,5,IF(D35&lt;0,-5,0)),MAX(-5,MIN(5,ROUND((D35-$G35)/$G35*100,0))))</f>
        <v>5</v>
      </c>
      <c r="F4" s="88">
        <f t="shared" si="1"/>
        <v>5</v>
      </c>
      <c r="G4" s="171">
        <f t="shared" ref="G4:G9" si="2">IF($G35=0,IF(G35&gt;0,5,IF(G35&lt;0,-5,0)),MAX(-5,MIN(5,ROUND((G35-$G35)/$G35*100,0))))</f>
        <v>0</v>
      </c>
      <c r="H4" s="266"/>
      <c r="I4" s="267"/>
      <c r="J4" s="267"/>
      <c r="K4" s="271"/>
      <c r="L4" s="244"/>
      <c r="M4" s="264" t="s">
        <v>198</v>
      </c>
      <c r="N4" s="264"/>
      <c r="O4" s="264"/>
      <c r="P4" s="264"/>
      <c r="Q4" s="264"/>
      <c r="R4" s="264"/>
    </row>
    <row r="5" spans="2:18" ht="33" customHeight="1" x14ac:dyDescent="0.2">
      <c r="B5" s="203"/>
      <c r="C5" s="94" t="s">
        <v>95</v>
      </c>
      <c r="D5" s="88">
        <f t="shared" si="0"/>
        <v>5</v>
      </c>
      <c r="E5" s="88">
        <f t="shared" si="1"/>
        <v>5</v>
      </c>
      <c r="F5" s="88">
        <f t="shared" si="1"/>
        <v>5</v>
      </c>
      <c r="G5" s="171">
        <f t="shared" si="2"/>
        <v>0</v>
      </c>
      <c r="H5" s="266"/>
      <c r="I5" s="267"/>
      <c r="J5" s="267"/>
      <c r="K5" s="271"/>
      <c r="L5" s="244"/>
      <c r="M5" s="265"/>
      <c r="N5" s="265"/>
      <c r="O5" s="265"/>
      <c r="P5" s="265"/>
      <c r="Q5" s="265"/>
      <c r="R5" s="265"/>
    </row>
    <row r="6" spans="2:18" ht="14.1" customHeight="1" x14ac:dyDescent="0.2">
      <c r="B6" s="203"/>
      <c r="C6" s="94" t="s">
        <v>99</v>
      </c>
      <c r="D6" s="88">
        <f t="shared" si="0"/>
        <v>5</v>
      </c>
      <c r="E6" s="88">
        <f t="shared" si="1"/>
        <v>5</v>
      </c>
      <c r="F6" s="88">
        <f t="shared" si="1"/>
        <v>5</v>
      </c>
      <c r="G6" s="171">
        <f t="shared" si="2"/>
        <v>0</v>
      </c>
      <c r="H6" s="266"/>
      <c r="I6" s="267"/>
      <c r="J6" s="267"/>
      <c r="K6" s="271"/>
      <c r="L6" s="244"/>
      <c r="M6" s="251" t="s">
        <v>199</v>
      </c>
      <c r="N6" s="251" t="s">
        <v>200</v>
      </c>
      <c r="O6" s="251" t="s">
        <v>121</v>
      </c>
      <c r="P6" s="251" t="s">
        <v>120</v>
      </c>
      <c r="Q6" s="251" t="s">
        <v>93</v>
      </c>
      <c r="R6" s="251" t="s">
        <v>185</v>
      </c>
    </row>
    <row r="7" spans="2:18" ht="14.1" customHeight="1" x14ac:dyDescent="0.2">
      <c r="B7" s="203"/>
      <c r="C7" s="94" t="s">
        <v>101</v>
      </c>
      <c r="D7" s="88">
        <f t="shared" si="0"/>
        <v>0</v>
      </c>
      <c r="E7" s="88">
        <f t="shared" si="1"/>
        <v>0</v>
      </c>
      <c r="F7" s="88">
        <f t="shared" si="1"/>
        <v>5</v>
      </c>
      <c r="G7" s="171">
        <f t="shared" si="2"/>
        <v>0</v>
      </c>
      <c r="H7" s="266"/>
      <c r="I7" s="267"/>
      <c r="J7" s="267"/>
      <c r="K7" s="271"/>
      <c r="L7" s="244"/>
      <c r="M7" s="246" t="s">
        <v>201</v>
      </c>
      <c r="N7" s="247" t="s">
        <v>202</v>
      </c>
      <c r="O7" s="247">
        <f>D$4</f>
        <v>5</v>
      </c>
      <c r="P7" s="247">
        <f>E$4</f>
        <v>5</v>
      </c>
      <c r="Q7" s="247">
        <f>F$4</f>
        <v>5</v>
      </c>
      <c r="R7" s="247">
        <f>G$4</f>
        <v>0</v>
      </c>
    </row>
    <row r="8" spans="2:18" ht="14.1" customHeight="1" x14ac:dyDescent="0.2">
      <c r="B8" s="203"/>
      <c r="C8" s="94" t="s">
        <v>102</v>
      </c>
      <c r="D8" s="88">
        <f t="shared" si="0"/>
        <v>5</v>
      </c>
      <c r="E8" s="88">
        <f t="shared" si="1"/>
        <v>5</v>
      </c>
      <c r="F8" s="88">
        <f t="shared" si="1"/>
        <v>5</v>
      </c>
      <c r="G8" s="171">
        <f t="shared" si="2"/>
        <v>0</v>
      </c>
      <c r="H8" s="266"/>
      <c r="I8" s="267"/>
      <c r="J8" s="267"/>
      <c r="K8" s="271"/>
      <c r="L8" s="244"/>
      <c r="M8" s="246" t="s">
        <v>203</v>
      </c>
      <c r="N8" s="247" t="s">
        <v>204</v>
      </c>
      <c r="O8" s="247">
        <f>D$11</f>
        <v>5</v>
      </c>
      <c r="P8" s="247">
        <f>E$11</f>
        <v>5</v>
      </c>
      <c r="Q8" s="247">
        <f>F$11</f>
        <v>5</v>
      </c>
      <c r="R8" s="247">
        <f>G$11</f>
        <v>0</v>
      </c>
    </row>
    <row r="9" spans="2:18" ht="14.1" customHeight="1" thickBot="1" x14ac:dyDescent="0.25">
      <c r="B9" s="203"/>
      <c r="C9" s="94" t="s">
        <v>109</v>
      </c>
      <c r="D9" s="88">
        <f t="shared" si="0"/>
        <v>5</v>
      </c>
      <c r="E9" s="88">
        <f t="shared" si="1"/>
        <v>5</v>
      </c>
      <c r="F9" s="88">
        <f t="shared" si="1"/>
        <v>5</v>
      </c>
      <c r="G9" s="171">
        <f t="shared" si="2"/>
        <v>0</v>
      </c>
      <c r="H9" s="272"/>
      <c r="I9" s="273"/>
      <c r="J9" s="273"/>
      <c r="K9" s="274"/>
      <c r="L9" s="244"/>
      <c r="M9" s="246" t="s">
        <v>205</v>
      </c>
      <c r="N9" s="247" t="s">
        <v>206</v>
      </c>
      <c r="O9" s="247">
        <f>D$18</f>
        <v>5</v>
      </c>
      <c r="P9" s="247">
        <f>E$18</f>
        <v>5</v>
      </c>
      <c r="Q9" s="247">
        <f>F$18</f>
        <v>5</v>
      </c>
      <c r="R9" s="247">
        <f>G$18</f>
        <v>0</v>
      </c>
    </row>
    <row r="10" spans="2:18" ht="27.95" customHeight="1" x14ac:dyDescent="0.2">
      <c r="B10" s="164"/>
      <c r="C10" s="90" t="s">
        <v>141</v>
      </c>
      <c r="D10" s="90" t="s">
        <v>121</v>
      </c>
      <c r="E10" s="170" t="s">
        <v>120</v>
      </c>
      <c r="F10" s="90" t="s">
        <v>93</v>
      </c>
      <c r="G10" s="172" t="s">
        <v>185</v>
      </c>
      <c r="H10" s="243"/>
      <c r="I10" s="244"/>
      <c r="J10" s="244"/>
      <c r="K10" s="244"/>
      <c r="L10" s="244"/>
      <c r="M10" s="246" t="s">
        <v>207</v>
      </c>
      <c r="N10" s="247" t="s">
        <v>208</v>
      </c>
      <c r="O10" s="247">
        <f>D$25</f>
        <v>5</v>
      </c>
      <c r="P10" s="247">
        <f>E$25</f>
        <v>5</v>
      </c>
      <c r="Q10" s="247">
        <f>F$25</f>
        <v>5</v>
      </c>
      <c r="R10" s="247">
        <f>G$25</f>
        <v>0</v>
      </c>
    </row>
    <row r="11" spans="2:18" ht="14.1" customHeight="1" x14ac:dyDescent="0.2">
      <c r="B11" s="203" t="s">
        <v>165</v>
      </c>
      <c r="C11" s="94" t="s">
        <v>144</v>
      </c>
      <c r="D11" s="88">
        <f t="shared" ref="D11:D16" si="3">IF($G43=0,IF(F43&gt;0,5,IF(F43&lt;0,-5,0)),MAX(-5,MIN(5,ROUND((F43-$G43)/$G43*100,0))))</f>
        <v>5</v>
      </c>
      <c r="E11" s="88">
        <f t="shared" ref="E11:F16" si="4">IF($G43=0,IF(D43&gt;0,5,IF(D43&lt;0,-5,0)),MAX(-5,MIN(5,ROUND((D43-$G43)/$G43*100,0))))</f>
        <v>5</v>
      </c>
      <c r="F11" s="88">
        <f t="shared" si="4"/>
        <v>5</v>
      </c>
      <c r="G11" s="171">
        <f t="shared" ref="G11:G16" si="5">IF($G43=0,IF(G43&gt;0,5,IF(G43&lt;0,-5,0)),MAX(-5,MIN(5,ROUND((G43-$G43)/$G43*100,0))))</f>
        <v>0</v>
      </c>
      <c r="H11" s="243"/>
      <c r="I11" s="244"/>
      <c r="J11" s="244"/>
      <c r="K11" s="244"/>
      <c r="L11" s="244"/>
      <c r="M11" s="246" t="s">
        <v>209</v>
      </c>
      <c r="N11" s="247"/>
      <c r="O11" s="247">
        <f>SUM(O7:O10)</f>
        <v>20</v>
      </c>
      <c r="P11" s="247">
        <f>SUM(P7:P10)</f>
        <v>20</v>
      </c>
      <c r="Q11" s="247">
        <f>SUM(Q7:Q10)</f>
        <v>20</v>
      </c>
      <c r="R11" s="247">
        <f>SUM(R7:R10)</f>
        <v>0</v>
      </c>
    </row>
    <row r="12" spans="2:18" ht="14.1" customHeight="1" x14ac:dyDescent="0.2">
      <c r="B12" s="203"/>
      <c r="C12" s="94" t="s">
        <v>95</v>
      </c>
      <c r="D12" s="88">
        <f t="shared" si="3"/>
        <v>5</v>
      </c>
      <c r="E12" s="88">
        <f t="shared" si="4"/>
        <v>5</v>
      </c>
      <c r="F12" s="88">
        <f t="shared" si="4"/>
        <v>5</v>
      </c>
      <c r="G12" s="171">
        <f t="shared" si="5"/>
        <v>0</v>
      </c>
      <c r="H12" s="243"/>
      <c r="I12" s="244"/>
      <c r="J12" s="244"/>
      <c r="K12" s="244"/>
      <c r="L12" s="244"/>
      <c r="M12" s="246" t="s">
        <v>210</v>
      </c>
      <c r="N12" s="247"/>
      <c r="O12" s="247">
        <f>COUNT(O7:O10)</f>
        <v>4</v>
      </c>
      <c r="P12" s="247">
        <f>COUNT(P7:P10)</f>
        <v>4</v>
      </c>
      <c r="Q12" s="247">
        <f>COUNT(Q7:Q10)</f>
        <v>4</v>
      </c>
      <c r="R12" s="247">
        <f>COUNT(R7:R10)</f>
        <v>4</v>
      </c>
    </row>
    <row r="13" spans="2:18" ht="14.1" customHeight="1" x14ac:dyDescent="0.2">
      <c r="B13" s="203"/>
      <c r="C13" s="94" t="s">
        <v>99</v>
      </c>
      <c r="D13" s="88">
        <f t="shared" si="3"/>
        <v>5</v>
      </c>
      <c r="E13" s="88">
        <f t="shared" si="4"/>
        <v>5</v>
      </c>
      <c r="F13" s="88">
        <f t="shared" si="4"/>
        <v>5</v>
      </c>
      <c r="G13" s="171">
        <f t="shared" si="5"/>
        <v>0</v>
      </c>
      <c r="M13" s="248" t="s">
        <v>196</v>
      </c>
      <c r="N13" s="249"/>
      <c r="O13" s="250">
        <f>IFERROR(O11/O12,0)</f>
        <v>5</v>
      </c>
      <c r="P13" s="250">
        <f>IFERROR(P11/P12,0)</f>
        <v>5</v>
      </c>
      <c r="Q13" s="250">
        <f>IFERROR(Q11/Q12,0)</f>
        <v>5</v>
      </c>
      <c r="R13" s="250">
        <f>IFERROR(R11/R12,0)</f>
        <v>0</v>
      </c>
    </row>
    <row r="14" spans="2:18" ht="14.1" customHeight="1" x14ac:dyDescent="0.2">
      <c r="B14" s="203"/>
      <c r="C14" s="94" t="s">
        <v>101</v>
      </c>
      <c r="D14" s="88">
        <f t="shared" si="3"/>
        <v>0</v>
      </c>
      <c r="E14" s="88">
        <f t="shared" si="4"/>
        <v>0</v>
      </c>
      <c r="F14" s="88">
        <f t="shared" si="4"/>
        <v>5</v>
      </c>
      <c r="G14" s="171">
        <f t="shared" si="5"/>
        <v>0</v>
      </c>
    </row>
    <row r="15" spans="2:18" ht="14.1" customHeight="1" thickBot="1" x14ac:dyDescent="0.25">
      <c r="B15" s="203"/>
      <c r="C15" s="94" t="s">
        <v>102</v>
      </c>
      <c r="D15" s="88">
        <f t="shared" si="3"/>
        <v>5</v>
      </c>
      <c r="E15" s="88">
        <f t="shared" si="4"/>
        <v>5</v>
      </c>
      <c r="F15" s="88">
        <f t="shared" si="4"/>
        <v>5</v>
      </c>
      <c r="G15" s="171">
        <f t="shared" si="5"/>
        <v>0</v>
      </c>
    </row>
    <row r="16" spans="2:18" ht="14.1" customHeight="1" x14ac:dyDescent="0.2">
      <c r="B16" s="203"/>
      <c r="C16" s="94" t="s">
        <v>109</v>
      </c>
      <c r="D16" s="88">
        <f t="shared" si="3"/>
        <v>5</v>
      </c>
      <c r="E16" s="88">
        <f t="shared" si="4"/>
        <v>5</v>
      </c>
      <c r="F16" s="88">
        <f t="shared" si="4"/>
        <v>5</v>
      </c>
      <c r="G16" s="171">
        <f t="shared" si="5"/>
        <v>0</v>
      </c>
      <c r="J16" s="177" t="s">
        <v>192</v>
      </c>
      <c r="K16" s="178" t="s">
        <v>186</v>
      </c>
    </row>
    <row r="17" spans="2:11" ht="27.95" customHeight="1" x14ac:dyDescent="0.2">
      <c r="B17" s="164"/>
      <c r="C17" s="90" t="s">
        <v>141</v>
      </c>
      <c r="D17" s="90" t="s">
        <v>121</v>
      </c>
      <c r="E17" s="90" t="s">
        <v>120</v>
      </c>
      <c r="F17" s="90" t="s">
        <v>93</v>
      </c>
      <c r="G17" s="172" t="s">
        <v>185</v>
      </c>
      <c r="J17" s="163" t="s">
        <v>100</v>
      </c>
      <c r="K17" s="157">
        <v>23825.86399999998</v>
      </c>
    </row>
    <row r="18" spans="2:11" ht="14.1" customHeight="1" x14ac:dyDescent="0.2">
      <c r="B18" s="203" t="s">
        <v>166</v>
      </c>
      <c r="C18" s="94" t="s">
        <v>144</v>
      </c>
      <c r="D18" s="88">
        <f t="shared" ref="D18:D23" si="6">IF($G51=0,IF(F51&gt;0,5,IF(F51&lt;0,-5,0)),MAX(-5,MIN(5,ROUND((F51-$G51)/$G51*100,0))))</f>
        <v>5</v>
      </c>
      <c r="E18" s="88">
        <f t="shared" ref="E18:F23" si="7">IF($G51=0,IF(D51&gt;0,5,IF(D51&lt;0,-5,0)),MAX(-5,MIN(5,ROUND((D51-$G51)/$G51*100,0))))</f>
        <v>5</v>
      </c>
      <c r="F18" s="88">
        <f t="shared" si="7"/>
        <v>5</v>
      </c>
      <c r="G18" s="171">
        <f t="shared" ref="G18:G23" si="8">IF($G51=0,IF(G51&gt;0,5,IF(G51&lt;0,-5,0)),MAX(-5,MIN(5,ROUND((G51-$G51)/$G51*100,0))))</f>
        <v>0</v>
      </c>
      <c r="J18" s="163" t="s">
        <v>87</v>
      </c>
      <c r="K18" s="157">
        <v>56014.073999999979</v>
      </c>
    </row>
    <row r="19" spans="2:11" ht="14.1" customHeight="1" x14ac:dyDescent="0.2">
      <c r="B19" s="203"/>
      <c r="C19" s="94" t="s">
        <v>95</v>
      </c>
      <c r="D19" s="88">
        <f t="shared" si="6"/>
        <v>5</v>
      </c>
      <c r="E19" s="88">
        <f t="shared" si="7"/>
        <v>5</v>
      </c>
      <c r="F19" s="88">
        <f t="shared" si="7"/>
        <v>5</v>
      </c>
      <c r="G19" s="171">
        <f t="shared" si="8"/>
        <v>0</v>
      </c>
      <c r="J19" s="163" t="s">
        <v>89</v>
      </c>
      <c r="K19" s="157">
        <v>10321.816999999994</v>
      </c>
    </row>
    <row r="20" spans="2:11" ht="14.1" customHeight="1" x14ac:dyDescent="0.2">
      <c r="B20" s="203"/>
      <c r="C20" s="94" t="s">
        <v>99</v>
      </c>
      <c r="D20" s="88">
        <f t="shared" si="6"/>
        <v>5</v>
      </c>
      <c r="E20" s="88">
        <f t="shared" si="7"/>
        <v>5</v>
      </c>
      <c r="F20" s="88">
        <f t="shared" si="7"/>
        <v>5</v>
      </c>
      <c r="G20" s="171">
        <f t="shared" si="8"/>
        <v>0</v>
      </c>
      <c r="J20" s="163" t="s">
        <v>94</v>
      </c>
      <c r="K20" s="157">
        <v>18138.94799999988</v>
      </c>
    </row>
    <row r="21" spans="2:11" ht="14.1" customHeight="1" x14ac:dyDescent="0.2">
      <c r="B21" s="203"/>
      <c r="C21" s="94" t="s">
        <v>101</v>
      </c>
      <c r="D21" s="88">
        <f t="shared" si="6"/>
        <v>0</v>
      </c>
      <c r="E21" s="88">
        <f t="shared" si="7"/>
        <v>0</v>
      </c>
      <c r="F21" s="88">
        <f t="shared" si="7"/>
        <v>5</v>
      </c>
      <c r="G21" s="171">
        <f t="shared" si="8"/>
        <v>0</v>
      </c>
      <c r="J21" s="163" t="s">
        <v>187</v>
      </c>
      <c r="K21" s="157"/>
    </row>
    <row r="22" spans="2:11" ht="14.1" customHeight="1" thickBot="1" x14ac:dyDescent="0.25">
      <c r="B22" s="203"/>
      <c r="C22" s="94" t="s">
        <v>102</v>
      </c>
      <c r="D22" s="88">
        <f t="shared" si="6"/>
        <v>5</v>
      </c>
      <c r="E22" s="88">
        <f t="shared" si="7"/>
        <v>5</v>
      </c>
      <c r="F22" s="88">
        <f t="shared" si="7"/>
        <v>5</v>
      </c>
      <c r="G22" s="171">
        <f t="shared" si="8"/>
        <v>0</v>
      </c>
      <c r="J22" s="179" t="s">
        <v>188</v>
      </c>
      <c r="K22" s="158">
        <v>108300.70299999983</v>
      </c>
    </row>
    <row r="23" spans="2:11" ht="14.1" customHeight="1" x14ac:dyDescent="0.2">
      <c r="B23" s="203"/>
      <c r="C23" s="94" t="s">
        <v>109</v>
      </c>
      <c r="D23" s="88">
        <f t="shared" si="6"/>
        <v>5</v>
      </c>
      <c r="E23" s="88">
        <f t="shared" si="7"/>
        <v>5</v>
      </c>
      <c r="F23" s="88">
        <f t="shared" si="7"/>
        <v>5</v>
      </c>
      <c r="G23" s="171">
        <f t="shared" si="8"/>
        <v>0</v>
      </c>
    </row>
    <row r="24" spans="2:11" ht="27.95" customHeight="1" x14ac:dyDescent="0.2">
      <c r="B24" s="164"/>
      <c r="C24" s="90" t="s">
        <v>141</v>
      </c>
      <c r="D24" s="90" t="s">
        <v>121</v>
      </c>
      <c r="E24" s="90" t="s">
        <v>120</v>
      </c>
      <c r="F24" s="90" t="s">
        <v>93</v>
      </c>
      <c r="G24" s="172" t="s">
        <v>185</v>
      </c>
    </row>
    <row r="25" spans="2:11" ht="14.1" customHeight="1" x14ac:dyDescent="0.2">
      <c r="B25" s="203" t="s">
        <v>167</v>
      </c>
      <c r="C25" s="94" t="s">
        <v>144</v>
      </c>
      <c r="D25" s="88">
        <f t="shared" ref="D25:D30" si="9">IF($G59=0,IF(F59&gt;0,5,IF(F59&lt;0,-5,0)),MAX(-5,MIN(5,ROUND((F59-$G59)/$G59*100,0))))</f>
        <v>5</v>
      </c>
      <c r="E25" s="88">
        <f t="shared" ref="E25:F30" si="10">IF($G59=0,IF(D59&gt;0,5,IF(D59&lt;0,-5,0)),MAX(-5,MIN(5,ROUND((D59-$G59)/$G59*100,0))))</f>
        <v>5</v>
      </c>
      <c r="F25" s="88">
        <f t="shared" si="10"/>
        <v>5</v>
      </c>
      <c r="G25" s="171">
        <f t="shared" ref="G25:G30" si="11">IF($G59=0,IF(G59&gt;0,5,IF(G59&lt;0,-5,0)),MAX(-5,MIN(5,ROUND((G59-$G59)/$G59*100,0))))</f>
        <v>0</v>
      </c>
    </row>
    <row r="26" spans="2:11" ht="14.1" customHeight="1" x14ac:dyDescent="0.2">
      <c r="B26" s="203"/>
      <c r="C26" s="94" t="s">
        <v>95</v>
      </c>
      <c r="D26" s="88">
        <f t="shared" si="9"/>
        <v>5</v>
      </c>
      <c r="E26" s="88">
        <f t="shared" si="10"/>
        <v>5</v>
      </c>
      <c r="F26" s="88">
        <f t="shared" si="10"/>
        <v>5</v>
      </c>
      <c r="G26" s="171">
        <f t="shared" si="11"/>
        <v>0</v>
      </c>
    </row>
    <row r="27" spans="2:11" ht="14.1" customHeight="1" x14ac:dyDescent="0.2">
      <c r="B27" s="203"/>
      <c r="C27" s="94" t="s">
        <v>99</v>
      </c>
      <c r="D27" s="88">
        <f t="shared" si="9"/>
        <v>5</v>
      </c>
      <c r="E27" s="88">
        <f t="shared" si="10"/>
        <v>5</v>
      </c>
      <c r="F27" s="88">
        <f t="shared" si="10"/>
        <v>5</v>
      </c>
      <c r="G27" s="171">
        <f t="shared" si="11"/>
        <v>0</v>
      </c>
    </row>
    <row r="28" spans="2:11" ht="14.1" customHeight="1" x14ac:dyDescent="0.2">
      <c r="B28" s="203"/>
      <c r="C28" s="94" t="s">
        <v>101</v>
      </c>
      <c r="D28" s="88">
        <f t="shared" si="9"/>
        <v>0</v>
      </c>
      <c r="E28" s="88">
        <f t="shared" si="10"/>
        <v>0</v>
      </c>
      <c r="F28" s="88">
        <f t="shared" si="10"/>
        <v>5</v>
      </c>
      <c r="G28" s="171">
        <f t="shared" si="11"/>
        <v>0</v>
      </c>
    </row>
    <row r="29" spans="2:11" ht="14.1" customHeight="1" x14ac:dyDescent="0.2">
      <c r="B29" s="203"/>
      <c r="C29" s="94" t="s">
        <v>102</v>
      </c>
      <c r="D29" s="88">
        <f t="shared" si="9"/>
        <v>5</v>
      </c>
      <c r="E29" s="88">
        <f t="shared" si="10"/>
        <v>5</v>
      </c>
      <c r="F29" s="88">
        <f t="shared" si="10"/>
        <v>5</v>
      </c>
      <c r="G29" s="171">
        <f t="shared" si="11"/>
        <v>0</v>
      </c>
    </row>
    <row r="30" spans="2:11" ht="14.1" customHeight="1" thickBot="1" x14ac:dyDescent="0.25">
      <c r="B30" s="204"/>
      <c r="C30" s="173" t="s">
        <v>109</v>
      </c>
      <c r="D30" s="89">
        <f t="shared" si="9"/>
        <v>5</v>
      </c>
      <c r="E30" s="89">
        <f t="shared" si="10"/>
        <v>5</v>
      </c>
      <c r="F30" s="89">
        <f t="shared" si="10"/>
        <v>5</v>
      </c>
      <c r="G30" s="174">
        <f t="shared" si="11"/>
        <v>0</v>
      </c>
    </row>
    <row r="31" spans="2:11" ht="14.1" customHeight="1" x14ac:dyDescent="0.2"/>
    <row r="32" spans="2:11" ht="14.1" customHeight="1" thickBot="1" x14ac:dyDescent="0.25"/>
    <row r="33" spans="2:7" ht="14.1" customHeight="1" thickBot="1" x14ac:dyDescent="0.3">
      <c r="B33" s="208" t="s">
        <v>163</v>
      </c>
      <c r="C33" s="209"/>
      <c r="D33" s="209"/>
      <c r="E33" s="209"/>
      <c r="F33" s="209"/>
      <c r="G33" s="210"/>
    </row>
    <row r="34" spans="2:7" ht="27.95" customHeight="1" x14ac:dyDescent="0.2">
      <c r="B34" s="201" t="s">
        <v>164</v>
      </c>
      <c r="C34" s="175" t="s">
        <v>141</v>
      </c>
      <c r="D34" s="175" t="s">
        <v>120</v>
      </c>
      <c r="E34" s="175" t="s">
        <v>93</v>
      </c>
      <c r="F34" s="176" t="s">
        <v>121</v>
      </c>
      <c r="G34" s="176" t="s">
        <v>184</v>
      </c>
    </row>
    <row r="35" spans="2:7" ht="14.1" customHeight="1" x14ac:dyDescent="0.2">
      <c r="B35" s="201"/>
      <c r="C35" s="118" t="s">
        <v>144</v>
      </c>
      <c r="D35" s="120">
        <f>SUM(D36:D40)</f>
        <v>247464918.26922929</v>
      </c>
      <c r="E35" s="120">
        <f>SUM(E36:E40)</f>
        <v>428391850.97496933</v>
      </c>
      <c r="F35" s="121">
        <f>SUM(F36:F40)</f>
        <v>82600844.269229278</v>
      </c>
      <c r="G35" s="121">
        <f>SUM(G36:G40)</f>
        <v>40340928.860470004</v>
      </c>
    </row>
    <row r="36" spans="2:7" ht="14.1" customHeight="1" x14ac:dyDescent="0.2">
      <c r="B36" s="201"/>
      <c r="C36" s="94" t="s">
        <v>95</v>
      </c>
      <c r="D36" s="122">
        <f>'Restoration ($) Combined'!F51</f>
        <v>15612587.594969271</v>
      </c>
      <c r="E36" s="122">
        <f>'Restoration ($) Combined'!F4</f>
        <v>15612587.594969271</v>
      </c>
      <c r="F36" s="123">
        <f>'Restoration ($) Combined'!F94</f>
        <v>15612587.594969271</v>
      </c>
      <c r="G36" s="123">
        <f>'Overall Restoration (Acres)'!$H$19*'Restoration ($) Combined'!$F$2</f>
        <v>6756576.7405200005</v>
      </c>
    </row>
    <row r="37" spans="2:7" ht="14.1" customHeight="1" x14ac:dyDescent="0.2">
      <c r="B37" s="201"/>
      <c r="C37" s="94" t="s">
        <v>99</v>
      </c>
      <c r="D37" s="122">
        <f>SUM('Restoration ($) Combined'!F52:F58)+'Restoration ($) Combined'!F67</f>
        <v>15746642.26</v>
      </c>
      <c r="E37" s="122">
        <f>SUM('Restoration ($) Combined'!F5:F11)+'Restoration ($) Combined'!F20</f>
        <v>15746642.26</v>
      </c>
      <c r="F37" s="123">
        <f>SUM('Restoration ($) Combined'!F95:F101)+'Restoration ($) Combined'!F110</f>
        <v>10938913.83</v>
      </c>
      <c r="G37" s="123">
        <f>'Overall Restoration (Acres)'!$I$19*'Restoration ($) Combined'!$F$2</f>
        <v>8874896.0813600011</v>
      </c>
    </row>
    <row r="38" spans="2:7" ht="14.1" customHeight="1" x14ac:dyDescent="0.2">
      <c r="B38" s="201"/>
      <c r="C38" s="94" t="s">
        <v>101</v>
      </c>
      <c r="D38" s="122">
        <v>20864682.424260002</v>
      </c>
      <c r="E38" s="122">
        <f>SUM('Restoration ($) Combined'!F12:F19)</f>
        <v>22766588.800000001</v>
      </c>
      <c r="F38" s="123">
        <v>20864682.424260002</v>
      </c>
      <c r="G38" s="123">
        <f>'Overall Restoration (Acres)'!$J$19*'Restoration ($) Combined'!$F$2</f>
        <v>20864682.424260002</v>
      </c>
    </row>
    <row r="39" spans="2:7" ht="14.1" customHeight="1" x14ac:dyDescent="0.2">
      <c r="B39" s="201"/>
      <c r="C39" s="94" t="s">
        <v>102</v>
      </c>
      <c r="D39" s="122">
        <f>'Restoration ($) Combined'!F68+SUM('Restoration ($) Combined'!F69:F89)</f>
        <v>23127159.120000005</v>
      </c>
      <c r="E39" s="122">
        <f>'Restoration ($) Combined'!F21+SUM('Restoration ($) Combined'!F22:F42)</f>
        <v>54681904.490000002</v>
      </c>
      <c r="F39" s="123">
        <f>'Restoration ($) Combined'!F111+SUM('Restoration ($) Combined'!F112:F130)</f>
        <v>10541094.51</v>
      </c>
      <c r="G39" s="123">
        <f>'Overall Restoration (Acres)'!$K$19*'Restoration ($) Combined'!$F$2</f>
        <v>3844773.6143299998</v>
      </c>
    </row>
    <row r="40" spans="2:7" ht="14.1" customHeight="1" x14ac:dyDescent="0.2">
      <c r="B40" s="201"/>
      <c r="C40" s="94" t="s">
        <v>109</v>
      </c>
      <c r="D40" s="122">
        <f>SUM('50% Restoration ($)'!J42:J44)</f>
        <v>172113846.87</v>
      </c>
      <c r="E40" s="122">
        <f>SUM('Restoration ($) Combined'!F43:F45)</f>
        <v>319584127.83000004</v>
      </c>
      <c r="F40" s="123">
        <f>SUM('Restoration ($) Combined'!F131:F133)</f>
        <v>24643565.91</v>
      </c>
      <c r="G40" s="123">
        <f>'Overall Restoration (Acres)'!$L$19*'Restoration ($) Combined'!$F$2</f>
        <v>0</v>
      </c>
    </row>
    <row r="41" spans="2:7" ht="14.1" customHeight="1" x14ac:dyDescent="0.2">
      <c r="B41" s="117"/>
      <c r="C41" s="93"/>
      <c r="D41" s="93"/>
      <c r="E41" s="93"/>
      <c r="F41" s="119"/>
      <c r="G41" s="119"/>
    </row>
    <row r="42" spans="2:7" ht="27.95" customHeight="1" x14ac:dyDescent="0.2">
      <c r="B42" s="201" t="s">
        <v>165</v>
      </c>
      <c r="C42" s="90" t="s">
        <v>141</v>
      </c>
      <c r="D42" s="90" t="s">
        <v>120</v>
      </c>
      <c r="E42" s="90" t="s">
        <v>93</v>
      </c>
      <c r="F42" s="116" t="s">
        <v>121</v>
      </c>
      <c r="G42" s="116" t="s">
        <v>184</v>
      </c>
    </row>
    <row r="43" spans="2:7" ht="14.1" customHeight="1" x14ac:dyDescent="0.2">
      <c r="B43" s="201"/>
      <c r="C43" s="118" t="s">
        <v>144</v>
      </c>
      <c r="D43" s="120">
        <f>SUM(D44:D48)</f>
        <v>107638503.20271827</v>
      </c>
      <c r="E43" s="120">
        <f>SUM(E44:E48)</f>
        <v>186335331.67323828</v>
      </c>
      <c r="F43" s="121">
        <f>SUM(F44:F48)</f>
        <v>35928451.202718273</v>
      </c>
      <c r="G43" s="121">
        <f>SUM(G44:G48)</f>
        <v>17546879.900060002</v>
      </c>
    </row>
    <row r="44" spans="2:7" ht="14.1" customHeight="1" x14ac:dyDescent="0.2">
      <c r="B44" s="201"/>
      <c r="C44" s="94" t="s">
        <v>95</v>
      </c>
      <c r="D44" s="122">
        <f>'Restoration ($) Combined'!H51</f>
        <v>6790924.4332382651</v>
      </c>
      <c r="E44" s="122">
        <f>'Restoration ($) Combined'!H4</f>
        <v>6790924.4332382651</v>
      </c>
      <c r="F44" s="123">
        <f>'Restoration ($) Combined'!H94</f>
        <v>6790924.4332382651</v>
      </c>
      <c r="G44" s="123">
        <f>'Overall Restoration (Acres)'!$H$19*'Restoration ($) Combined'!$H$2</f>
        <v>2938872.3549600001</v>
      </c>
    </row>
    <row r="45" spans="2:7" ht="14.1" customHeight="1" x14ac:dyDescent="0.2">
      <c r="B45" s="201"/>
      <c r="C45" s="94" t="s">
        <v>99</v>
      </c>
      <c r="D45" s="122">
        <f>SUM('Restoration ($) Combined'!H52:H58)+'Restoration ($) Combined'!H67</f>
        <v>6849233.4800000004</v>
      </c>
      <c r="E45" s="122">
        <f>SUM('Restoration ($) Combined'!H5:H11)+'Restoration ($) Combined'!H20</f>
        <v>6849233.4800000004</v>
      </c>
      <c r="F45" s="123">
        <f>SUM('Restoration ($) Combined'!H95:H101)+'Restoration ($) Combined'!H110</f>
        <v>4758041.3400000008</v>
      </c>
      <c r="G45" s="123">
        <f>'Overall Restoration (Acres)'!$I$19*'Restoration ($) Combined'!$H$2</f>
        <v>3860266.4852800006</v>
      </c>
    </row>
    <row r="46" spans="2:7" ht="14.1" customHeight="1" x14ac:dyDescent="0.2">
      <c r="B46" s="201"/>
      <c r="C46" s="94" t="s">
        <v>101</v>
      </c>
      <c r="D46" s="123">
        <f>'Overall Restoration (Acres)'!$J$19*'Restoration ($) Combined'!$H$2</f>
        <v>9075400.2694800012</v>
      </c>
      <c r="E46" s="122">
        <f>SUM('Restoration ($) Combined'!H12:H19)</f>
        <v>9902662.4000000022</v>
      </c>
      <c r="F46" s="123">
        <f>'Overall Restoration (Acres)'!$J$19*'Restoration ($) Combined'!$H$2</f>
        <v>9075400.2694800012</v>
      </c>
      <c r="G46" s="123">
        <f>'Overall Restoration (Acres)'!$J$19*'Restoration ($) Combined'!$H$2</f>
        <v>9075400.2694800012</v>
      </c>
    </row>
    <row r="47" spans="2:7" ht="14.1" customHeight="1" x14ac:dyDescent="0.2">
      <c r="B47" s="201"/>
      <c r="C47" s="94" t="s">
        <v>102</v>
      </c>
      <c r="D47" s="122">
        <f>'Restoration ($) Combined'!H68+SUM('Restoration ($) Combined'!H69:H89)</f>
        <v>10059497.76</v>
      </c>
      <c r="E47" s="122">
        <f>'Restoration ($) Combined'!H21+SUM('Restoration ($) Combined'!H22:H42)</f>
        <v>23784698.02</v>
      </c>
      <c r="F47" s="123">
        <f>'Restoration ($) Combined'!H111+SUM('Restoration ($) Combined'!H112:H130)</f>
        <v>4585003.9800000004</v>
      </c>
      <c r="G47" s="123">
        <f>'Overall Restoration (Acres)'!$K$19*'Restoration ($) Combined'!$H$2</f>
        <v>1672340.7903400001</v>
      </c>
    </row>
    <row r="48" spans="2:7" ht="14.1" customHeight="1" x14ac:dyDescent="0.2">
      <c r="B48" s="201"/>
      <c r="C48" s="94" t="s">
        <v>109</v>
      </c>
      <c r="D48" s="122">
        <f>SUM('50% Restoration ($)'!L42:L44)</f>
        <v>74863447.260000005</v>
      </c>
      <c r="E48" s="122">
        <f>SUM('Restoration ($) Combined'!H43:H45)</f>
        <v>139007813.34</v>
      </c>
      <c r="F48" s="123">
        <f>SUM('Restoration ($) Combined'!H131:H133)</f>
        <v>10719081.180000002</v>
      </c>
      <c r="G48" s="123">
        <f>'Overall Restoration (Acres)'!$L$19*'Restoration ($) Combined'!$H$2</f>
        <v>0</v>
      </c>
    </row>
    <row r="49" spans="2:7" ht="14.1" customHeight="1" x14ac:dyDescent="0.2">
      <c r="B49" s="117"/>
      <c r="C49" s="93"/>
      <c r="D49" s="93"/>
      <c r="E49" s="93"/>
      <c r="F49" s="119"/>
      <c r="G49" s="119"/>
    </row>
    <row r="50" spans="2:7" ht="27.95" customHeight="1" x14ac:dyDescent="0.2">
      <c r="B50" s="201" t="s">
        <v>166</v>
      </c>
      <c r="C50" s="90" t="s">
        <v>141</v>
      </c>
      <c r="D50" s="90" t="s">
        <v>120</v>
      </c>
      <c r="E50" s="90" t="s">
        <v>93</v>
      </c>
      <c r="F50" s="116" t="s">
        <v>121</v>
      </c>
      <c r="G50" s="116" t="s">
        <v>184</v>
      </c>
    </row>
    <row r="51" spans="2:7" ht="14.1" customHeight="1" x14ac:dyDescent="0.2">
      <c r="B51" s="201"/>
      <c r="C51" s="118" t="s">
        <v>144</v>
      </c>
      <c r="D51" s="120">
        <f>SUM(D52:D56)</f>
        <v>61864568.684342213</v>
      </c>
      <c r="E51" s="120">
        <f>SUM(E52:E56)</f>
        <v>107095087.55346222</v>
      </c>
      <c r="F51" s="121">
        <f>SUM(F52:F56)</f>
        <v>20649656.684342213</v>
      </c>
      <c r="G51" s="121">
        <f>SUM(G52:G56)</f>
        <v>10084961.46336</v>
      </c>
    </row>
    <row r="52" spans="2:7" ht="14.1" customHeight="1" x14ac:dyDescent="0.2">
      <c r="B52" s="201"/>
      <c r="C52" s="94" t="s">
        <v>95</v>
      </c>
      <c r="D52" s="122">
        <f>'Restoration ($) Combined'!J51</f>
        <v>3903042.1134622097</v>
      </c>
      <c r="E52" s="122">
        <f>'Restoration ($) Combined'!J4</f>
        <v>3903042.1134622097</v>
      </c>
      <c r="F52" s="123">
        <f>'Restoration ($) Combined'!J94</f>
        <v>3903042.1134622097</v>
      </c>
      <c r="G52" s="123">
        <f>'Overall Restoration (Acres)'!$H$19*'Restoration ($) Combined'!$J$2</f>
        <v>1689098.83776</v>
      </c>
    </row>
    <row r="53" spans="2:7" ht="14.1" customHeight="1" x14ac:dyDescent="0.2">
      <c r="B53" s="201"/>
      <c r="C53" s="94" t="s">
        <v>99</v>
      </c>
      <c r="D53" s="122">
        <f>SUM('Restoration ($) Combined'!J52:J58)+'Restoration ($) Combined'!J67</f>
        <v>3936554.8800000008</v>
      </c>
      <c r="E53" s="122">
        <f>SUM('Restoration ($) Combined'!J5:J11)+'Restoration ($) Combined'!J20</f>
        <v>3936554.8800000008</v>
      </c>
      <c r="F53" s="123">
        <f>SUM('Restoration ($) Combined'!J95:J101)+'Restoration ($) Combined'!J110</f>
        <v>2734655.0400000005</v>
      </c>
      <c r="G53" s="123">
        <f>'Overall Restoration (Acres)'!$I$19*'Restoration ($) Combined'!$J$2</f>
        <v>2218664.4556800001</v>
      </c>
    </row>
    <row r="54" spans="2:7" ht="14.1" customHeight="1" x14ac:dyDescent="0.2">
      <c r="B54" s="201"/>
      <c r="C54" s="94" t="s">
        <v>101</v>
      </c>
      <c r="D54" s="123">
        <f>'Overall Restoration (Acres)'!$J$19*'Restoration ($) Combined'!$J$2</f>
        <v>5216030.5708800005</v>
      </c>
      <c r="E54" s="122">
        <f>SUM('Restoration ($) Combined'!J12:J19)</f>
        <v>5691494.4000000004</v>
      </c>
      <c r="F54" s="123">
        <f>'Overall Restoration (Acres)'!$J$19*'Restoration ($) Combined'!$J$2</f>
        <v>5216030.5708800005</v>
      </c>
      <c r="G54" s="123">
        <f>'Overall Restoration (Acres)'!$J$19*'Restoration ($) Combined'!$J$2</f>
        <v>5216030.5708800005</v>
      </c>
    </row>
    <row r="55" spans="2:7" ht="14.1" customHeight="1" x14ac:dyDescent="0.2">
      <c r="B55" s="201"/>
      <c r="C55" s="94" t="s">
        <v>102</v>
      </c>
      <c r="D55" s="122">
        <f>'Restoration ($) Combined'!J68+SUM('Restoration ($) Combined'!J69:J89)</f>
        <v>5781634.5600000005</v>
      </c>
      <c r="E55" s="122">
        <f>'Restoration ($) Combined'!J21+SUM('Restoration ($) Combined'!J22:J42)</f>
        <v>13670109.120000005</v>
      </c>
      <c r="F55" s="123">
        <f>'Restoration ($) Combined'!J111+SUM('Restoration ($) Combined'!J112:J130)</f>
        <v>2635202.8800000004</v>
      </c>
      <c r="G55" s="123">
        <f>'Overall Restoration (Acres)'!$K$19*'Restoration ($) Combined'!$J$2</f>
        <v>961167.59904</v>
      </c>
    </row>
    <row r="56" spans="2:7" ht="14.1" customHeight="1" x14ac:dyDescent="0.2">
      <c r="B56" s="201"/>
      <c r="C56" s="94" t="s">
        <v>109</v>
      </c>
      <c r="D56" s="122">
        <f>SUM('50% Restoration ($)'!N42:N44)</f>
        <v>43027306.560000002</v>
      </c>
      <c r="E56" s="122">
        <f>SUM('Restoration ($) Combined'!J43:J45)</f>
        <v>79893887.040000007</v>
      </c>
      <c r="F56" s="123">
        <f>SUM('Restoration ($) Combined'!J131:J133)</f>
        <v>6160726.0800000001</v>
      </c>
      <c r="G56" s="123">
        <f>'Overall Restoration (Acres)'!$L$19*'Restoration ($) Combined'!$J$2</f>
        <v>0</v>
      </c>
    </row>
    <row r="57" spans="2:7" ht="14.1" customHeight="1" x14ac:dyDescent="0.2">
      <c r="B57" s="117"/>
      <c r="C57" s="93"/>
      <c r="D57" s="93"/>
      <c r="E57" s="93"/>
      <c r="F57" s="119"/>
      <c r="G57" s="119"/>
    </row>
    <row r="58" spans="2:7" ht="27.95" customHeight="1" x14ac:dyDescent="0.2">
      <c r="B58" s="201" t="s">
        <v>167</v>
      </c>
      <c r="C58" s="90" t="s">
        <v>141</v>
      </c>
      <c r="D58" s="90" t="s">
        <v>120</v>
      </c>
      <c r="E58" s="90" t="s">
        <v>93</v>
      </c>
      <c r="F58" s="116" t="s">
        <v>121</v>
      </c>
      <c r="G58" s="116" t="s">
        <v>184</v>
      </c>
    </row>
    <row r="59" spans="2:7" ht="14.1" customHeight="1" x14ac:dyDescent="0.2">
      <c r="B59" s="201"/>
      <c r="C59" s="118" t="s">
        <v>144</v>
      </c>
      <c r="D59" s="120">
        <f>SUM(D60:D64)</f>
        <v>188111604.62813032</v>
      </c>
      <c r="E59" s="120">
        <f>SUM(E60:E64)</f>
        <v>325644051.12503028</v>
      </c>
      <c r="F59" s="121">
        <f>SUM(F60:F64)</f>
        <v>62789414.628130332</v>
      </c>
      <c r="G59" s="121">
        <f>SUM(G60:G64)</f>
        <v>30665344.054450002</v>
      </c>
    </row>
    <row r="60" spans="2:7" ht="14.1" customHeight="1" x14ac:dyDescent="0.2">
      <c r="B60" s="201"/>
      <c r="C60" s="94" t="s">
        <v>95</v>
      </c>
      <c r="D60" s="122">
        <f>'Restoration ($) Combined'!E51</f>
        <v>11867980.825030332</v>
      </c>
      <c r="E60" s="122">
        <f>'Restoration ($) Combined'!E4</f>
        <v>11867980.825030332</v>
      </c>
      <c r="F60" s="123">
        <f>'Restoration ($) Combined'!E94</f>
        <v>11867980.825030332</v>
      </c>
      <c r="G60" s="123">
        <f>'Overall Restoration (Acres)'!$H$19*'Restoration ($) Combined'!$E$2</f>
        <v>5136043.1261999998</v>
      </c>
    </row>
    <row r="61" spans="2:7" ht="14.1" customHeight="1" x14ac:dyDescent="0.2">
      <c r="B61" s="201"/>
      <c r="C61" s="94" t="s">
        <v>99</v>
      </c>
      <c r="D61" s="122">
        <f>SUM('Restoration ($) Combined'!E52:E58)+'Restoration ($) Combined'!E67</f>
        <v>11969883.099999998</v>
      </c>
      <c r="E61" s="122">
        <f>SUM('Restoration ($) Combined'!E5:E11)+'Restoration ($) Combined'!E20</f>
        <v>11969883.099999998</v>
      </c>
      <c r="F61" s="123">
        <f>SUM('Restoration ($) Combined'!E95:E101)+'Restoration ($) Combined'!E110</f>
        <v>8315266.0499999989</v>
      </c>
      <c r="G61" s="123">
        <f>'Overall Restoration (Acres)'!$I$19*'Restoration ($) Combined'!$E$2</f>
        <v>6746293.3915999997</v>
      </c>
    </row>
    <row r="62" spans="2:7" ht="14.1" customHeight="1" x14ac:dyDescent="0.2">
      <c r="B62" s="201"/>
      <c r="C62" s="94" t="s">
        <v>101</v>
      </c>
      <c r="D62" s="123">
        <f>'Overall Restoration (Acres)'!$J$19*'Restoration ($) Combined'!$E$2</f>
        <v>15860385.053099999</v>
      </c>
      <c r="E62" s="122">
        <f>SUM('Restoration ($) Combined'!E12:E19)</f>
        <v>17306127.999999996</v>
      </c>
      <c r="F62" s="123">
        <f>'Overall Restoration (Acres)'!$J$19*'Restoration ($) Combined'!$E$2</f>
        <v>15860385.053099999</v>
      </c>
      <c r="G62" s="123">
        <f>'Overall Restoration (Acres)'!$J$19*'Restoration ($) Combined'!$E$2</f>
        <v>15860385.053099999</v>
      </c>
    </row>
    <row r="63" spans="2:7" ht="14.1" customHeight="1" x14ac:dyDescent="0.2">
      <c r="B63" s="201"/>
      <c r="C63" s="94" t="s">
        <v>102</v>
      </c>
      <c r="D63" s="122">
        <f>'Restoration ($) Combined'!E68+SUM('Restoration ($) Combined'!E69:E89)</f>
        <v>17580217.199999996</v>
      </c>
      <c r="E63" s="122">
        <f>'Restoration ($) Combined'!E21+SUM('Restoration ($) Combined'!E22:E42)</f>
        <v>41566703.150000006</v>
      </c>
      <c r="F63" s="123">
        <f>'Restoration ($) Combined'!E111+SUM('Restoration ($) Combined'!E112:E130)</f>
        <v>8012861.8499999996</v>
      </c>
      <c r="G63" s="123">
        <f>'Overall Restoration (Acres)'!$K$19*'Restoration ($) Combined'!$E$2</f>
        <v>2922622.4835499995</v>
      </c>
    </row>
    <row r="64" spans="2:7" ht="14.1" customHeight="1" thickBot="1" x14ac:dyDescent="0.25">
      <c r="B64" s="202"/>
      <c r="C64" s="95" t="s">
        <v>109</v>
      </c>
      <c r="D64" s="124">
        <f>SUM('50% Restoration ($)'!I42:I44)</f>
        <v>130833138.44999999</v>
      </c>
      <c r="E64" s="124">
        <f>SUM('Restoration ($) Combined'!E43:E45)</f>
        <v>242933356.04999998</v>
      </c>
      <c r="F64" s="125">
        <f>SUM('Restoration ($) Combined'!E131:E133)</f>
        <v>18732920.849999998</v>
      </c>
      <c r="G64" s="125">
        <f>'Overall Restoration (Acres)'!$L$19*'Restoration ($) Combined'!$E$2</f>
        <v>0</v>
      </c>
    </row>
    <row r="65" spans="2:24" ht="14.1" customHeight="1" thickBot="1" x14ac:dyDescent="0.25"/>
    <row r="66" spans="2:24" ht="14.1" customHeight="1" thickBot="1" x14ac:dyDescent="0.3">
      <c r="B66" s="198" t="s">
        <v>191</v>
      </c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200"/>
    </row>
    <row r="67" spans="2:24" ht="14.1" customHeight="1" thickBot="1" x14ac:dyDescent="0.25">
      <c r="B67" s="195" t="s">
        <v>168</v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7"/>
    </row>
    <row r="68" spans="2:24" ht="14.1" customHeight="1" thickBot="1" x14ac:dyDescent="0.25">
      <c r="B68" s="192" t="s">
        <v>144</v>
      </c>
      <c r="C68" s="193"/>
      <c r="D68" s="194"/>
      <c r="E68" s="126"/>
      <c r="F68" s="192" t="s">
        <v>95</v>
      </c>
      <c r="G68" s="193"/>
      <c r="H68" s="194"/>
      <c r="I68" s="126"/>
      <c r="J68" s="192" t="s">
        <v>99</v>
      </c>
      <c r="K68" s="193"/>
      <c r="L68" s="194"/>
      <c r="M68" s="126"/>
      <c r="N68" s="192" t="s">
        <v>101</v>
      </c>
      <c r="O68" s="193"/>
      <c r="P68" s="194"/>
      <c r="Q68" s="126"/>
      <c r="R68" s="192" t="s">
        <v>102</v>
      </c>
      <c r="S68" s="193"/>
      <c r="T68" s="194"/>
      <c r="U68" s="126"/>
      <c r="V68" s="192" t="s">
        <v>109</v>
      </c>
      <c r="W68" s="193"/>
      <c r="X68" s="194"/>
    </row>
    <row r="69" spans="2:24" ht="14.1" customHeight="1" x14ac:dyDescent="0.2">
      <c r="B69" s="105" t="s">
        <v>147</v>
      </c>
      <c r="C69" s="106" t="s">
        <v>148</v>
      </c>
      <c r="D69" s="106" t="s">
        <v>149</v>
      </c>
      <c r="E69" s="97"/>
      <c r="F69" s="106" t="s">
        <v>147</v>
      </c>
      <c r="G69" s="106" t="s">
        <v>148</v>
      </c>
      <c r="H69" s="106" t="s">
        <v>149</v>
      </c>
      <c r="I69" s="97"/>
      <c r="J69" s="106" t="s">
        <v>147</v>
      </c>
      <c r="K69" s="106" t="s">
        <v>148</v>
      </c>
      <c r="L69" s="106" t="s">
        <v>149</v>
      </c>
      <c r="M69" s="97"/>
      <c r="N69" s="106" t="s">
        <v>147</v>
      </c>
      <c r="O69" s="106" t="s">
        <v>148</v>
      </c>
      <c r="P69" s="106" t="s">
        <v>149</v>
      </c>
      <c r="Q69" s="97"/>
      <c r="R69" s="106" t="s">
        <v>147</v>
      </c>
      <c r="S69" s="106" t="s">
        <v>148</v>
      </c>
      <c r="T69" s="106" t="s">
        <v>149</v>
      </c>
      <c r="U69" s="97"/>
      <c r="V69" s="106" t="s">
        <v>147</v>
      </c>
      <c r="W69" s="106" t="s">
        <v>148</v>
      </c>
      <c r="X69" s="107" t="s">
        <v>149</v>
      </c>
    </row>
    <row r="70" spans="2:24" ht="14.1" customHeight="1" x14ac:dyDescent="0.2">
      <c r="B70" s="99" t="str">
        <f t="shared" ref="B70:B80" si="12">_xlfn.TEXTJOIN(", ",TRUE,IF($G$4=C70,$G$3&amp;" ("&amp;TEXT($G$35,"$#,##0")&amp;")",""),IF($D$4=C70,$D$3,""),IF($E$4=C70,$E$3,""),IF($F$4=C70,$F$3,""))</f>
        <v>25% Restoration, 50% Restoration, 100% Restoration</v>
      </c>
      <c r="C70" s="98">
        <v>5</v>
      </c>
      <c r="D70" s="97" t="s">
        <v>169</v>
      </c>
      <c r="E70" s="97"/>
      <c r="F70" s="97" t="str">
        <f t="shared" ref="F70:F80" si="13">_xlfn.TEXTJOIN(", ",TRUE,IF($G$5=G70,$G$3&amp;" ("&amp;TEXT($G$36,"$#,##0")&amp;")",""),IF($D$5=G70,$D$3,""),IF($E$5=G70,$E$3,""),IF($F$5=G70,$F$3,""))</f>
        <v>25% Restoration, 50% Restoration, 100% Restoration</v>
      </c>
      <c r="G70" s="98">
        <v>5</v>
      </c>
      <c r="H70" s="97" t="s">
        <v>169</v>
      </c>
      <c r="I70" s="97"/>
      <c r="J70" s="97" t="str">
        <f t="shared" ref="J70:J80" si="14">_xlfn.TEXTJOIN(", ",TRUE,IF($G$6=K70,$G$3&amp;" ("&amp;TEXT($G$37,"$#,##0")&amp;")",""),IF($D$6=K70,$D$3,""),IF($E$6=K70,$E$3,""),IF($F$6=K70,$F$3,""))</f>
        <v>25% Restoration, 50% Restoration, 100% Restoration</v>
      </c>
      <c r="K70" s="98">
        <v>5</v>
      </c>
      <c r="L70" s="97" t="s">
        <v>169</v>
      </c>
      <c r="M70" s="97"/>
      <c r="N70" s="97" t="str">
        <f t="shared" ref="N70:N80" si="15">_xlfn.TEXTJOIN(", ",TRUE,IF($G$7=O70,$G$3&amp;" ("&amp;TEXT($G$38,"$#,##0")&amp;")",""),IF($D$7=O70,$D$3,""),IF($E$7=O70,$E$3,""),IF($F$7=O70,$F$3,""))</f>
        <v>100% Restoration</v>
      </c>
      <c r="O70" s="98">
        <v>5</v>
      </c>
      <c r="P70" s="97" t="s">
        <v>169</v>
      </c>
      <c r="Q70" s="97"/>
      <c r="R70" s="97" t="str">
        <f t="shared" ref="R70:R80" si="16">_xlfn.TEXTJOIN(", ",TRUE,IF($G$8=S70,$G$3&amp;" ("&amp;TEXT($G$39,"$#,##0")&amp;")",""),IF($D$8=S70,$D$3,""),IF($E$8=S70,$E$3,""),IF($F$8=S70,$F$3,""))</f>
        <v>25% Restoration, 50% Restoration, 100% Restoration</v>
      </c>
      <c r="S70" s="98">
        <v>5</v>
      </c>
      <c r="T70" s="97" t="s">
        <v>169</v>
      </c>
      <c r="U70" s="97"/>
      <c r="V70" s="97" t="str">
        <f t="shared" ref="V70:V80" si="17">_xlfn.TEXTJOIN(", ",TRUE,IF($G$9=W70,$G$3&amp;" ("&amp;TEXT($G$40,"$#,##0")&amp;")",""),IF($D$9=W70,$D$3,""),IF($E$9=W70,$E$3,""),IF($F$9=W70,$F$3,""))</f>
        <v>25% Restoration, 50% Restoration, 100% Restoration</v>
      </c>
      <c r="W70" s="98">
        <v>5</v>
      </c>
      <c r="X70" s="100" t="s">
        <v>169</v>
      </c>
    </row>
    <row r="71" spans="2:24" ht="14.1" customHeight="1" x14ac:dyDescent="0.2">
      <c r="B71" s="99" t="str">
        <f t="shared" si="12"/>
        <v/>
      </c>
      <c r="C71" s="98">
        <v>4</v>
      </c>
      <c r="D71" s="97" t="s">
        <v>151</v>
      </c>
      <c r="E71" s="97"/>
      <c r="F71" s="97" t="str">
        <f t="shared" si="13"/>
        <v/>
      </c>
      <c r="G71" s="98">
        <v>4</v>
      </c>
      <c r="H71" s="97" t="s">
        <v>151</v>
      </c>
      <c r="I71" s="97"/>
      <c r="J71" s="97" t="str">
        <f t="shared" si="14"/>
        <v/>
      </c>
      <c r="K71" s="98">
        <v>4</v>
      </c>
      <c r="L71" s="97" t="s">
        <v>151</v>
      </c>
      <c r="M71" s="97"/>
      <c r="N71" s="97" t="str">
        <f t="shared" si="15"/>
        <v/>
      </c>
      <c r="O71" s="98">
        <v>4</v>
      </c>
      <c r="P71" s="97" t="s">
        <v>151</v>
      </c>
      <c r="Q71" s="97"/>
      <c r="R71" s="97" t="str">
        <f t="shared" si="16"/>
        <v/>
      </c>
      <c r="S71" s="98">
        <v>4</v>
      </c>
      <c r="T71" s="97" t="s">
        <v>151</v>
      </c>
      <c r="U71" s="97"/>
      <c r="V71" s="97" t="str">
        <f t="shared" si="17"/>
        <v/>
      </c>
      <c r="W71" s="98">
        <v>4</v>
      </c>
      <c r="X71" s="100" t="s">
        <v>151</v>
      </c>
    </row>
    <row r="72" spans="2:24" ht="14.1" customHeight="1" x14ac:dyDescent="0.2">
      <c r="B72" s="99" t="str">
        <f t="shared" si="12"/>
        <v/>
      </c>
      <c r="C72" s="98">
        <v>3</v>
      </c>
      <c r="D72" s="97" t="s">
        <v>152</v>
      </c>
      <c r="E72" s="97"/>
      <c r="F72" s="97" t="str">
        <f t="shared" si="13"/>
        <v/>
      </c>
      <c r="G72" s="98">
        <v>3</v>
      </c>
      <c r="H72" s="97" t="s">
        <v>152</v>
      </c>
      <c r="I72" s="97"/>
      <c r="J72" s="97" t="str">
        <f t="shared" si="14"/>
        <v/>
      </c>
      <c r="K72" s="98">
        <v>3</v>
      </c>
      <c r="L72" s="97" t="s">
        <v>152</v>
      </c>
      <c r="M72" s="97"/>
      <c r="N72" s="97" t="str">
        <f t="shared" si="15"/>
        <v/>
      </c>
      <c r="O72" s="98">
        <v>3</v>
      </c>
      <c r="P72" s="97" t="s">
        <v>152</v>
      </c>
      <c r="Q72" s="97"/>
      <c r="R72" s="97" t="str">
        <f t="shared" si="16"/>
        <v/>
      </c>
      <c r="S72" s="98">
        <v>3</v>
      </c>
      <c r="T72" s="97" t="s">
        <v>152</v>
      </c>
      <c r="U72" s="97"/>
      <c r="V72" s="97" t="str">
        <f t="shared" si="17"/>
        <v/>
      </c>
      <c r="W72" s="98">
        <v>3</v>
      </c>
      <c r="X72" s="100" t="s">
        <v>152</v>
      </c>
    </row>
    <row r="73" spans="2:24" ht="14.1" customHeight="1" x14ac:dyDescent="0.2">
      <c r="B73" s="99" t="str">
        <f t="shared" si="12"/>
        <v/>
      </c>
      <c r="C73" s="98">
        <v>2</v>
      </c>
      <c r="D73" s="97" t="s">
        <v>153</v>
      </c>
      <c r="E73" s="97"/>
      <c r="F73" s="97" t="str">
        <f t="shared" si="13"/>
        <v/>
      </c>
      <c r="G73" s="98">
        <v>2</v>
      </c>
      <c r="H73" s="97" t="s">
        <v>153</v>
      </c>
      <c r="I73" s="97"/>
      <c r="J73" s="97" t="str">
        <f t="shared" si="14"/>
        <v/>
      </c>
      <c r="K73" s="98">
        <v>2</v>
      </c>
      <c r="L73" s="97" t="s">
        <v>153</v>
      </c>
      <c r="M73" s="97"/>
      <c r="N73" s="97" t="str">
        <f t="shared" si="15"/>
        <v/>
      </c>
      <c r="O73" s="98">
        <v>2</v>
      </c>
      <c r="P73" s="97" t="s">
        <v>153</v>
      </c>
      <c r="Q73" s="97"/>
      <c r="R73" s="97" t="str">
        <f t="shared" si="16"/>
        <v/>
      </c>
      <c r="S73" s="98">
        <v>2</v>
      </c>
      <c r="T73" s="97" t="s">
        <v>153</v>
      </c>
      <c r="U73" s="97"/>
      <c r="V73" s="97" t="str">
        <f t="shared" si="17"/>
        <v/>
      </c>
      <c r="W73" s="98">
        <v>2</v>
      </c>
      <c r="X73" s="100" t="s">
        <v>153</v>
      </c>
    </row>
    <row r="74" spans="2:24" ht="14.1" customHeight="1" x14ac:dyDescent="0.2">
      <c r="B74" s="99" t="str">
        <f t="shared" si="12"/>
        <v/>
      </c>
      <c r="C74" s="98">
        <v>1</v>
      </c>
      <c r="D74" s="97" t="s">
        <v>154</v>
      </c>
      <c r="E74" s="97"/>
      <c r="F74" s="97" t="str">
        <f t="shared" si="13"/>
        <v/>
      </c>
      <c r="G74" s="98">
        <v>1</v>
      </c>
      <c r="H74" s="97" t="s">
        <v>154</v>
      </c>
      <c r="I74" s="97"/>
      <c r="J74" s="97" t="str">
        <f t="shared" si="14"/>
        <v/>
      </c>
      <c r="K74" s="98">
        <v>1</v>
      </c>
      <c r="L74" s="97" t="s">
        <v>154</v>
      </c>
      <c r="M74" s="97"/>
      <c r="N74" s="97" t="str">
        <f t="shared" si="15"/>
        <v/>
      </c>
      <c r="O74" s="98">
        <v>1</v>
      </c>
      <c r="P74" s="97" t="s">
        <v>154</v>
      </c>
      <c r="Q74" s="97"/>
      <c r="R74" s="97" t="str">
        <f t="shared" si="16"/>
        <v/>
      </c>
      <c r="S74" s="98">
        <v>1</v>
      </c>
      <c r="T74" s="97" t="s">
        <v>154</v>
      </c>
      <c r="U74" s="97"/>
      <c r="V74" s="97" t="str">
        <f t="shared" si="17"/>
        <v/>
      </c>
      <c r="W74" s="98">
        <v>1</v>
      </c>
      <c r="X74" s="100" t="s">
        <v>154</v>
      </c>
    </row>
    <row r="75" spans="2:24" ht="14.1" customHeight="1" x14ac:dyDescent="0.2">
      <c r="B75" s="99" t="str">
        <f t="shared" si="12"/>
        <v>BAU Baseline ($40,340,929)</v>
      </c>
      <c r="C75" s="98">
        <v>0</v>
      </c>
      <c r="D75" s="97" t="s">
        <v>155</v>
      </c>
      <c r="E75" s="97"/>
      <c r="F75" s="97" t="str">
        <f t="shared" si="13"/>
        <v>BAU Baseline ($6,756,577)</v>
      </c>
      <c r="G75" s="98">
        <v>0</v>
      </c>
      <c r="H75" s="97" t="s">
        <v>155</v>
      </c>
      <c r="I75" s="97"/>
      <c r="J75" s="97" t="str">
        <f t="shared" si="14"/>
        <v>BAU Baseline ($8,874,896)</v>
      </c>
      <c r="K75" s="98">
        <v>0</v>
      </c>
      <c r="L75" s="97" t="s">
        <v>155</v>
      </c>
      <c r="M75" s="97"/>
      <c r="N75" s="97" t="str">
        <f t="shared" si="15"/>
        <v>BAU Baseline ($20,864,682), 25% Restoration, 50% Restoration</v>
      </c>
      <c r="O75" s="98">
        <v>0</v>
      </c>
      <c r="P75" s="97" t="s">
        <v>155</v>
      </c>
      <c r="Q75" s="97"/>
      <c r="R75" s="97" t="str">
        <f t="shared" si="16"/>
        <v>BAU Baseline ($3,844,774)</v>
      </c>
      <c r="S75" s="98">
        <v>0</v>
      </c>
      <c r="T75" s="97" t="s">
        <v>155</v>
      </c>
      <c r="U75" s="97"/>
      <c r="V75" s="97" t="str">
        <f t="shared" si="17"/>
        <v>BAU Baseline ($0)</v>
      </c>
      <c r="W75" s="98">
        <v>0</v>
      </c>
      <c r="X75" s="100" t="s">
        <v>155</v>
      </c>
    </row>
    <row r="76" spans="2:24" ht="14.1" customHeight="1" x14ac:dyDescent="0.2">
      <c r="B76" s="99" t="str">
        <f t="shared" si="12"/>
        <v/>
      </c>
      <c r="C76" s="98">
        <v>-1</v>
      </c>
      <c r="D76" s="97" t="s">
        <v>156</v>
      </c>
      <c r="E76" s="97"/>
      <c r="F76" s="97" t="str">
        <f t="shared" si="13"/>
        <v/>
      </c>
      <c r="G76" s="98">
        <v>-1</v>
      </c>
      <c r="H76" s="97" t="s">
        <v>156</v>
      </c>
      <c r="I76" s="97"/>
      <c r="J76" s="97" t="str">
        <f t="shared" si="14"/>
        <v/>
      </c>
      <c r="K76" s="98">
        <v>-1</v>
      </c>
      <c r="L76" s="97" t="s">
        <v>156</v>
      </c>
      <c r="M76" s="97"/>
      <c r="N76" s="97" t="str">
        <f t="shared" si="15"/>
        <v/>
      </c>
      <c r="O76" s="98">
        <v>-1</v>
      </c>
      <c r="P76" s="97" t="s">
        <v>156</v>
      </c>
      <c r="Q76" s="97"/>
      <c r="R76" s="97" t="str">
        <f t="shared" si="16"/>
        <v/>
      </c>
      <c r="S76" s="98">
        <v>-1</v>
      </c>
      <c r="T76" s="97" t="s">
        <v>156</v>
      </c>
      <c r="U76" s="97"/>
      <c r="V76" s="97" t="str">
        <f t="shared" si="17"/>
        <v/>
      </c>
      <c r="W76" s="98">
        <v>-1</v>
      </c>
      <c r="X76" s="100" t="s">
        <v>156</v>
      </c>
    </row>
    <row r="77" spans="2:24" ht="14.1" customHeight="1" x14ac:dyDescent="0.2">
      <c r="B77" s="99" t="str">
        <f t="shared" si="12"/>
        <v/>
      </c>
      <c r="C77" s="98">
        <v>-2</v>
      </c>
      <c r="D77" s="97" t="s">
        <v>157</v>
      </c>
      <c r="E77" s="97"/>
      <c r="F77" s="97" t="str">
        <f t="shared" si="13"/>
        <v/>
      </c>
      <c r="G77" s="98">
        <v>-2</v>
      </c>
      <c r="H77" s="97" t="s">
        <v>157</v>
      </c>
      <c r="I77" s="97"/>
      <c r="J77" s="97" t="str">
        <f t="shared" si="14"/>
        <v/>
      </c>
      <c r="K77" s="98">
        <v>-2</v>
      </c>
      <c r="L77" s="97" t="s">
        <v>157</v>
      </c>
      <c r="M77" s="97"/>
      <c r="N77" s="97" t="str">
        <f t="shared" si="15"/>
        <v/>
      </c>
      <c r="O77" s="98">
        <v>-2</v>
      </c>
      <c r="P77" s="97" t="s">
        <v>157</v>
      </c>
      <c r="Q77" s="97"/>
      <c r="R77" s="97" t="str">
        <f t="shared" si="16"/>
        <v/>
      </c>
      <c r="S77" s="98">
        <v>-2</v>
      </c>
      <c r="T77" s="97" t="s">
        <v>157</v>
      </c>
      <c r="U77" s="97"/>
      <c r="V77" s="97" t="str">
        <f t="shared" si="17"/>
        <v/>
      </c>
      <c r="W77" s="98">
        <v>-2</v>
      </c>
      <c r="X77" s="100" t="s">
        <v>157</v>
      </c>
    </row>
    <row r="78" spans="2:24" ht="14.1" customHeight="1" x14ac:dyDescent="0.2">
      <c r="B78" s="99" t="str">
        <f t="shared" si="12"/>
        <v/>
      </c>
      <c r="C78" s="98">
        <v>-3</v>
      </c>
      <c r="D78" s="97" t="s">
        <v>158</v>
      </c>
      <c r="E78" s="97"/>
      <c r="F78" s="97" t="str">
        <f t="shared" si="13"/>
        <v/>
      </c>
      <c r="G78" s="98">
        <v>-3</v>
      </c>
      <c r="H78" s="97" t="s">
        <v>158</v>
      </c>
      <c r="I78" s="97"/>
      <c r="J78" s="97" t="str">
        <f t="shared" si="14"/>
        <v/>
      </c>
      <c r="K78" s="98">
        <v>-3</v>
      </c>
      <c r="L78" s="97" t="s">
        <v>158</v>
      </c>
      <c r="M78" s="97"/>
      <c r="N78" s="97" t="str">
        <f t="shared" si="15"/>
        <v/>
      </c>
      <c r="O78" s="98">
        <v>-3</v>
      </c>
      <c r="P78" s="97" t="s">
        <v>158</v>
      </c>
      <c r="Q78" s="97"/>
      <c r="R78" s="97" t="str">
        <f t="shared" si="16"/>
        <v/>
      </c>
      <c r="S78" s="98">
        <v>-3</v>
      </c>
      <c r="T78" s="97" t="s">
        <v>158</v>
      </c>
      <c r="U78" s="97"/>
      <c r="V78" s="97" t="str">
        <f t="shared" si="17"/>
        <v/>
      </c>
      <c r="W78" s="98">
        <v>-3</v>
      </c>
      <c r="X78" s="100" t="s">
        <v>158</v>
      </c>
    </row>
    <row r="79" spans="2:24" ht="14.1" customHeight="1" x14ac:dyDescent="0.2">
      <c r="B79" s="99" t="str">
        <f t="shared" si="12"/>
        <v/>
      </c>
      <c r="C79" s="98">
        <v>-4</v>
      </c>
      <c r="D79" s="97" t="s">
        <v>159</v>
      </c>
      <c r="E79" s="97"/>
      <c r="F79" s="97" t="str">
        <f t="shared" si="13"/>
        <v/>
      </c>
      <c r="G79" s="98">
        <v>-4</v>
      </c>
      <c r="H79" s="97" t="s">
        <v>159</v>
      </c>
      <c r="I79" s="97"/>
      <c r="J79" s="97" t="str">
        <f t="shared" si="14"/>
        <v/>
      </c>
      <c r="K79" s="98">
        <v>-4</v>
      </c>
      <c r="L79" s="97" t="s">
        <v>159</v>
      </c>
      <c r="M79" s="97"/>
      <c r="N79" s="97" t="str">
        <f t="shared" si="15"/>
        <v/>
      </c>
      <c r="O79" s="98">
        <v>-4</v>
      </c>
      <c r="P79" s="97" t="s">
        <v>159</v>
      </c>
      <c r="Q79" s="97"/>
      <c r="R79" s="97" t="str">
        <f t="shared" si="16"/>
        <v/>
      </c>
      <c r="S79" s="98">
        <v>-4</v>
      </c>
      <c r="T79" s="97" t="s">
        <v>159</v>
      </c>
      <c r="U79" s="97"/>
      <c r="V79" s="97" t="str">
        <f t="shared" si="17"/>
        <v/>
      </c>
      <c r="W79" s="98">
        <v>-4</v>
      </c>
      <c r="X79" s="100" t="s">
        <v>159</v>
      </c>
    </row>
    <row r="80" spans="2:24" ht="14.1" customHeight="1" thickBot="1" x14ac:dyDescent="0.25">
      <c r="B80" s="101" t="str">
        <f t="shared" si="12"/>
        <v/>
      </c>
      <c r="C80" s="102">
        <v>-5</v>
      </c>
      <c r="D80" s="103" t="s">
        <v>170</v>
      </c>
      <c r="E80" s="103"/>
      <c r="F80" s="103" t="str">
        <f t="shared" si="13"/>
        <v/>
      </c>
      <c r="G80" s="102">
        <v>-5</v>
      </c>
      <c r="H80" s="103" t="s">
        <v>170</v>
      </c>
      <c r="I80" s="103"/>
      <c r="J80" s="103" t="str">
        <f t="shared" si="14"/>
        <v/>
      </c>
      <c r="K80" s="102">
        <v>-5</v>
      </c>
      <c r="L80" s="103" t="s">
        <v>170</v>
      </c>
      <c r="M80" s="103"/>
      <c r="N80" s="103" t="str">
        <f t="shared" si="15"/>
        <v/>
      </c>
      <c r="O80" s="102">
        <v>-5</v>
      </c>
      <c r="P80" s="103" t="s">
        <v>170</v>
      </c>
      <c r="Q80" s="103"/>
      <c r="R80" s="103" t="str">
        <f t="shared" si="16"/>
        <v/>
      </c>
      <c r="S80" s="102">
        <v>-5</v>
      </c>
      <c r="T80" s="103" t="s">
        <v>170</v>
      </c>
      <c r="U80" s="103"/>
      <c r="V80" s="103" t="str">
        <f t="shared" si="17"/>
        <v/>
      </c>
      <c r="W80" s="102">
        <v>-5</v>
      </c>
      <c r="X80" s="104" t="s">
        <v>170</v>
      </c>
    </row>
    <row r="81" spans="2:24" ht="14.1" customHeight="1" thickBot="1" x14ac:dyDescent="0.25"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</row>
    <row r="82" spans="2:24" ht="14.1" customHeight="1" thickBot="1" x14ac:dyDescent="0.25">
      <c r="B82" s="183" t="s">
        <v>171</v>
      </c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5"/>
    </row>
    <row r="83" spans="2:24" ht="14.1" customHeight="1" thickBot="1" x14ac:dyDescent="0.25">
      <c r="B83" s="180" t="s">
        <v>144</v>
      </c>
      <c r="C83" s="181"/>
      <c r="D83" s="182"/>
      <c r="E83" s="126"/>
      <c r="F83" s="180" t="s">
        <v>95</v>
      </c>
      <c r="G83" s="181"/>
      <c r="H83" s="182"/>
      <c r="I83" s="126"/>
      <c r="J83" s="180" t="s">
        <v>99</v>
      </c>
      <c r="K83" s="181"/>
      <c r="L83" s="182"/>
      <c r="M83" s="126"/>
      <c r="N83" s="180" t="s">
        <v>101</v>
      </c>
      <c r="O83" s="181"/>
      <c r="P83" s="182"/>
      <c r="Q83" s="126"/>
      <c r="R83" s="180" t="s">
        <v>102</v>
      </c>
      <c r="S83" s="181"/>
      <c r="T83" s="182"/>
      <c r="U83" s="126"/>
      <c r="V83" s="180" t="s">
        <v>109</v>
      </c>
      <c r="W83" s="181"/>
      <c r="X83" s="182"/>
    </row>
    <row r="84" spans="2:24" ht="14.1" customHeight="1" x14ac:dyDescent="0.2">
      <c r="B84" s="105" t="s">
        <v>147</v>
      </c>
      <c r="C84" s="106" t="s">
        <v>148</v>
      </c>
      <c r="D84" s="106" t="s">
        <v>149</v>
      </c>
      <c r="E84" s="97"/>
      <c r="F84" s="106" t="s">
        <v>147</v>
      </c>
      <c r="G84" s="106" t="s">
        <v>148</v>
      </c>
      <c r="H84" s="106" t="s">
        <v>149</v>
      </c>
      <c r="I84" s="97"/>
      <c r="J84" s="106" t="s">
        <v>147</v>
      </c>
      <c r="K84" s="106" t="s">
        <v>148</v>
      </c>
      <c r="L84" s="106" t="s">
        <v>149</v>
      </c>
      <c r="M84" s="97"/>
      <c r="N84" s="106" t="s">
        <v>147</v>
      </c>
      <c r="O84" s="106" t="s">
        <v>148</v>
      </c>
      <c r="P84" s="106" t="s">
        <v>149</v>
      </c>
      <c r="Q84" s="97"/>
      <c r="R84" s="106" t="s">
        <v>147</v>
      </c>
      <c r="S84" s="106" t="s">
        <v>148</v>
      </c>
      <c r="T84" s="106" t="s">
        <v>149</v>
      </c>
      <c r="U84" s="97"/>
      <c r="V84" s="106" t="s">
        <v>147</v>
      </c>
      <c r="W84" s="106" t="s">
        <v>148</v>
      </c>
      <c r="X84" s="107" t="s">
        <v>149</v>
      </c>
    </row>
    <row r="85" spans="2:24" ht="14.1" customHeight="1" x14ac:dyDescent="0.2">
      <c r="B85" s="99" t="str">
        <f t="shared" ref="B85:B95" si="18">_xlfn.TEXTJOIN(", ",TRUE,IF($G$11=C85,$G$10&amp;" ("&amp;TEXT($G$43,"$#,##0")&amp;")",""),IF($D$11=C85,$D$10,""),IF($E$11=C85,$E$10,""),IF($F$11=C85,$F$10,""))</f>
        <v>25% Restoration, 50% Restoration, 100% Restoration</v>
      </c>
      <c r="C85" s="98">
        <v>5</v>
      </c>
      <c r="D85" s="97" t="s">
        <v>169</v>
      </c>
      <c r="E85" s="97"/>
      <c r="F85" s="97" t="str">
        <f t="shared" ref="F85:F95" si="19">_xlfn.TEXTJOIN(", ",TRUE,IF($G$12=G85,$G$10&amp;" ("&amp;TEXT($G$44,"$#,##0")&amp;")",""),IF($D$12=G85,$D$10,""),IF($E$12=G85,$E$10,""),IF($F$12=G85,$F$10,""))</f>
        <v>25% Restoration, 50% Restoration, 100% Restoration</v>
      </c>
      <c r="G85" s="98">
        <v>5</v>
      </c>
      <c r="H85" s="97" t="s">
        <v>169</v>
      </c>
      <c r="I85" s="97"/>
      <c r="J85" s="97" t="str">
        <f t="shared" ref="J85:J95" si="20">_xlfn.TEXTJOIN(", ",TRUE,IF($G$13=K85,$G$10&amp;" ("&amp;TEXT($G$45,"$#,##0")&amp;")",""),IF($D$13=K85,$D$10,""),IF($E$13=K85,$E$10,""),IF($F$13=K85,$F$10,""))</f>
        <v>25% Restoration, 50% Restoration, 100% Restoration</v>
      </c>
      <c r="K85" s="98">
        <v>5</v>
      </c>
      <c r="L85" s="97" t="s">
        <v>169</v>
      </c>
      <c r="M85" s="97"/>
      <c r="N85" s="97" t="str">
        <f t="shared" ref="N85:N95" si="21">_xlfn.TEXTJOIN(", ",TRUE,IF($G$14=O85,$G$10&amp;" ("&amp;TEXT($G$46,"$#,##0")&amp;")",""),IF($D$14=O85,$D$10,""),IF($E$14=O85,$E$10,""),IF($F$14=O85,$F$10,""))</f>
        <v>100% Restoration</v>
      </c>
      <c r="O85" s="98">
        <v>5</v>
      </c>
      <c r="P85" s="97" t="s">
        <v>169</v>
      </c>
      <c r="Q85" s="97"/>
      <c r="R85" s="97" t="str">
        <f t="shared" ref="R85:R95" si="22">_xlfn.TEXTJOIN(", ",TRUE,IF($G$15=S85,$G$10&amp;" ("&amp;TEXT($G$47,"$#,##0")&amp;")",""),IF($D$15=S85,$D$10,""),IF($E$15=S85,$E$10,""),IF($F$15=S85,$F$10,""))</f>
        <v>25% Restoration, 50% Restoration, 100% Restoration</v>
      </c>
      <c r="S85" s="98">
        <v>5</v>
      </c>
      <c r="T85" s="97" t="s">
        <v>169</v>
      </c>
      <c r="U85" s="97"/>
      <c r="V85" s="97" t="str">
        <f t="shared" ref="V85:V95" si="23">_xlfn.TEXTJOIN(", ",TRUE,IF($G$16=W85,$G$10&amp;" ("&amp;TEXT($G$48,"$#,##0")&amp;")",""),IF($D$16=W85,$D$10,""),IF($E$16=W85,$E$10,""),IF($F$16=W85,$F$10,""))</f>
        <v>25% Restoration, 50% Restoration, 100% Restoration</v>
      </c>
      <c r="W85" s="98">
        <v>5</v>
      </c>
      <c r="X85" s="100" t="s">
        <v>169</v>
      </c>
    </row>
    <row r="86" spans="2:24" ht="14.1" customHeight="1" x14ac:dyDescent="0.2">
      <c r="B86" s="99" t="str">
        <f t="shared" si="18"/>
        <v/>
      </c>
      <c r="C86" s="98">
        <v>4</v>
      </c>
      <c r="D86" s="97" t="s">
        <v>151</v>
      </c>
      <c r="E86" s="97"/>
      <c r="F86" s="97" t="str">
        <f t="shared" si="19"/>
        <v/>
      </c>
      <c r="G86" s="98">
        <v>4</v>
      </c>
      <c r="H86" s="97" t="s">
        <v>151</v>
      </c>
      <c r="I86" s="97"/>
      <c r="J86" s="97" t="str">
        <f t="shared" si="20"/>
        <v/>
      </c>
      <c r="K86" s="98">
        <v>4</v>
      </c>
      <c r="L86" s="97" t="s">
        <v>151</v>
      </c>
      <c r="M86" s="97"/>
      <c r="N86" s="97" t="str">
        <f t="shared" si="21"/>
        <v/>
      </c>
      <c r="O86" s="98">
        <v>4</v>
      </c>
      <c r="P86" s="97" t="s">
        <v>151</v>
      </c>
      <c r="Q86" s="97"/>
      <c r="R86" s="97" t="str">
        <f t="shared" si="22"/>
        <v/>
      </c>
      <c r="S86" s="98">
        <v>4</v>
      </c>
      <c r="T86" s="97" t="s">
        <v>151</v>
      </c>
      <c r="U86" s="97"/>
      <c r="V86" s="97" t="str">
        <f t="shared" si="23"/>
        <v/>
      </c>
      <c r="W86" s="98">
        <v>4</v>
      </c>
      <c r="X86" s="100" t="s">
        <v>151</v>
      </c>
    </row>
    <row r="87" spans="2:24" ht="14.1" customHeight="1" x14ac:dyDescent="0.2">
      <c r="B87" s="99" t="str">
        <f t="shared" si="18"/>
        <v/>
      </c>
      <c r="C87" s="98">
        <v>3</v>
      </c>
      <c r="D87" s="97" t="s">
        <v>152</v>
      </c>
      <c r="E87" s="97"/>
      <c r="F87" s="97" t="str">
        <f t="shared" si="19"/>
        <v/>
      </c>
      <c r="G87" s="98">
        <v>3</v>
      </c>
      <c r="H87" s="97" t="s">
        <v>152</v>
      </c>
      <c r="I87" s="97"/>
      <c r="J87" s="97" t="str">
        <f t="shared" si="20"/>
        <v/>
      </c>
      <c r="K87" s="98">
        <v>3</v>
      </c>
      <c r="L87" s="97" t="s">
        <v>152</v>
      </c>
      <c r="M87" s="97"/>
      <c r="N87" s="97" t="str">
        <f t="shared" si="21"/>
        <v/>
      </c>
      <c r="O87" s="98">
        <v>3</v>
      </c>
      <c r="P87" s="97" t="s">
        <v>152</v>
      </c>
      <c r="Q87" s="97"/>
      <c r="R87" s="97" t="str">
        <f t="shared" si="22"/>
        <v/>
      </c>
      <c r="S87" s="98">
        <v>3</v>
      </c>
      <c r="T87" s="97" t="s">
        <v>152</v>
      </c>
      <c r="U87" s="97"/>
      <c r="V87" s="97" t="str">
        <f t="shared" si="23"/>
        <v/>
      </c>
      <c r="W87" s="98">
        <v>3</v>
      </c>
      <c r="X87" s="100" t="s">
        <v>152</v>
      </c>
    </row>
    <row r="88" spans="2:24" ht="14.1" customHeight="1" x14ac:dyDescent="0.2">
      <c r="B88" s="99" t="str">
        <f t="shared" si="18"/>
        <v/>
      </c>
      <c r="C88" s="98">
        <v>2</v>
      </c>
      <c r="D88" s="97" t="s">
        <v>153</v>
      </c>
      <c r="E88" s="97"/>
      <c r="F88" s="97" t="str">
        <f t="shared" si="19"/>
        <v/>
      </c>
      <c r="G88" s="98">
        <v>2</v>
      </c>
      <c r="H88" s="97" t="s">
        <v>153</v>
      </c>
      <c r="I88" s="97"/>
      <c r="J88" s="97" t="str">
        <f t="shared" si="20"/>
        <v/>
      </c>
      <c r="K88" s="98">
        <v>2</v>
      </c>
      <c r="L88" s="97" t="s">
        <v>153</v>
      </c>
      <c r="M88" s="97"/>
      <c r="N88" s="97" t="str">
        <f t="shared" si="21"/>
        <v/>
      </c>
      <c r="O88" s="98">
        <v>2</v>
      </c>
      <c r="P88" s="97" t="s">
        <v>153</v>
      </c>
      <c r="Q88" s="97"/>
      <c r="R88" s="97" t="str">
        <f t="shared" si="22"/>
        <v/>
      </c>
      <c r="S88" s="98">
        <v>2</v>
      </c>
      <c r="T88" s="97" t="s">
        <v>153</v>
      </c>
      <c r="U88" s="97"/>
      <c r="V88" s="97" t="str">
        <f t="shared" si="23"/>
        <v/>
      </c>
      <c r="W88" s="98">
        <v>2</v>
      </c>
      <c r="X88" s="100" t="s">
        <v>153</v>
      </c>
    </row>
    <row r="89" spans="2:24" ht="14.1" customHeight="1" x14ac:dyDescent="0.2">
      <c r="B89" s="99" t="str">
        <f t="shared" si="18"/>
        <v/>
      </c>
      <c r="C89" s="98">
        <v>1</v>
      </c>
      <c r="D89" s="97" t="s">
        <v>154</v>
      </c>
      <c r="E89" s="97"/>
      <c r="F89" s="97" t="str">
        <f t="shared" si="19"/>
        <v/>
      </c>
      <c r="G89" s="98">
        <v>1</v>
      </c>
      <c r="H89" s="97" t="s">
        <v>154</v>
      </c>
      <c r="I89" s="97"/>
      <c r="J89" s="97" t="str">
        <f t="shared" si="20"/>
        <v/>
      </c>
      <c r="K89" s="98">
        <v>1</v>
      </c>
      <c r="L89" s="97" t="s">
        <v>154</v>
      </c>
      <c r="M89" s="97"/>
      <c r="N89" s="97" t="str">
        <f t="shared" si="21"/>
        <v/>
      </c>
      <c r="O89" s="98">
        <v>1</v>
      </c>
      <c r="P89" s="97" t="s">
        <v>154</v>
      </c>
      <c r="Q89" s="97"/>
      <c r="R89" s="97" t="str">
        <f t="shared" si="22"/>
        <v/>
      </c>
      <c r="S89" s="98">
        <v>1</v>
      </c>
      <c r="T89" s="97" t="s">
        <v>154</v>
      </c>
      <c r="U89" s="97"/>
      <c r="V89" s="97" t="str">
        <f t="shared" si="23"/>
        <v/>
      </c>
      <c r="W89" s="98">
        <v>1</v>
      </c>
      <c r="X89" s="100" t="s">
        <v>154</v>
      </c>
    </row>
    <row r="90" spans="2:24" ht="14.1" customHeight="1" x14ac:dyDescent="0.2">
      <c r="B90" s="99" t="str">
        <f t="shared" si="18"/>
        <v>BAU Baseline ($17,546,880)</v>
      </c>
      <c r="C90" s="98">
        <v>0</v>
      </c>
      <c r="D90" s="97" t="s">
        <v>155</v>
      </c>
      <c r="E90" s="97"/>
      <c r="F90" s="97" t="str">
        <f t="shared" si="19"/>
        <v>BAU Baseline ($2,938,872)</v>
      </c>
      <c r="G90" s="98">
        <v>0</v>
      </c>
      <c r="H90" s="97" t="s">
        <v>155</v>
      </c>
      <c r="I90" s="97"/>
      <c r="J90" s="97" t="str">
        <f t="shared" si="20"/>
        <v>BAU Baseline ($3,860,266)</v>
      </c>
      <c r="K90" s="98">
        <v>0</v>
      </c>
      <c r="L90" s="97" t="s">
        <v>155</v>
      </c>
      <c r="M90" s="97"/>
      <c r="N90" s="97" t="str">
        <f t="shared" si="21"/>
        <v>BAU Baseline ($9,075,400), 25% Restoration, 50% Restoration</v>
      </c>
      <c r="O90" s="98">
        <v>0</v>
      </c>
      <c r="P90" s="97" t="s">
        <v>155</v>
      </c>
      <c r="Q90" s="97"/>
      <c r="R90" s="97" t="str">
        <f t="shared" si="22"/>
        <v>BAU Baseline ($1,672,341)</v>
      </c>
      <c r="S90" s="98">
        <v>0</v>
      </c>
      <c r="T90" s="97" t="s">
        <v>155</v>
      </c>
      <c r="U90" s="97"/>
      <c r="V90" s="97" t="str">
        <f t="shared" si="23"/>
        <v>BAU Baseline ($0)</v>
      </c>
      <c r="W90" s="98">
        <v>0</v>
      </c>
      <c r="X90" s="100" t="s">
        <v>155</v>
      </c>
    </row>
    <row r="91" spans="2:24" ht="14.1" customHeight="1" x14ac:dyDescent="0.2">
      <c r="B91" s="99" t="str">
        <f t="shared" si="18"/>
        <v/>
      </c>
      <c r="C91" s="98">
        <v>-1</v>
      </c>
      <c r="D91" s="97" t="s">
        <v>156</v>
      </c>
      <c r="E91" s="97"/>
      <c r="F91" s="97" t="str">
        <f t="shared" si="19"/>
        <v/>
      </c>
      <c r="G91" s="98">
        <v>-1</v>
      </c>
      <c r="H91" s="97" t="s">
        <v>156</v>
      </c>
      <c r="I91" s="97"/>
      <c r="J91" s="97" t="str">
        <f t="shared" si="20"/>
        <v/>
      </c>
      <c r="K91" s="98">
        <v>-1</v>
      </c>
      <c r="L91" s="97" t="s">
        <v>156</v>
      </c>
      <c r="M91" s="97"/>
      <c r="N91" s="97" t="str">
        <f t="shared" si="21"/>
        <v/>
      </c>
      <c r="O91" s="98">
        <v>-1</v>
      </c>
      <c r="P91" s="97" t="s">
        <v>156</v>
      </c>
      <c r="Q91" s="97"/>
      <c r="R91" s="97" t="str">
        <f t="shared" si="22"/>
        <v/>
      </c>
      <c r="S91" s="98">
        <v>-1</v>
      </c>
      <c r="T91" s="97" t="s">
        <v>156</v>
      </c>
      <c r="U91" s="97"/>
      <c r="V91" s="97" t="str">
        <f t="shared" si="23"/>
        <v/>
      </c>
      <c r="W91" s="98">
        <v>-1</v>
      </c>
      <c r="X91" s="100" t="s">
        <v>156</v>
      </c>
    </row>
    <row r="92" spans="2:24" ht="14.1" customHeight="1" x14ac:dyDescent="0.2">
      <c r="B92" s="99" t="str">
        <f t="shared" si="18"/>
        <v/>
      </c>
      <c r="C92" s="98">
        <v>-2</v>
      </c>
      <c r="D92" s="97" t="s">
        <v>157</v>
      </c>
      <c r="E92" s="97"/>
      <c r="F92" s="97" t="str">
        <f t="shared" si="19"/>
        <v/>
      </c>
      <c r="G92" s="98">
        <v>-2</v>
      </c>
      <c r="H92" s="97" t="s">
        <v>157</v>
      </c>
      <c r="I92" s="97"/>
      <c r="J92" s="97" t="str">
        <f t="shared" si="20"/>
        <v/>
      </c>
      <c r="K92" s="98">
        <v>-2</v>
      </c>
      <c r="L92" s="97" t="s">
        <v>157</v>
      </c>
      <c r="M92" s="97"/>
      <c r="N92" s="97" t="str">
        <f t="shared" si="21"/>
        <v/>
      </c>
      <c r="O92" s="98">
        <v>-2</v>
      </c>
      <c r="P92" s="97" t="s">
        <v>157</v>
      </c>
      <c r="Q92" s="97"/>
      <c r="R92" s="97" t="str">
        <f t="shared" si="22"/>
        <v/>
      </c>
      <c r="S92" s="98">
        <v>-2</v>
      </c>
      <c r="T92" s="97" t="s">
        <v>157</v>
      </c>
      <c r="U92" s="97"/>
      <c r="V92" s="97" t="str">
        <f t="shared" si="23"/>
        <v/>
      </c>
      <c r="W92" s="98">
        <v>-2</v>
      </c>
      <c r="X92" s="100" t="s">
        <v>157</v>
      </c>
    </row>
    <row r="93" spans="2:24" ht="14.1" customHeight="1" x14ac:dyDescent="0.2">
      <c r="B93" s="99" t="str">
        <f t="shared" si="18"/>
        <v/>
      </c>
      <c r="C93" s="98">
        <v>-3</v>
      </c>
      <c r="D93" s="97" t="s">
        <v>158</v>
      </c>
      <c r="E93" s="97"/>
      <c r="F93" s="97" t="str">
        <f t="shared" si="19"/>
        <v/>
      </c>
      <c r="G93" s="98">
        <v>-3</v>
      </c>
      <c r="H93" s="97" t="s">
        <v>158</v>
      </c>
      <c r="I93" s="97"/>
      <c r="J93" s="97" t="str">
        <f t="shared" si="20"/>
        <v/>
      </c>
      <c r="K93" s="98">
        <v>-3</v>
      </c>
      <c r="L93" s="97" t="s">
        <v>158</v>
      </c>
      <c r="M93" s="97"/>
      <c r="N93" s="97" t="str">
        <f t="shared" si="21"/>
        <v/>
      </c>
      <c r="O93" s="98">
        <v>-3</v>
      </c>
      <c r="P93" s="97" t="s">
        <v>158</v>
      </c>
      <c r="Q93" s="97"/>
      <c r="R93" s="97" t="str">
        <f t="shared" si="22"/>
        <v/>
      </c>
      <c r="S93" s="98">
        <v>-3</v>
      </c>
      <c r="T93" s="97" t="s">
        <v>158</v>
      </c>
      <c r="U93" s="97"/>
      <c r="V93" s="97" t="str">
        <f t="shared" si="23"/>
        <v/>
      </c>
      <c r="W93" s="98">
        <v>-3</v>
      </c>
      <c r="X93" s="100" t="s">
        <v>158</v>
      </c>
    </row>
    <row r="94" spans="2:24" ht="14.1" customHeight="1" x14ac:dyDescent="0.2">
      <c r="B94" s="99" t="str">
        <f t="shared" si="18"/>
        <v/>
      </c>
      <c r="C94" s="98">
        <v>-4</v>
      </c>
      <c r="D94" s="97" t="s">
        <v>159</v>
      </c>
      <c r="E94" s="97"/>
      <c r="F94" s="97" t="str">
        <f t="shared" si="19"/>
        <v/>
      </c>
      <c r="G94" s="98">
        <v>-4</v>
      </c>
      <c r="H94" s="97" t="s">
        <v>159</v>
      </c>
      <c r="I94" s="97"/>
      <c r="J94" s="97" t="str">
        <f t="shared" si="20"/>
        <v/>
      </c>
      <c r="K94" s="98">
        <v>-4</v>
      </c>
      <c r="L94" s="97" t="s">
        <v>159</v>
      </c>
      <c r="M94" s="97"/>
      <c r="N94" s="97" t="str">
        <f t="shared" si="21"/>
        <v/>
      </c>
      <c r="O94" s="98">
        <v>-4</v>
      </c>
      <c r="P94" s="97" t="s">
        <v>159</v>
      </c>
      <c r="Q94" s="97"/>
      <c r="R94" s="97" t="str">
        <f t="shared" si="22"/>
        <v/>
      </c>
      <c r="S94" s="98">
        <v>-4</v>
      </c>
      <c r="T94" s="97" t="s">
        <v>159</v>
      </c>
      <c r="U94" s="97"/>
      <c r="V94" s="97" t="str">
        <f t="shared" si="23"/>
        <v/>
      </c>
      <c r="W94" s="98">
        <v>-4</v>
      </c>
      <c r="X94" s="100" t="s">
        <v>159</v>
      </c>
    </row>
    <row r="95" spans="2:24" ht="14.1" customHeight="1" thickBot="1" x14ac:dyDescent="0.25">
      <c r="B95" s="101" t="str">
        <f t="shared" si="18"/>
        <v/>
      </c>
      <c r="C95" s="102">
        <v>-5</v>
      </c>
      <c r="D95" s="103" t="s">
        <v>170</v>
      </c>
      <c r="E95" s="103"/>
      <c r="F95" s="103" t="str">
        <f t="shared" si="19"/>
        <v/>
      </c>
      <c r="G95" s="102">
        <v>-5</v>
      </c>
      <c r="H95" s="103" t="s">
        <v>170</v>
      </c>
      <c r="I95" s="103"/>
      <c r="J95" s="103" t="str">
        <f t="shared" si="20"/>
        <v/>
      </c>
      <c r="K95" s="102">
        <v>-5</v>
      </c>
      <c r="L95" s="103" t="s">
        <v>170</v>
      </c>
      <c r="M95" s="103"/>
      <c r="N95" s="103" t="str">
        <f t="shared" si="21"/>
        <v/>
      </c>
      <c r="O95" s="102">
        <v>-5</v>
      </c>
      <c r="P95" s="103" t="s">
        <v>170</v>
      </c>
      <c r="Q95" s="103"/>
      <c r="R95" s="103" t="str">
        <f t="shared" si="22"/>
        <v/>
      </c>
      <c r="S95" s="102">
        <v>-5</v>
      </c>
      <c r="T95" s="103" t="s">
        <v>170</v>
      </c>
      <c r="U95" s="103"/>
      <c r="V95" s="103" t="str">
        <f t="shared" si="23"/>
        <v/>
      </c>
      <c r="W95" s="102">
        <v>-5</v>
      </c>
      <c r="X95" s="104" t="s">
        <v>170</v>
      </c>
    </row>
    <row r="96" spans="2:24" ht="14.1" customHeight="1" thickBot="1" x14ac:dyDescent="0.25"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 spans="2:24" ht="14.1" customHeight="1" thickBot="1" x14ac:dyDescent="0.25">
      <c r="B97" s="186" t="s">
        <v>172</v>
      </c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8"/>
    </row>
    <row r="98" spans="2:24" ht="14.1" customHeight="1" thickBot="1" x14ac:dyDescent="0.25">
      <c r="B98" s="180" t="s">
        <v>144</v>
      </c>
      <c r="C98" s="181"/>
      <c r="D98" s="182"/>
      <c r="E98" s="126"/>
      <c r="F98" s="180" t="s">
        <v>95</v>
      </c>
      <c r="G98" s="181"/>
      <c r="H98" s="182"/>
      <c r="I98" s="126"/>
      <c r="J98" s="180" t="s">
        <v>99</v>
      </c>
      <c r="K98" s="181"/>
      <c r="L98" s="182"/>
      <c r="M98" s="126"/>
      <c r="N98" s="180" t="s">
        <v>101</v>
      </c>
      <c r="O98" s="181"/>
      <c r="P98" s="182"/>
      <c r="Q98" s="126"/>
      <c r="R98" s="180" t="s">
        <v>102</v>
      </c>
      <c r="S98" s="181"/>
      <c r="T98" s="182"/>
      <c r="U98" s="126"/>
      <c r="V98" s="180" t="s">
        <v>109</v>
      </c>
      <c r="W98" s="181"/>
      <c r="X98" s="182"/>
    </row>
    <row r="99" spans="2:24" ht="14.1" customHeight="1" x14ac:dyDescent="0.2">
      <c r="B99" s="105" t="s">
        <v>147</v>
      </c>
      <c r="C99" s="106" t="s">
        <v>148</v>
      </c>
      <c r="D99" s="106" t="s">
        <v>149</v>
      </c>
      <c r="E99" s="97"/>
      <c r="F99" s="106" t="s">
        <v>147</v>
      </c>
      <c r="G99" s="106" t="s">
        <v>148</v>
      </c>
      <c r="H99" s="106" t="s">
        <v>149</v>
      </c>
      <c r="I99" s="97"/>
      <c r="J99" s="106" t="s">
        <v>147</v>
      </c>
      <c r="K99" s="106" t="s">
        <v>148</v>
      </c>
      <c r="L99" s="106" t="s">
        <v>149</v>
      </c>
      <c r="M99" s="97"/>
      <c r="N99" s="106" t="s">
        <v>147</v>
      </c>
      <c r="O99" s="106" t="s">
        <v>148</v>
      </c>
      <c r="P99" s="106" t="s">
        <v>149</v>
      </c>
      <c r="Q99" s="97"/>
      <c r="R99" s="106" t="s">
        <v>147</v>
      </c>
      <c r="S99" s="106" t="s">
        <v>148</v>
      </c>
      <c r="T99" s="106" t="s">
        <v>149</v>
      </c>
      <c r="U99" s="97"/>
      <c r="V99" s="106" t="s">
        <v>147</v>
      </c>
      <c r="W99" s="106" t="s">
        <v>148</v>
      </c>
      <c r="X99" s="107" t="s">
        <v>149</v>
      </c>
    </row>
    <row r="100" spans="2:24" ht="14.1" customHeight="1" x14ac:dyDescent="0.2">
      <c r="B100" s="99" t="str">
        <f t="shared" ref="B100:B110" si="24">_xlfn.TEXTJOIN(", ",TRUE,IF($G$18=C100,$G$17&amp;" ("&amp;TEXT($G$51,"$#,##0")&amp;")",""),IF($D$18=C100,$D$17,""),IF($E$18=C100,$E$17,""),IF($F$18=C100,$F$17,""))</f>
        <v>25% Restoration, 50% Restoration, 100% Restoration</v>
      </c>
      <c r="C100" s="98">
        <v>5</v>
      </c>
      <c r="D100" s="97" t="s">
        <v>169</v>
      </c>
      <c r="E100" s="97"/>
      <c r="F100" s="97" t="str">
        <f t="shared" ref="F100:F110" si="25">_xlfn.TEXTJOIN(", ",TRUE,IF($G$19=G100,$G$17&amp;" ("&amp;TEXT($G$52,"$#,##0")&amp;")",""),IF($D$19=G100,$D$17,""),IF($E$19=G100,$E$17,""),IF($F$19=G100,$F$17,""))</f>
        <v>25% Restoration, 50% Restoration, 100% Restoration</v>
      </c>
      <c r="G100" s="98">
        <v>5</v>
      </c>
      <c r="H100" s="97" t="s">
        <v>169</v>
      </c>
      <c r="I100" s="97"/>
      <c r="J100" s="97" t="str">
        <f t="shared" ref="J100:J110" si="26">_xlfn.TEXTJOIN(", ",TRUE,IF($G$20=K100,$G$17&amp;" ("&amp;TEXT($G$53,"$#,##0")&amp;")",""),IF($D$20=K100,$D$17,""),IF($E$20=K100,$E$17,""),IF($F$20=K100,$F$17,""))</f>
        <v>25% Restoration, 50% Restoration, 100% Restoration</v>
      </c>
      <c r="K100" s="98">
        <v>5</v>
      </c>
      <c r="L100" s="97" t="s">
        <v>169</v>
      </c>
      <c r="M100" s="97"/>
      <c r="N100" s="97" t="str">
        <f t="shared" ref="N100:N110" si="27">_xlfn.TEXTJOIN(", ",TRUE,IF($G$21=O100,$G$17&amp;" ("&amp;TEXT($G$54,"$#,##0")&amp;")",""),IF($D$21=O100,$D$17,""),IF($E$21=O100,$E$17,""),IF($F$21=O100,$F$17,""))</f>
        <v>100% Restoration</v>
      </c>
      <c r="O100" s="98">
        <v>5</v>
      </c>
      <c r="P100" s="97" t="s">
        <v>169</v>
      </c>
      <c r="Q100" s="97"/>
      <c r="R100" s="97" t="str">
        <f t="shared" ref="R100:R110" si="28">_xlfn.TEXTJOIN(", ",TRUE,IF($G$22=S100,$G$17&amp;" ("&amp;TEXT($G$55,"$#,##0")&amp;")",""),IF($D$22=S100,$D$17,""),IF($E$22=S100,$E$17,""),IF($F$22=S100,$F$17,""))</f>
        <v>25% Restoration, 50% Restoration, 100% Restoration</v>
      </c>
      <c r="S100" s="98">
        <v>5</v>
      </c>
      <c r="T100" s="97" t="s">
        <v>169</v>
      </c>
      <c r="U100" s="97"/>
      <c r="V100" s="97" t="str">
        <f t="shared" ref="V100:V110" si="29">_xlfn.TEXTJOIN(", ",TRUE,IF($G$23=W100,$G$17&amp;" ("&amp;TEXT($G$56,"$#,##0")&amp;")",""),IF($D$23=W100,$D$17,""),IF($E$23=W100,$E$17,""),IF($F$23=W100,$F$17,""))</f>
        <v>25% Restoration, 50% Restoration, 100% Restoration</v>
      </c>
      <c r="W100" s="98">
        <v>5</v>
      </c>
      <c r="X100" s="100" t="s">
        <v>169</v>
      </c>
    </row>
    <row r="101" spans="2:24" ht="14.1" customHeight="1" x14ac:dyDescent="0.2">
      <c r="B101" s="99" t="str">
        <f t="shared" si="24"/>
        <v/>
      </c>
      <c r="C101" s="98">
        <v>4</v>
      </c>
      <c r="D101" s="97" t="s">
        <v>151</v>
      </c>
      <c r="E101" s="97"/>
      <c r="F101" s="97" t="str">
        <f t="shared" si="25"/>
        <v/>
      </c>
      <c r="G101" s="98">
        <v>4</v>
      </c>
      <c r="H101" s="97" t="s">
        <v>151</v>
      </c>
      <c r="I101" s="97"/>
      <c r="J101" s="97" t="str">
        <f t="shared" si="26"/>
        <v/>
      </c>
      <c r="K101" s="98">
        <v>4</v>
      </c>
      <c r="L101" s="97" t="s">
        <v>151</v>
      </c>
      <c r="M101" s="97"/>
      <c r="N101" s="97" t="str">
        <f t="shared" si="27"/>
        <v/>
      </c>
      <c r="O101" s="98">
        <v>4</v>
      </c>
      <c r="P101" s="97" t="s">
        <v>151</v>
      </c>
      <c r="Q101" s="97"/>
      <c r="R101" s="97" t="str">
        <f t="shared" si="28"/>
        <v/>
      </c>
      <c r="S101" s="98">
        <v>4</v>
      </c>
      <c r="T101" s="97" t="s">
        <v>151</v>
      </c>
      <c r="U101" s="97"/>
      <c r="V101" s="97" t="str">
        <f t="shared" si="29"/>
        <v/>
      </c>
      <c r="W101" s="98">
        <v>4</v>
      </c>
      <c r="X101" s="100" t="s">
        <v>151</v>
      </c>
    </row>
    <row r="102" spans="2:24" ht="14.1" customHeight="1" x14ac:dyDescent="0.2">
      <c r="B102" s="99" t="str">
        <f t="shared" si="24"/>
        <v/>
      </c>
      <c r="C102" s="98">
        <v>3</v>
      </c>
      <c r="D102" s="97" t="s">
        <v>152</v>
      </c>
      <c r="E102" s="97"/>
      <c r="F102" s="97" t="str">
        <f t="shared" si="25"/>
        <v/>
      </c>
      <c r="G102" s="98">
        <v>3</v>
      </c>
      <c r="H102" s="97" t="s">
        <v>152</v>
      </c>
      <c r="I102" s="97"/>
      <c r="J102" s="97" t="str">
        <f t="shared" si="26"/>
        <v/>
      </c>
      <c r="K102" s="98">
        <v>3</v>
      </c>
      <c r="L102" s="97" t="s">
        <v>152</v>
      </c>
      <c r="M102" s="97"/>
      <c r="N102" s="97" t="str">
        <f t="shared" si="27"/>
        <v/>
      </c>
      <c r="O102" s="98">
        <v>3</v>
      </c>
      <c r="P102" s="97" t="s">
        <v>152</v>
      </c>
      <c r="Q102" s="97"/>
      <c r="R102" s="97" t="str">
        <f t="shared" si="28"/>
        <v/>
      </c>
      <c r="S102" s="98">
        <v>3</v>
      </c>
      <c r="T102" s="97" t="s">
        <v>152</v>
      </c>
      <c r="U102" s="97"/>
      <c r="V102" s="97" t="str">
        <f t="shared" si="29"/>
        <v/>
      </c>
      <c r="W102" s="98">
        <v>3</v>
      </c>
      <c r="X102" s="100" t="s">
        <v>152</v>
      </c>
    </row>
    <row r="103" spans="2:24" ht="14.1" customHeight="1" x14ac:dyDescent="0.2">
      <c r="B103" s="99" t="str">
        <f t="shared" si="24"/>
        <v/>
      </c>
      <c r="C103" s="98">
        <v>2</v>
      </c>
      <c r="D103" s="97" t="s">
        <v>153</v>
      </c>
      <c r="E103" s="97"/>
      <c r="F103" s="97" t="str">
        <f t="shared" si="25"/>
        <v/>
      </c>
      <c r="G103" s="98">
        <v>2</v>
      </c>
      <c r="H103" s="97" t="s">
        <v>153</v>
      </c>
      <c r="I103" s="97"/>
      <c r="J103" s="97" t="str">
        <f t="shared" si="26"/>
        <v/>
      </c>
      <c r="K103" s="98">
        <v>2</v>
      </c>
      <c r="L103" s="97" t="s">
        <v>153</v>
      </c>
      <c r="M103" s="97"/>
      <c r="N103" s="97" t="str">
        <f t="shared" si="27"/>
        <v/>
      </c>
      <c r="O103" s="98">
        <v>2</v>
      </c>
      <c r="P103" s="97" t="s">
        <v>153</v>
      </c>
      <c r="Q103" s="97"/>
      <c r="R103" s="97" t="str">
        <f t="shared" si="28"/>
        <v/>
      </c>
      <c r="S103" s="98">
        <v>2</v>
      </c>
      <c r="T103" s="97" t="s">
        <v>153</v>
      </c>
      <c r="U103" s="97"/>
      <c r="V103" s="97" t="str">
        <f t="shared" si="29"/>
        <v/>
      </c>
      <c r="W103" s="98">
        <v>2</v>
      </c>
      <c r="X103" s="100" t="s">
        <v>153</v>
      </c>
    </row>
    <row r="104" spans="2:24" ht="14.1" customHeight="1" x14ac:dyDescent="0.2">
      <c r="B104" s="99" t="str">
        <f t="shared" si="24"/>
        <v/>
      </c>
      <c r="C104" s="98">
        <v>1</v>
      </c>
      <c r="D104" s="97" t="s">
        <v>154</v>
      </c>
      <c r="E104" s="97"/>
      <c r="F104" s="97" t="str">
        <f t="shared" si="25"/>
        <v/>
      </c>
      <c r="G104" s="98">
        <v>1</v>
      </c>
      <c r="H104" s="97" t="s">
        <v>154</v>
      </c>
      <c r="I104" s="97"/>
      <c r="J104" s="97" t="str">
        <f t="shared" si="26"/>
        <v/>
      </c>
      <c r="K104" s="98">
        <v>1</v>
      </c>
      <c r="L104" s="97" t="s">
        <v>154</v>
      </c>
      <c r="M104" s="97"/>
      <c r="N104" s="97" t="str">
        <f t="shared" si="27"/>
        <v/>
      </c>
      <c r="O104" s="98">
        <v>1</v>
      </c>
      <c r="P104" s="97" t="s">
        <v>154</v>
      </c>
      <c r="Q104" s="97"/>
      <c r="R104" s="97" t="str">
        <f t="shared" si="28"/>
        <v/>
      </c>
      <c r="S104" s="98">
        <v>1</v>
      </c>
      <c r="T104" s="97" t="s">
        <v>154</v>
      </c>
      <c r="U104" s="97"/>
      <c r="V104" s="97" t="str">
        <f t="shared" si="29"/>
        <v/>
      </c>
      <c r="W104" s="98">
        <v>1</v>
      </c>
      <c r="X104" s="100" t="s">
        <v>154</v>
      </c>
    </row>
    <row r="105" spans="2:24" ht="14.1" customHeight="1" x14ac:dyDescent="0.2">
      <c r="B105" s="99" t="str">
        <f t="shared" si="24"/>
        <v>BAU Baseline ($10,084,961)</v>
      </c>
      <c r="C105" s="98">
        <v>0</v>
      </c>
      <c r="D105" s="97" t="s">
        <v>155</v>
      </c>
      <c r="E105" s="97"/>
      <c r="F105" s="97" t="str">
        <f t="shared" si="25"/>
        <v>BAU Baseline ($1,689,099)</v>
      </c>
      <c r="G105" s="98">
        <v>0</v>
      </c>
      <c r="H105" s="97" t="s">
        <v>155</v>
      </c>
      <c r="I105" s="97"/>
      <c r="J105" s="97" t="str">
        <f t="shared" si="26"/>
        <v>BAU Baseline ($2,218,664)</v>
      </c>
      <c r="K105" s="98">
        <v>0</v>
      </c>
      <c r="L105" s="97" t="s">
        <v>155</v>
      </c>
      <c r="M105" s="97"/>
      <c r="N105" s="97" t="str">
        <f t="shared" si="27"/>
        <v>BAU Baseline ($5,216,031), 25% Restoration, 50% Restoration</v>
      </c>
      <c r="O105" s="98">
        <v>0</v>
      </c>
      <c r="P105" s="97" t="s">
        <v>155</v>
      </c>
      <c r="Q105" s="97"/>
      <c r="R105" s="97" t="str">
        <f t="shared" si="28"/>
        <v>BAU Baseline ($961,168)</v>
      </c>
      <c r="S105" s="98">
        <v>0</v>
      </c>
      <c r="T105" s="97" t="s">
        <v>155</v>
      </c>
      <c r="U105" s="97"/>
      <c r="V105" s="97" t="str">
        <f t="shared" si="29"/>
        <v>BAU Baseline ($0)</v>
      </c>
      <c r="W105" s="98">
        <v>0</v>
      </c>
      <c r="X105" s="100" t="s">
        <v>155</v>
      </c>
    </row>
    <row r="106" spans="2:24" ht="14.1" customHeight="1" x14ac:dyDescent="0.2">
      <c r="B106" s="99" t="str">
        <f t="shared" si="24"/>
        <v/>
      </c>
      <c r="C106" s="98">
        <v>-1</v>
      </c>
      <c r="D106" s="97" t="s">
        <v>156</v>
      </c>
      <c r="E106" s="97"/>
      <c r="F106" s="97" t="str">
        <f t="shared" si="25"/>
        <v/>
      </c>
      <c r="G106" s="98">
        <v>-1</v>
      </c>
      <c r="H106" s="97" t="s">
        <v>156</v>
      </c>
      <c r="I106" s="97"/>
      <c r="J106" s="97" t="str">
        <f t="shared" si="26"/>
        <v/>
      </c>
      <c r="K106" s="98">
        <v>-1</v>
      </c>
      <c r="L106" s="97" t="s">
        <v>156</v>
      </c>
      <c r="M106" s="97"/>
      <c r="N106" s="97" t="str">
        <f t="shared" si="27"/>
        <v/>
      </c>
      <c r="O106" s="98">
        <v>-1</v>
      </c>
      <c r="P106" s="97" t="s">
        <v>156</v>
      </c>
      <c r="Q106" s="97"/>
      <c r="R106" s="97" t="str">
        <f t="shared" si="28"/>
        <v/>
      </c>
      <c r="S106" s="98">
        <v>-1</v>
      </c>
      <c r="T106" s="97" t="s">
        <v>156</v>
      </c>
      <c r="U106" s="97"/>
      <c r="V106" s="97" t="str">
        <f t="shared" si="29"/>
        <v/>
      </c>
      <c r="W106" s="98">
        <v>-1</v>
      </c>
      <c r="X106" s="100" t="s">
        <v>156</v>
      </c>
    </row>
    <row r="107" spans="2:24" ht="14.1" customHeight="1" x14ac:dyDescent="0.2">
      <c r="B107" s="99" t="str">
        <f t="shared" si="24"/>
        <v/>
      </c>
      <c r="C107" s="98">
        <v>-2</v>
      </c>
      <c r="D107" s="97" t="s">
        <v>157</v>
      </c>
      <c r="E107" s="97"/>
      <c r="F107" s="97" t="str">
        <f t="shared" si="25"/>
        <v/>
      </c>
      <c r="G107" s="98">
        <v>-2</v>
      </c>
      <c r="H107" s="97" t="s">
        <v>157</v>
      </c>
      <c r="I107" s="97"/>
      <c r="J107" s="97" t="str">
        <f t="shared" si="26"/>
        <v/>
      </c>
      <c r="K107" s="98">
        <v>-2</v>
      </c>
      <c r="L107" s="97" t="s">
        <v>157</v>
      </c>
      <c r="M107" s="97"/>
      <c r="N107" s="97" t="str">
        <f t="shared" si="27"/>
        <v/>
      </c>
      <c r="O107" s="98">
        <v>-2</v>
      </c>
      <c r="P107" s="97" t="s">
        <v>157</v>
      </c>
      <c r="Q107" s="97"/>
      <c r="R107" s="97" t="str">
        <f t="shared" si="28"/>
        <v/>
      </c>
      <c r="S107" s="98">
        <v>-2</v>
      </c>
      <c r="T107" s="97" t="s">
        <v>157</v>
      </c>
      <c r="U107" s="97"/>
      <c r="V107" s="97" t="str">
        <f t="shared" si="29"/>
        <v/>
      </c>
      <c r="W107" s="98">
        <v>-2</v>
      </c>
      <c r="X107" s="100" t="s">
        <v>157</v>
      </c>
    </row>
    <row r="108" spans="2:24" ht="14.1" customHeight="1" x14ac:dyDescent="0.2">
      <c r="B108" s="99" t="str">
        <f t="shared" si="24"/>
        <v/>
      </c>
      <c r="C108" s="98">
        <v>-3</v>
      </c>
      <c r="D108" s="97" t="s">
        <v>158</v>
      </c>
      <c r="E108" s="97"/>
      <c r="F108" s="97" t="str">
        <f t="shared" si="25"/>
        <v/>
      </c>
      <c r="G108" s="98">
        <v>-3</v>
      </c>
      <c r="H108" s="97" t="s">
        <v>158</v>
      </c>
      <c r="I108" s="97"/>
      <c r="J108" s="97" t="str">
        <f t="shared" si="26"/>
        <v/>
      </c>
      <c r="K108" s="98">
        <v>-3</v>
      </c>
      <c r="L108" s="97" t="s">
        <v>158</v>
      </c>
      <c r="M108" s="97"/>
      <c r="N108" s="97" t="str">
        <f t="shared" si="27"/>
        <v/>
      </c>
      <c r="O108" s="98">
        <v>-3</v>
      </c>
      <c r="P108" s="97" t="s">
        <v>158</v>
      </c>
      <c r="Q108" s="97"/>
      <c r="R108" s="97" t="str">
        <f t="shared" si="28"/>
        <v/>
      </c>
      <c r="S108" s="98">
        <v>-3</v>
      </c>
      <c r="T108" s="97" t="s">
        <v>158</v>
      </c>
      <c r="U108" s="97"/>
      <c r="V108" s="97" t="str">
        <f t="shared" si="29"/>
        <v/>
      </c>
      <c r="W108" s="98">
        <v>-3</v>
      </c>
      <c r="X108" s="100" t="s">
        <v>158</v>
      </c>
    </row>
    <row r="109" spans="2:24" ht="14.1" customHeight="1" x14ac:dyDescent="0.2">
      <c r="B109" s="99" t="str">
        <f t="shared" si="24"/>
        <v/>
      </c>
      <c r="C109" s="98">
        <v>-4</v>
      </c>
      <c r="D109" s="97" t="s">
        <v>159</v>
      </c>
      <c r="E109" s="97"/>
      <c r="F109" s="97" t="str">
        <f t="shared" si="25"/>
        <v/>
      </c>
      <c r="G109" s="98">
        <v>-4</v>
      </c>
      <c r="H109" s="97" t="s">
        <v>159</v>
      </c>
      <c r="I109" s="97"/>
      <c r="J109" s="97" t="str">
        <f t="shared" si="26"/>
        <v/>
      </c>
      <c r="K109" s="98">
        <v>-4</v>
      </c>
      <c r="L109" s="97" t="s">
        <v>159</v>
      </c>
      <c r="M109" s="97"/>
      <c r="N109" s="97" t="str">
        <f t="shared" si="27"/>
        <v/>
      </c>
      <c r="O109" s="98">
        <v>-4</v>
      </c>
      <c r="P109" s="97" t="s">
        <v>159</v>
      </c>
      <c r="Q109" s="97"/>
      <c r="R109" s="97" t="str">
        <f t="shared" si="28"/>
        <v/>
      </c>
      <c r="S109" s="98">
        <v>-4</v>
      </c>
      <c r="T109" s="97" t="s">
        <v>159</v>
      </c>
      <c r="U109" s="97"/>
      <c r="V109" s="97" t="str">
        <f t="shared" si="29"/>
        <v/>
      </c>
      <c r="W109" s="98">
        <v>-4</v>
      </c>
      <c r="X109" s="100" t="s">
        <v>159</v>
      </c>
    </row>
    <row r="110" spans="2:24" ht="14.1" customHeight="1" thickBot="1" x14ac:dyDescent="0.25">
      <c r="B110" s="101" t="str">
        <f t="shared" si="24"/>
        <v/>
      </c>
      <c r="C110" s="102">
        <v>-5</v>
      </c>
      <c r="D110" s="103" t="s">
        <v>170</v>
      </c>
      <c r="E110" s="103"/>
      <c r="F110" s="103" t="str">
        <f t="shared" si="25"/>
        <v/>
      </c>
      <c r="G110" s="102">
        <v>-5</v>
      </c>
      <c r="H110" s="103" t="s">
        <v>170</v>
      </c>
      <c r="I110" s="103"/>
      <c r="J110" s="103" t="str">
        <f t="shared" si="26"/>
        <v/>
      </c>
      <c r="K110" s="102">
        <v>-5</v>
      </c>
      <c r="L110" s="103" t="s">
        <v>170</v>
      </c>
      <c r="M110" s="103"/>
      <c r="N110" s="103" t="str">
        <f t="shared" si="27"/>
        <v/>
      </c>
      <c r="O110" s="102">
        <v>-5</v>
      </c>
      <c r="P110" s="103" t="s">
        <v>170</v>
      </c>
      <c r="Q110" s="103"/>
      <c r="R110" s="103" t="str">
        <f t="shared" si="28"/>
        <v/>
      </c>
      <c r="S110" s="102">
        <v>-5</v>
      </c>
      <c r="T110" s="103" t="s">
        <v>170</v>
      </c>
      <c r="U110" s="103"/>
      <c r="V110" s="103" t="str">
        <f t="shared" si="29"/>
        <v/>
      </c>
      <c r="W110" s="102">
        <v>-5</v>
      </c>
      <c r="X110" s="104" t="s">
        <v>170</v>
      </c>
    </row>
    <row r="111" spans="2:24" ht="14.1" customHeight="1" thickBot="1" x14ac:dyDescent="0.25"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</row>
    <row r="112" spans="2:24" ht="14.1" customHeight="1" thickBot="1" x14ac:dyDescent="0.25">
      <c r="B112" s="189" t="s">
        <v>173</v>
      </c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1"/>
    </row>
    <row r="113" spans="2:24" ht="14.1" customHeight="1" thickBot="1" x14ac:dyDescent="0.25">
      <c r="B113" s="180" t="s">
        <v>144</v>
      </c>
      <c r="C113" s="181"/>
      <c r="D113" s="182"/>
      <c r="E113" s="126"/>
      <c r="F113" s="180" t="s">
        <v>95</v>
      </c>
      <c r="G113" s="181"/>
      <c r="H113" s="182"/>
      <c r="I113" s="126"/>
      <c r="J113" s="180" t="s">
        <v>99</v>
      </c>
      <c r="K113" s="181"/>
      <c r="L113" s="182"/>
      <c r="M113" s="126"/>
      <c r="N113" s="180" t="s">
        <v>101</v>
      </c>
      <c r="O113" s="181"/>
      <c r="P113" s="182"/>
      <c r="Q113" s="126"/>
      <c r="R113" s="180" t="s">
        <v>102</v>
      </c>
      <c r="S113" s="181"/>
      <c r="T113" s="182"/>
      <c r="U113" s="126"/>
      <c r="V113" s="180" t="s">
        <v>109</v>
      </c>
      <c r="W113" s="181"/>
      <c r="X113" s="182"/>
    </row>
    <row r="114" spans="2:24" ht="14.1" customHeight="1" x14ac:dyDescent="0.2">
      <c r="B114" s="105" t="s">
        <v>147</v>
      </c>
      <c r="C114" s="106" t="s">
        <v>148</v>
      </c>
      <c r="D114" s="106" t="s">
        <v>149</v>
      </c>
      <c r="E114" s="97"/>
      <c r="F114" s="106" t="s">
        <v>147</v>
      </c>
      <c r="G114" s="106" t="s">
        <v>148</v>
      </c>
      <c r="H114" s="106" t="s">
        <v>149</v>
      </c>
      <c r="I114" s="97"/>
      <c r="J114" s="106" t="s">
        <v>147</v>
      </c>
      <c r="K114" s="106" t="s">
        <v>148</v>
      </c>
      <c r="L114" s="106" t="s">
        <v>149</v>
      </c>
      <c r="M114" s="97"/>
      <c r="N114" s="106" t="s">
        <v>147</v>
      </c>
      <c r="O114" s="106" t="s">
        <v>148</v>
      </c>
      <c r="P114" s="106" t="s">
        <v>149</v>
      </c>
      <c r="Q114" s="97"/>
      <c r="R114" s="106" t="s">
        <v>147</v>
      </c>
      <c r="S114" s="106" t="s">
        <v>148</v>
      </c>
      <c r="T114" s="106" t="s">
        <v>149</v>
      </c>
      <c r="U114" s="97"/>
      <c r="V114" s="106" t="s">
        <v>147</v>
      </c>
      <c r="W114" s="106" t="s">
        <v>148</v>
      </c>
      <c r="X114" s="107" t="s">
        <v>149</v>
      </c>
    </row>
    <row r="115" spans="2:24" ht="14.1" customHeight="1" x14ac:dyDescent="0.2">
      <c r="B115" s="99" t="str">
        <f t="shared" ref="B115:B125" si="30">_xlfn.TEXTJOIN(", ",TRUE,IF($G$25=C115,$G$24&amp;" ("&amp;TEXT($G$59,"$#,##0")&amp;")",""),IF($D$25=C115,$D$24,""),IF($E$25=C115,$E$24,""),IF($F$25=C115,$F$24,""))</f>
        <v>25% Restoration, 50% Restoration, 100% Restoration</v>
      </c>
      <c r="C115" s="98">
        <v>5</v>
      </c>
      <c r="D115" s="97" t="s">
        <v>169</v>
      </c>
      <c r="E115" s="97"/>
      <c r="F115" s="97" t="str">
        <f t="shared" ref="F115:F125" si="31">_xlfn.TEXTJOIN(", ",TRUE,IF($G$26=G115,$G$24&amp;" ("&amp;TEXT($G$60,"$#,##0")&amp;")",""),IF($D$26=G115,$D$24,""),IF($E$26=G115,$E$24,""),IF($F$26=G115,$F$24,""))</f>
        <v>25% Restoration, 50% Restoration, 100% Restoration</v>
      </c>
      <c r="G115" s="98">
        <v>5</v>
      </c>
      <c r="H115" s="97" t="s">
        <v>169</v>
      </c>
      <c r="I115" s="97"/>
      <c r="J115" s="97" t="str">
        <f t="shared" ref="J115:J125" si="32">_xlfn.TEXTJOIN(", ",TRUE,IF($G$27=K115,$G$24&amp;" ("&amp;TEXT($G$61,"$#,##0")&amp;")",""),IF($D$27=K115,$D$24,""),IF($E$27=K115,$E$24,""),IF($F$27=K115,$F$24,""))</f>
        <v>25% Restoration, 50% Restoration, 100% Restoration</v>
      </c>
      <c r="K115" s="98">
        <v>5</v>
      </c>
      <c r="L115" s="97" t="s">
        <v>169</v>
      </c>
      <c r="M115" s="97"/>
      <c r="N115" s="97" t="str">
        <f t="shared" ref="N115:N125" si="33">_xlfn.TEXTJOIN(", ",TRUE,IF($G$28=O115,$G$24&amp;" ("&amp;TEXT($G$62,"$#,##0")&amp;")",""),IF($D$28=O115,$D$24,""),IF($E$28=O115,$E$24,""),IF($F$28=O115,$F$24,""))</f>
        <v>100% Restoration</v>
      </c>
      <c r="O115" s="98">
        <v>5</v>
      </c>
      <c r="P115" s="97" t="s">
        <v>169</v>
      </c>
      <c r="Q115" s="97"/>
      <c r="R115" s="97" t="str">
        <f t="shared" ref="R115:R125" si="34">_xlfn.TEXTJOIN(", ",TRUE,IF($G$29=S115,$G$24&amp;" ("&amp;TEXT($G$63,"$#,##0")&amp;")",""),IF($D$29=S115,$D$24,""),IF($E$29=S115,$E$24,""),IF($F$29=S115,$F$24,""))</f>
        <v>25% Restoration, 50% Restoration, 100% Restoration</v>
      </c>
      <c r="S115" s="98">
        <v>5</v>
      </c>
      <c r="T115" s="97" t="s">
        <v>169</v>
      </c>
      <c r="U115" s="97"/>
      <c r="V115" s="97" t="str">
        <f t="shared" ref="V115:V125" si="35">_xlfn.TEXTJOIN(", ",TRUE,IF($G$30=W115,$G$24&amp;" ("&amp;TEXT($G$64,"$#,##0")&amp;")",""),IF($D$30=W115,$D$24,""),IF($E$30=W115,$E$24,""),IF($F$30=W115,$F$24,""))</f>
        <v>25% Restoration, 50% Restoration, 100% Restoration</v>
      </c>
      <c r="W115" s="98">
        <v>5</v>
      </c>
      <c r="X115" s="100" t="s">
        <v>169</v>
      </c>
    </row>
    <row r="116" spans="2:24" ht="14.1" customHeight="1" x14ac:dyDescent="0.2">
      <c r="B116" s="99" t="str">
        <f t="shared" si="30"/>
        <v/>
      </c>
      <c r="C116" s="98">
        <v>4</v>
      </c>
      <c r="D116" s="97" t="s">
        <v>151</v>
      </c>
      <c r="E116" s="97"/>
      <c r="F116" s="97" t="str">
        <f t="shared" si="31"/>
        <v/>
      </c>
      <c r="G116" s="98">
        <v>4</v>
      </c>
      <c r="H116" s="97" t="s">
        <v>151</v>
      </c>
      <c r="I116" s="97"/>
      <c r="J116" s="97" t="str">
        <f t="shared" si="32"/>
        <v/>
      </c>
      <c r="K116" s="98">
        <v>4</v>
      </c>
      <c r="L116" s="97" t="s">
        <v>151</v>
      </c>
      <c r="M116" s="97"/>
      <c r="N116" s="97" t="str">
        <f t="shared" si="33"/>
        <v/>
      </c>
      <c r="O116" s="98">
        <v>4</v>
      </c>
      <c r="P116" s="97" t="s">
        <v>151</v>
      </c>
      <c r="Q116" s="97"/>
      <c r="R116" s="97" t="str">
        <f t="shared" si="34"/>
        <v/>
      </c>
      <c r="S116" s="98">
        <v>4</v>
      </c>
      <c r="T116" s="97" t="s">
        <v>151</v>
      </c>
      <c r="U116" s="97"/>
      <c r="V116" s="97" t="str">
        <f t="shared" si="35"/>
        <v/>
      </c>
      <c r="W116" s="98">
        <v>4</v>
      </c>
      <c r="X116" s="100" t="s">
        <v>151</v>
      </c>
    </row>
    <row r="117" spans="2:24" ht="14.1" customHeight="1" x14ac:dyDescent="0.2">
      <c r="B117" s="99" t="str">
        <f t="shared" si="30"/>
        <v/>
      </c>
      <c r="C117" s="98">
        <v>3</v>
      </c>
      <c r="D117" s="97" t="s">
        <v>152</v>
      </c>
      <c r="E117" s="97"/>
      <c r="F117" s="97" t="str">
        <f t="shared" si="31"/>
        <v/>
      </c>
      <c r="G117" s="98">
        <v>3</v>
      </c>
      <c r="H117" s="97" t="s">
        <v>152</v>
      </c>
      <c r="I117" s="97"/>
      <c r="J117" s="97" t="str">
        <f t="shared" si="32"/>
        <v/>
      </c>
      <c r="K117" s="98">
        <v>3</v>
      </c>
      <c r="L117" s="97" t="s">
        <v>152</v>
      </c>
      <c r="M117" s="97"/>
      <c r="N117" s="97" t="str">
        <f t="shared" si="33"/>
        <v/>
      </c>
      <c r="O117" s="98">
        <v>3</v>
      </c>
      <c r="P117" s="97" t="s">
        <v>152</v>
      </c>
      <c r="Q117" s="97"/>
      <c r="R117" s="97" t="str">
        <f t="shared" si="34"/>
        <v/>
      </c>
      <c r="S117" s="98">
        <v>3</v>
      </c>
      <c r="T117" s="97" t="s">
        <v>152</v>
      </c>
      <c r="U117" s="97"/>
      <c r="V117" s="97" t="str">
        <f t="shared" si="35"/>
        <v/>
      </c>
      <c r="W117" s="98">
        <v>3</v>
      </c>
      <c r="X117" s="100" t="s">
        <v>152</v>
      </c>
    </row>
    <row r="118" spans="2:24" ht="14.1" customHeight="1" x14ac:dyDescent="0.2">
      <c r="B118" s="99" t="str">
        <f t="shared" si="30"/>
        <v/>
      </c>
      <c r="C118" s="98">
        <v>2</v>
      </c>
      <c r="D118" s="97" t="s">
        <v>153</v>
      </c>
      <c r="E118" s="97"/>
      <c r="F118" s="97" t="str">
        <f t="shared" si="31"/>
        <v/>
      </c>
      <c r="G118" s="98">
        <v>2</v>
      </c>
      <c r="H118" s="97" t="s">
        <v>153</v>
      </c>
      <c r="I118" s="97"/>
      <c r="J118" s="97" t="str">
        <f t="shared" si="32"/>
        <v/>
      </c>
      <c r="K118" s="98">
        <v>2</v>
      </c>
      <c r="L118" s="97" t="s">
        <v>153</v>
      </c>
      <c r="M118" s="97"/>
      <c r="N118" s="97" t="str">
        <f t="shared" si="33"/>
        <v/>
      </c>
      <c r="O118" s="98">
        <v>2</v>
      </c>
      <c r="P118" s="97" t="s">
        <v>153</v>
      </c>
      <c r="Q118" s="97"/>
      <c r="R118" s="97" t="str">
        <f t="shared" si="34"/>
        <v/>
      </c>
      <c r="S118" s="98">
        <v>2</v>
      </c>
      <c r="T118" s="97" t="s">
        <v>153</v>
      </c>
      <c r="U118" s="97"/>
      <c r="V118" s="97" t="str">
        <f t="shared" si="35"/>
        <v/>
      </c>
      <c r="W118" s="98">
        <v>2</v>
      </c>
      <c r="X118" s="100" t="s">
        <v>153</v>
      </c>
    </row>
    <row r="119" spans="2:24" ht="14.1" customHeight="1" x14ac:dyDescent="0.2">
      <c r="B119" s="99" t="str">
        <f t="shared" si="30"/>
        <v/>
      </c>
      <c r="C119" s="98">
        <v>1</v>
      </c>
      <c r="D119" s="97" t="s">
        <v>154</v>
      </c>
      <c r="E119" s="97"/>
      <c r="F119" s="97" t="str">
        <f t="shared" si="31"/>
        <v/>
      </c>
      <c r="G119" s="98">
        <v>1</v>
      </c>
      <c r="H119" s="97" t="s">
        <v>154</v>
      </c>
      <c r="I119" s="97"/>
      <c r="J119" s="97" t="str">
        <f t="shared" si="32"/>
        <v/>
      </c>
      <c r="K119" s="98">
        <v>1</v>
      </c>
      <c r="L119" s="97" t="s">
        <v>154</v>
      </c>
      <c r="M119" s="97"/>
      <c r="N119" s="97" t="str">
        <f t="shared" si="33"/>
        <v/>
      </c>
      <c r="O119" s="98">
        <v>1</v>
      </c>
      <c r="P119" s="97" t="s">
        <v>154</v>
      </c>
      <c r="Q119" s="97"/>
      <c r="R119" s="97" t="str">
        <f t="shared" si="34"/>
        <v/>
      </c>
      <c r="S119" s="98">
        <v>1</v>
      </c>
      <c r="T119" s="97" t="s">
        <v>154</v>
      </c>
      <c r="U119" s="97"/>
      <c r="V119" s="97" t="str">
        <f t="shared" si="35"/>
        <v/>
      </c>
      <c r="W119" s="98">
        <v>1</v>
      </c>
      <c r="X119" s="100" t="s">
        <v>154</v>
      </c>
    </row>
    <row r="120" spans="2:24" ht="14.1" customHeight="1" x14ac:dyDescent="0.2">
      <c r="B120" s="99" t="str">
        <f t="shared" si="30"/>
        <v>BAU Baseline ($30,665,344)</v>
      </c>
      <c r="C120" s="98">
        <v>0</v>
      </c>
      <c r="D120" s="97" t="s">
        <v>155</v>
      </c>
      <c r="E120" s="97"/>
      <c r="F120" s="97" t="str">
        <f t="shared" si="31"/>
        <v>BAU Baseline ($5,136,043)</v>
      </c>
      <c r="G120" s="98">
        <v>0</v>
      </c>
      <c r="H120" s="97" t="s">
        <v>155</v>
      </c>
      <c r="I120" s="97"/>
      <c r="J120" s="97" t="str">
        <f t="shared" si="32"/>
        <v>BAU Baseline ($6,746,293)</v>
      </c>
      <c r="K120" s="98">
        <v>0</v>
      </c>
      <c r="L120" s="97" t="s">
        <v>155</v>
      </c>
      <c r="M120" s="97"/>
      <c r="N120" s="97" t="str">
        <f t="shared" si="33"/>
        <v>BAU Baseline ($15,860,385), 25% Restoration, 50% Restoration</v>
      </c>
      <c r="O120" s="98">
        <v>0</v>
      </c>
      <c r="P120" s="97" t="s">
        <v>155</v>
      </c>
      <c r="Q120" s="97"/>
      <c r="R120" s="97" t="str">
        <f t="shared" si="34"/>
        <v>BAU Baseline ($2,922,622)</v>
      </c>
      <c r="S120" s="98">
        <v>0</v>
      </c>
      <c r="T120" s="97" t="s">
        <v>155</v>
      </c>
      <c r="U120" s="97"/>
      <c r="V120" s="97" t="str">
        <f t="shared" si="35"/>
        <v>BAU Baseline ($0)</v>
      </c>
      <c r="W120" s="98">
        <v>0</v>
      </c>
      <c r="X120" s="100" t="s">
        <v>155</v>
      </c>
    </row>
    <row r="121" spans="2:24" ht="14.1" customHeight="1" x14ac:dyDescent="0.2">
      <c r="B121" s="99" t="str">
        <f t="shared" si="30"/>
        <v/>
      </c>
      <c r="C121" s="98">
        <v>-1</v>
      </c>
      <c r="D121" s="97" t="s">
        <v>156</v>
      </c>
      <c r="E121" s="97"/>
      <c r="F121" s="97" t="str">
        <f t="shared" si="31"/>
        <v/>
      </c>
      <c r="G121" s="98">
        <v>-1</v>
      </c>
      <c r="H121" s="97" t="s">
        <v>156</v>
      </c>
      <c r="I121" s="97"/>
      <c r="J121" s="97" t="str">
        <f t="shared" si="32"/>
        <v/>
      </c>
      <c r="K121" s="98">
        <v>-1</v>
      </c>
      <c r="L121" s="97" t="s">
        <v>156</v>
      </c>
      <c r="M121" s="97"/>
      <c r="N121" s="97" t="str">
        <f t="shared" si="33"/>
        <v/>
      </c>
      <c r="O121" s="98">
        <v>-1</v>
      </c>
      <c r="P121" s="97" t="s">
        <v>156</v>
      </c>
      <c r="Q121" s="97"/>
      <c r="R121" s="97" t="str">
        <f t="shared" si="34"/>
        <v/>
      </c>
      <c r="S121" s="98">
        <v>-1</v>
      </c>
      <c r="T121" s="97" t="s">
        <v>156</v>
      </c>
      <c r="U121" s="97"/>
      <c r="V121" s="97" t="str">
        <f t="shared" si="35"/>
        <v/>
      </c>
      <c r="W121" s="98">
        <v>-1</v>
      </c>
      <c r="X121" s="100" t="s">
        <v>156</v>
      </c>
    </row>
    <row r="122" spans="2:24" ht="14.1" customHeight="1" x14ac:dyDescent="0.2">
      <c r="B122" s="99" t="str">
        <f t="shared" si="30"/>
        <v/>
      </c>
      <c r="C122" s="98">
        <v>-2</v>
      </c>
      <c r="D122" s="97" t="s">
        <v>157</v>
      </c>
      <c r="E122" s="97"/>
      <c r="F122" s="97" t="str">
        <f t="shared" si="31"/>
        <v/>
      </c>
      <c r="G122" s="98">
        <v>-2</v>
      </c>
      <c r="H122" s="97" t="s">
        <v>157</v>
      </c>
      <c r="I122" s="97"/>
      <c r="J122" s="97" t="str">
        <f t="shared" si="32"/>
        <v/>
      </c>
      <c r="K122" s="98">
        <v>-2</v>
      </c>
      <c r="L122" s="97" t="s">
        <v>157</v>
      </c>
      <c r="M122" s="97"/>
      <c r="N122" s="97" t="str">
        <f t="shared" si="33"/>
        <v/>
      </c>
      <c r="O122" s="98">
        <v>-2</v>
      </c>
      <c r="P122" s="97" t="s">
        <v>157</v>
      </c>
      <c r="Q122" s="97"/>
      <c r="R122" s="97" t="str">
        <f t="shared" si="34"/>
        <v/>
      </c>
      <c r="S122" s="98">
        <v>-2</v>
      </c>
      <c r="T122" s="97" t="s">
        <v>157</v>
      </c>
      <c r="U122" s="97"/>
      <c r="V122" s="97" t="str">
        <f t="shared" si="35"/>
        <v/>
      </c>
      <c r="W122" s="98">
        <v>-2</v>
      </c>
      <c r="X122" s="100" t="s">
        <v>157</v>
      </c>
    </row>
    <row r="123" spans="2:24" ht="14.1" customHeight="1" x14ac:dyDescent="0.2">
      <c r="B123" s="99" t="str">
        <f t="shared" si="30"/>
        <v/>
      </c>
      <c r="C123" s="98">
        <v>-3</v>
      </c>
      <c r="D123" s="97" t="s">
        <v>158</v>
      </c>
      <c r="E123" s="97"/>
      <c r="F123" s="97" t="str">
        <f t="shared" si="31"/>
        <v/>
      </c>
      <c r="G123" s="98">
        <v>-3</v>
      </c>
      <c r="H123" s="97" t="s">
        <v>158</v>
      </c>
      <c r="I123" s="97"/>
      <c r="J123" s="97" t="str">
        <f t="shared" si="32"/>
        <v/>
      </c>
      <c r="K123" s="98">
        <v>-3</v>
      </c>
      <c r="L123" s="97" t="s">
        <v>158</v>
      </c>
      <c r="M123" s="97"/>
      <c r="N123" s="97" t="str">
        <f t="shared" si="33"/>
        <v/>
      </c>
      <c r="O123" s="98">
        <v>-3</v>
      </c>
      <c r="P123" s="97" t="s">
        <v>158</v>
      </c>
      <c r="Q123" s="97"/>
      <c r="R123" s="97" t="str">
        <f t="shared" si="34"/>
        <v/>
      </c>
      <c r="S123" s="98">
        <v>-3</v>
      </c>
      <c r="T123" s="97" t="s">
        <v>158</v>
      </c>
      <c r="U123" s="97"/>
      <c r="V123" s="97" t="str">
        <f t="shared" si="35"/>
        <v/>
      </c>
      <c r="W123" s="98">
        <v>-3</v>
      </c>
      <c r="X123" s="100" t="s">
        <v>158</v>
      </c>
    </row>
    <row r="124" spans="2:24" ht="14.1" customHeight="1" x14ac:dyDescent="0.2">
      <c r="B124" s="99" t="str">
        <f t="shared" si="30"/>
        <v/>
      </c>
      <c r="C124" s="98">
        <v>-4</v>
      </c>
      <c r="D124" s="97" t="s">
        <v>159</v>
      </c>
      <c r="E124" s="97"/>
      <c r="F124" s="97" t="str">
        <f t="shared" si="31"/>
        <v/>
      </c>
      <c r="G124" s="98">
        <v>-4</v>
      </c>
      <c r="H124" s="97" t="s">
        <v>159</v>
      </c>
      <c r="I124" s="97"/>
      <c r="J124" s="97" t="str">
        <f t="shared" si="32"/>
        <v/>
      </c>
      <c r="K124" s="98">
        <v>-4</v>
      </c>
      <c r="L124" s="97" t="s">
        <v>159</v>
      </c>
      <c r="M124" s="97"/>
      <c r="N124" s="97" t="str">
        <f t="shared" si="33"/>
        <v/>
      </c>
      <c r="O124" s="98">
        <v>-4</v>
      </c>
      <c r="P124" s="97" t="s">
        <v>159</v>
      </c>
      <c r="Q124" s="97"/>
      <c r="R124" s="97" t="str">
        <f t="shared" si="34"/>
        <v/>
      </c>
      <c r="S124" s="98">
        <v>-4</v>
      </c>
      <c r="T124" s="97" t="s">
        <v>159</v>
      </c>
      <c r="U124" s="97"/>
      <c r="V124" s="97" t="str">
        <f t="shared" si="35"/>
        <v/>
      </c>
      <c r="W124" s="98">
        <v>-4</v>
      </c>
      <c r="X124" s="100" t="s">
        <v>159</v>
      </c>
    </row>
    <row r="125" spans="2:24" ht="14.1" customHeight="1" thickBot="1" x14ac:dyDescent="0.25">
      <c r="B125" s="101" t="str">
        <f t="shared" si="30"/>
        <v/>
      </c>
      <c r="C125" s="102">
        <v>-5</v>
      </c>
      <c r="D125" s="103" t="s">
        <v>170</v>
      </c>
      <c r="E125" s="103"/>
      <c r="F125" s="103" t="str">
        <f t="shared" si="31"/>
        <v/>
      </c>
      <c r="G125" s="102">
        <v>-5</v>
      </c>
      <c r="H125" s="103" t="s">
        <v>170</v>
      </c>
      <c r="I125" s="103"/>
      <c r="J125" s="103" t="str">
        <f t="shared" si="32"/>
        <v/>
      </c>
      <c r="K125" s="102">
        <v>-5</v>
      </c>
      <c r="L125" s="103" t="s">
        <v>170</v>
      </c>
      <c r="M125" s="103"/>
      <c r="N125" s="103" t="str">
        <f t="shared" si="33"/>
        <v/>
      </c>
      <c r="O125" s="102">
        <v>-5</v>
      </c>
      <c r="P125" s="103" t="s">
        <v>170</v>
      </c>
      <c r="Q125" s="103"/>
      <c r="R125" s="103" t="str">
        <f t="shared" si="34"/>
        <v/>
      </c>
      <c r="S125" s="102">
        <v>-5</v>
      </c>
      <c r="T125" s="103" t="s">
        <v>170</v>
      </c>
      <c r="U125" s="103"/>
      <c r="V125" s="103" t="str">
        <f t="shared" si="35"/>
        <v/>
      </c>
      <c r="W125" s="102">
        <v>-5</v>
      </c>
      <c r="X125" s="104" t="s">
        <v>170</v>
      </c>
    </row>
    <row r="126" spans="2:24" ht="14.1" customHeight="1" x14ac:dyDescent="0.2"/>
    <row r="127" spans="2:24" ht="14.1" customHeight="1" x14ac:dyDescent="0.2"/>
  </sheetData>
  <mergeCells count="41">
    <mergeCell ref="B25:B30"/>
    <mergeCell ref="C2:G2"/>
    <mergeCell ref="B33:G33"/>
    <mergeCell ref="B4:B9"/>
    <mergeCell ref="B11:B16"/>
    <mergeCell ref="B18:B23"/>
    <mergeCell ref="M4:R5"/>
    <mergeCell ref="H2:K9"/>
    <mergeCell ref="B66:X66"/>
    <mergeCell ref="B34:B40"/>
    <mergeCell ref="B42:B48"/>
    <mergeCell ref="B50:B56"/>
    <mergeCell ref="B58:B64"/>
    <mergeCell ref="J68:L68"/>
    <mergeCell ref="N68:P68"/>
    <mergeCell ref="R68:T68"/>
    <mergeCell ref="V68:X68"/>
    <mergeCell ref="B67:X67"/>
    <mergeCell ref="B68:D68"/>
    <mergeCell ref="F68:H68"/>
    <mergeCell ref="B82:X82"/>
    <mergeCell ref="B97:X97"/>
    <mergeCell ref="B112:X112"/>
    <mergeCell ref="B83:D83"/>
    <mergeCell ref="F83:H83"/>
    <mergeCell ref="J83:L83"/>
    <mergeCell ref="N83:P83"/>
    <mergeCell ref="R83:T83"/>
    <mergeCell ref="V83:X83"/>
    <mergeCell ref="V98:X98"/>
    <mergeCell ref="V113:X113"/>
    <mergeCell ref="R98:T98"/>
    <mergeCell ref="N98:P98"/>
    <mergeCell ref="J98:L98"/>
    <mergeCell ref="B98:D98"/>
    <mergeCell ref="F98:H98"/>
    <mergeCell ref="B113:D113"/>
    <mergeCell ref="F113:H113"/>
    <mergeCell ref="J113:L113"/>
    <mergeCell ref="N113:P113"/>
    <mergeCell ref="R113:T113"/>
  </mergeCells>
  <conditionalFormatting sqref="D46">
    <cfRule type="top10" dxfId="32" priority="9" percent="1" rank="25"/>
    <cfRule type="top10" dxfId="31" priority="10" percent="1" rank="25"/>
  </conditionalFormatting>
  <conditionalFormatting sqref="D54">
    <cfRule type="top10" dxfId="30" priority="5" percent="1" rank="25"/>
    <cfRule type="top10" dxfId="29" priority="6" percent="1" rank="25"/>
  </conditionalFormatting>
  <conditionalFormatting sqref="D62">
    <cfRule type="top10" dxfId="28" priority="1" percent="1" rank="25"/>
    <cfRule type="top10" dxfId="27" priority="2" percent="1" rank="25"/>
  </conditionalFormatting>
  <conditionalFormatting sqref="D35:F40">
    <cfRule type="top10" dxfId="26" priority="28" percent="1" rank="25"/>
  </conditionalFormatting>
  <conditionalFormatting sqref="D36:F39">
    <cfRule type="top10" dxfId="25" priority="24" percent="1" rank="25"/>
  </conditionalFormatting>
  <conditionalFormatting sqref="D43:F45 D47:F48 E46">
    <cfRule type="top10" dxfId="24" priority="27" percent="1" rank="25"/>
  </conditionalFormatting>
  <conditionalFormatting sqref="D44:F45 D47:F47 E46">
    <cfRule type="top10" dxfId="23" priority="23" percent="1" rank="25"/>
  </conditionalFormatting>
  <conditionalFormatting sqref="D51:F53 D55:F56 E54">
    <cfRule type="top10" dxfId="22" priority="26" percent="1" rank="25"/>
  </conditionalFormatting>
  <conditionalFormatting sqref="D52:F53 D55:F55 E54">
    <cfRule type="top10" dxfId="21" priority="22" percent="1" rank="25"/>
  </conditionalFormatting>
  <conditionalFormatting sqref="D59:F61 D63:F64 E62">
    <cfRule type="top10" dxfId="20" priority="25" percent="1" rank="25"/>
  </conditionalFormatting>
  <conditionalFormatting sqref="D60:F61 D63:F63 E62">
    <cfRule type="top10" dxfId="19" priority="21" percent="1" rank="25"/>
  </conditionalFormatting>
  <conditionalFormatting sqref="F46">
    <cfRule type="top10" dxfId="18" priority="11" percent="1" rank="25"/>
    <cfRule type="top10" dxfId="17" priority="12" percent="1" rank="25"/>
  </conditionalFormatting>
  <conditionalFormatting sqref="F54">
    <cfRule type="top10" dxfId="16" priority="7" percent="1" rank="25"/>
    <cfRule type="top10" dxfId="15" priority="8" percent="1" rank="25"/>
  </conditionalFormatting>
  <conditionalFormatting sqref="F62">
    <cfRule type="top10" dxfId="14" priority="3" percent="1" rank="25"/>
    <cfRule type="top10" dxfId="13" priority="4" percent="1" rank="25"/>
  </conditionalFormatting>
  <conditionalFormatting sqref="G35:G40">
    <cfRule type="top10" dxfId="12" priority="20" percent="1" rank="25"/>
  </conditionalFormatting>
  <conditionalFormatting sqref="G36:G39">
    <cfRule type="top10" dxfId="11" priority="16" percent="1" rank="25"/>
  </conditionalFormatting>
  <conditionalFormatting sqref="G43:G48">
    <cfRule type="top10" dxfId="10" priority="19" percent="1" rank="25"/>
  </conditionalFormatting>
  <conditionalFormatting sqref="G44:G47">
    <cfRule type="top10" dxfId="9" priority="15" percent="1" rank="25"/>
  </conditionalFormatting>
  <conditionalFormatting sqref="G51:G56">
    <cfRule type="top10" dxfId="8" priority="18" percent="1" rank="25"/>
  </conditionalFormatting>
  <conditionalFormatting sqref="G52:G55">
    <cfRule type="top10" dxfId="7" priority="14" percent="1" rank="25"/>
  </conditionalFormatting>
  <conditionalFormatting sqref="G59:G64">
    <cfRule type="top10" dxfId="6" priority="17" percent="1" rank="25"/>
  </conditionalFormatting>
  <conditionalFormatting sqref="G60:G63">
    <cfRule type="top10" dxfId="5" priority="13" percent="1" rank="2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0A2E-6497-4CD1-9A08-EC13A0B64BF5}">
  <dimension ref="A1:V61"/>
  <sheetViews>
    <sheetView tabSelected="1" topLeftCell="G1" workbookViewId="0">
      <selection activeCell="P26" sqref="P26"/>
    </sheetView>
  </sheetViews>
  <sheetFormatPr defaultRowHeight="14.25" x14ac:dyDescent="0.2"/>
  <cols>
    <col min="1" max="5" width="9.140625" style="21"/>
    <col min="6" max="6" width="28.7109375" style="21" customWidth="1"/>
    <col min="7" max="7" width="20.85546875" style="21" bestFit="1" customWidth="1"/>
    <col min="8" max="8" width="20.42578125" style="21" bestFit="1" customWidth="1"/>
    <col min="9" max="9" width="19.140625" style="21" bestFit="1" customWidth="1"/>
    <col min="10" max="12" width="20.28515625" style="21" bestFit="1" customWidth="1"/>
    <col min="13" max="14" width="9.140625" style="21"/>
    <col min="15" max="15" width="32.42578125" style="21" customWidth="1"/>
    <col min="16" max="16" width="35.28515625" style="21" customWidth="1"/>
    <col min="17" max="22" width="13.28515625" style="21" customWidth="1"/>
    <col min="23" max="16384" width="9.140625" style="21"/>
  </cols>
  <sheetData>
    <row r="1" spans="1:22" ht="30" thickBot="1" x14ac:dyDescent="0.3">
      <c r="A1" s="30" t="s">
        <v>106</v>
      </c>
      <c r="B1" s="31" t="s">
        <v>105</v>
      </c>
      <c r="C1" s="31" t="s">
        <v>104</v>
      </c>
      <c r="D1" s="32" t="s">
        <v>103</v>
      </c>
      <c r="E1" s="37"/>
      <c r="F1" s="131" t="s">
        <v>133</v>
      </c>
      <c r="G1" s="132" t="s">
        <v>176</v>
      </c>
      <c r="H1" s="132" t="s">
        <v>95</v>
      </c>
      <c r="I1" s="132" t="s">
        <v>99</v>
      </c>
      <c r="J1" s="132" t="s">
        <v>101</v>
      </c>
      <c r="K1" s="132" t="s">
        <v>102</v>
      </c>
      <c r="L1" s="133" t="s">
        <v>109</v>
      </c>
    </row>
    <row r="2" spans="1:22" x14ac:dyDescent="0.2">
      <c r="A2" s="33" t="s">
        <v>119</v>
      </c>
      <c r="B2" s="21" t="s">
        <v>89</v>
      </c>
      <c r="C2" s="21" t="s">
        <v>102</v>
      </c>
      <c r="D2" s="27">
        <v>67259.975054850249</v>
      </c>
      <c r="F2" s="223" t="s">
        <v>130</v>
      </c>
      <c r="G2" s="21" t="s">
        <v>119</v>
      </c>
      <c r="H2" s="134">
        <f t="shared" ref="H2:K5" si="0">SUMIFS($D$2:$D$14,$A$2:$A$14,$G2,$C$2:$C$14,H$1)</f>
        <v>0</v>
      </c>
      <c r="I2" s="134">
        <f>SUMIFS($D$2:$D$14,$A$2:$A$14,$G2,$C$2:$C$14,I$1)</f>
        <v>0</v>
      </c>
      <c r="J2" s="134">
        <f t="shared" si="0"/>
        <v>80428.560441558366</v>
      </c>
      <c r="K2" s="134">
        <f t="shared" si="0"/>
        <v>67259.975054850249</v>
      </c>
      <c r="L2" s="135"/>
    </row>
    <row r="3" spans="1:22" x14ac:dyDescent="0.2">
      <c r="A3" s="33" t="s">
        <v>119</v>
      </c>
      <c r="B3" s="21" t="s">
        <v>87</v>
      </c>
      <c r="C3" s="21" t="s">
        <v>101</v>
      </c>
      <c r="D3" s="27">
        <v>80428.560441558366</v>
      </c>
      <c r="F3" s="223"/>
      <c r="G3" s="21" t="s">
        <v>107</v>
      </c>
      <c r="H3" s="134">
        <f t="shared" si="0"/>
        <v>0</v>
      </c>
      <c r="I3" s="134">
        <f t="shared" si="0"/>
        <v>34255.256684547981</v>
      </c>
      <c r="J3" s="134">
        <f t="shared" si="0"/>
        <v>93152.201648204791</v>
      </c>
      <c r="K3" s="134">
        <f t="shared" si="0"/>
        <v>79914.46236820989</v>
      </c>
      <c r="L3" s="135"/>
    </row>
    <row r="4" spans="1:22" ht="15" thickBot="1" x14ac:dyDescent="0.25">
      <c r="A4" s="33" t="s">
        <v>107</v>
      </c>
      <c r="B4" s="21" t="s">
        <v>87</v>
      </c>
      <c r="C4" s="21" t="s">
        <v>101</v>
      </c>
      <c r="D4" s="27">
        <v>93152.201648204791</v>
      </c>
      <c r="F4" s="223"/>
      <c r="G4" s="21" t="s">
        <v>96</v>
      </c>
      <c r="H4" s="134">
        <f>41720</f>
        <v>41720</v>
      </c>
      <c r="I4" s="134">
        <f t="shared" si="0"/>
        <v>3324.508165315764</v>
      </c>
      <c r="J4" s="134">
        <f t="shared" si="0"/>
        <v>25938.421943390429</v>
      </c>
      <c r="K4" s="134">
        <f t="shared" si="0"/>
        <v>0</v>
      </c>
      <c r="L4" s="135"/>
    </row>
    <row r="5" spans="1:22" ht="15" thickBot="1" x14ac:dyDescent="0.25">
      <c r="A5" s="33" t="s">
        <v>107</v>
      </c>
      <c r="B5" s="21" t="s">
        <v>89</v>
      </c>
      <c r="C5" s="21" t="s">
        <v>102</v>
      </c>
      <c r="D5" s="27">
        <v>79914.46236820989</v>
      </c>
      <c r="F5" s="223"/>
      <c r="G5" s="25" t="s">
        <v>7</v>
      </c>
      <c r="H5" s="134">
        <f t="shared" si="0"/>
        <v>0</v>
      </c>
      <c r="I5" s="134">
        <f>SUMIFS($D$2:$D$14,$A$2:$A$14,$G5,$C$2:$C$14,I$1)</f>
        <v>29367</v>
      </c>
      <c r="J5" s="134">
        <f t="shared" si="0"/>
        <v>84385</v>
      </c>
      <c r="K5" s="134">
        <f t="shared" si="0"/>
        <v>130507</v>
      </c>
      <c r="L5" s="152"/>
      <c r="M5" s="153" t="s">
        <v>182</v>
      </c>
      <c r="N5" s="154">
        <v>1380</v>
      </c>
    </row>
    <row r="6" spans="1:22" ht="14.25" customHeight="1" x14ac:dyDescent="0.2">
      <c r="A6" s="33" t="s">
        <v>107</v>
      </c>
      <c r="B6" s="21" t="s">
        <v>100</v>
      </c>
      <c r="C6" s="21" t="s">
        <v>99</v>
      </c>
      <c r="D6" s="27">
        <v>34255.256684547981</v>
      </c>
      <c r="F6" s="224" t="s">
        <v>128</v>
      </c>
      <c r="G6" s="60" t="s">
        <v>110</v>
      </c>
      <c r="H6" s="59"/>
      <c r="I6" s="59"/>
      <c r="J6" s="59"/>
      <c r="K6" s="59"/>
      <c r="L6" s="136">
        <f>SUMIFS($D$2:$D$14,$A$2:$A$14,$G6,$C$2:$C$14,L$1)</f>
        <v>347591</v>
      </c>
    </row>
    <row r="7" spans="1:22" ht="18" customHeight="1" x14ac:dyDescent="0.2">
      <c r="A7" s="33" t="s">
        <v>96</v>
      </c>
      <c r="B7" s="21" t="s">
        <v>87</v>
      </c>
      <c r="C7" s="21" t="s">
        <v>101</v>
      </c>
      <c r="D7" s="27">
        <v>25938.421943390429</v>
      </c>
      <c r="F7" s="223"/>
      <c r="G7" s="26" t="s">
        <v>111</v>
      </c>
      <c r="H7" s="129"/>
      <c r="I7" s="129"/>
      <c r="J7" s="129"/>
      <c r="K7" s="129"/>
      <c r="L7" s="135">
        <f>SUMIFS($D$2:$D$14,$A$2:$A$14,$G7,$C$2:$C$14,L$1)</f>
        <v>303372</v>
      </c>
    </row>
    <row r="8" spans="1:22" ht="14.25" customHeight="1" thickBot="1" x14ac:dyDescent="0.25">
      <c r="A8" s="33" t="s">
        <v>96</v>
      </c>
      <c r="B8" s="21" t="s">
        <v>100</v>
      </c>
      <c r="C8" s="21" t="s">
        <v>99</v>
      </c>
      <c r="D8" s="27">
        <v>3324.508165315764</v>
      </c>
      <c r="F8" s="225"/>
      <c r="G8" s="28" t="s">
        <v>112</v>
      </c>
      <c r="H8" s="51"/>
      <c r="I8" s="51"/>
      <c r="J8" s="51"/>
      <c r="K8" s="51"/>
      <c r="L8" s="137">
        <v>207004</v>
      </c>
    </row>
    <row r="9" spans="1:22" ht="16.5" customHeight="1" x14ac:dyDescent="0.2">
      <c r="A9" s="33" t="s">
        <v>96</v>
      </c>
      <c r="B9" s="21" t="s">
        <v>94</v>
      </c>
      <c r="C9" s="21" t="s">
        <v>95</v>
      </c>
      <c r="D9" s="27">
        <v>41914.112043193833</v>
      </c>
      <c r="F9" s="224" t="s">
        <v>175</v>
      </c>
      <c r="G9" s="58" t="s">
        <v>110</v>
      </c>
      <c r="H9" s="59"/>
      <c r="I9" s="59"/>
      <c r="J9" s="59"/>
      <c r="K9" s="59"/>
      <c r="L9" s="138">
        <f>AVERAGE(L6,L12)</f>
        <v>179588.5</v>
      </c>
    </row>
    <row r="10" spans="1:22" ht="14.25" customHeight="1" x14ac:dyDescent="0.2">
      <c r="A10" s="34" t="s">
        <v>7</v>
      </c>
      <c r="B10" s="25" t="s">
        <v>87</v>
      </c>
      <c r="C10" s="21" t="s">
        <v>101</v>
      </c>
      <c r="D10" s="27">
        <v>84385</v>
      </c>
      <c r="F10" s="223"/>
      <c r="G10" s="21" t="s">
        <v>111</v>
      </c>
      <c r="H10" s="129"/>
      <c r="I10" s="129"/>
      <c r="J10" s="129"/>
      <c r="K10" s="129"/>
      <c r="L10" s="139">
        <f>AVERAGE(L7,L13)</f>
        <v>154866</v>
      </c>
    </row>
    <row r="11" spans="1:22" ht="23.25" customHeight="1" thickBot="1" x14ac:dyDescent="0.25">
      <c r="A11" s="34" t="s">
        <v>7</v>
      </c>
      <c r="B11" s="25" t="s">
        <v>100</v>
      </c>
      <c r="C11" s="21" t="s">
        <v>99</v>
      </c>
      <c r="D11" s="27">
        <v>29367</v>
      </c>
      <c r="F11" s="225"/>
      <c r="G11" s="28" t="s">
        <v>112</v>
      </c>
      <c r="H11" s="51"/>
      <c r="I11" s="51"/>
      <c r="J11" s="51"/>
      <c r="K11" s="51"/>
      <c r="L11" s="140">
        <f>AVERAGE(L8,L14)</f>
        <v>127608.5</v>
      </c>
    </row>
    <row r="12" spans="1:22" ht="14.25" customHeight="1" x14ac:dyDescent="0.2">
      <c r="A12" s="34" t="s">
        <v>7</v>
      </c>
      <c r="B12" s="25" t="s">
        <v>89</v>
      </c>
      <c r="C12" s="21" t="s">
        <v>102</v>
      </c>
      <c r="D12" s="27">
        <v>130507</v>
      </c>
      <c r="F12" s="224" t="s">
        <v>129</v>
      </c>
      <c r="G12" s="58" t="s">
        <v>110</v>
      </c>
      <c r="H12" s="59"/>
      <c r="I12" s="59"/>
      <c r="J12" s="59"/>
      <c r="K12" s="59"/>
      <c r="L12" s="141">
        <v>11586</v>
      </c>
    </row>
    <row r="13" spans="1:22" ht="14.25" customHeight="1" x14ac:dyDescent="0.25">
      <c r="A13" s="35" t="s">
        <v>110</v>
      </c>
      <c r="B13" s="26" t="s">
        <v>108</v>
      </c>
      <c r="C13" s="26" t="s">
        <v>109</v>
      </c>
      <c r="D13" s="27">
        <v>347591</v>
      </c>
      <c r="E13" s="38"/>
      <c r="F13" s="223"/>
      <c r="G13" s="21" t="s">
        <v>111</v>
      </c>
      <c r="H13" s="129"/>
      <c r="I13" s="129"/>
      <c r="J13" s="129"/>
      <c r="K13" s="129"/>
      <c r="L13" s="142">
        <v>6360</v>
      </c>
      <c r="O13" s="252" t="s">
        <v>211</v>
      </c>
    </row>
    <row r="14" spans="1:22" ht="30.75" customHeight="1" thickBot="1" x14ac:dyDescent="0.25">
      <c r="A14" s="36" t="s">
        <v>111</v>
      </c>
      <c r="B14" s="28" t="s">
        <v>108</v>
      </c>
      <c r="C14" s="28" t="s">
        <v>109</v>
      </c>
      <c r="D14" s="29">
        <v>303372</v>
      </c>
      <c r="E14" s="38"/>
      <c r="F14" s="225"/>
      <c r="G14" s="28" t="s">
        <v>112</v>
      </c>
      <c r="H14" s="51"/>
      <c r="I14" s="51"/>
      <c r="J14" s="51"/>
      <c r="K14" s="51"/>
      <c r="L14" s="137">
        <v>48213</v>
      </c>
      <c r="O14" s="253" t="s">
        <v>212</v>
      </c>
      <c r="P14" s="253" t="s">
        <v>214</v>
      </c>
      <c r="Q14" s="253" t="s">
        <v>144</v>
      </c>
      <c r="R14" s="253" t="s">
        <v>95</v>
      </c>
      <c r="S14" s="253" t="s">
        <v>99</v>
      </c>
      <c r="T14" s="253" t="s">
        <v>101</v>
      </c>
      <c r="U14" s="253" t="s">
        <v>102</v>
      </c>
      <c r="V14" s="253" t="s">
        <v>109</v>
      </c>
    </row>
    <row r="15" spans="1:22" ht="14.25" customHeight="1" x14ac:dyDescent="0.2">
      <c r="A15" s="70" t="s">
        <v>135</v>
      </c>
      <c r="B15" s="70" t="s">
        <v>108</v>
      </c>
      <c r="C15" s="70" t="s">
        <v>109</v>
      </c>
      <c r="D15" s="38">
        <v>207004</v>
      </c>
      <c r="F15" s="143" t="s">
        <v>177</v>
      </c>
      <c r="G15" s="144">
        <f>SUM(H15:L15)</f>
        <v>1528219.3863060775</v>
      </c>
      <c r="H15" s="145">
        <f>SUM(H$2:H$5)+SUM(H$6:H$8)</f>
        <v>41720</v>
      </c>
      <c r="I15" s="145">
        <f>SUM(I$2:I$5)+SUM(I$6:I$8)</f>
        <v>66946.764849863743</v>
      </c>
      <c r="J15" s="145">
        <f>SUM(J$2:J$5)+SUM(J$6:J$8)</f>
        <v>283904.18403315358</v>
      </c>
      <c r="K15" s="145">
        <f>SUM(K$2:K$5)+SUM(K$6:K$8)</f>
        <v>277681.43742306012</v>
      </c>
      <c r="L15" s="146">
        <f>SUM(L$2:L$5)+SUM(L$6:L$8)</f>
        <v>857967</v>
      </c>
      <c r="O15" s="254" t="str">
        <f>F15</f>
        <v>NGW Total (Upper, 100%)</v>
      </c>
      <c r="P15" s="255">
        <f>$G$19</f>
        <v>108300.70299999999</v>
      </c>
      <c r="Q15" s="256">
        <f>IF($P15=0,IF(N($G15)&gt;0,5,0),MAX(-5,MIN(5,ROUND(N($G15)/$P15*100,0))))</f>
        <v>5</v>
      </c>
      <c r="R15" s="257">
        <f>IF(H$19=0,IF(N(H15)&gt;0,5,0),MAX(-5,MIN(5,ROUND(N(H15)/H$19*100,0))))</f>
        <v>5</v>
      </c>
      <c r="S15" s="257">
        <f>IF(I$19=0,IF(N(I15)&gt;0,5,0),MAX(-5,MIN(5,ROUND(N(I15)/I$19*100,0))))</f>
        <v>5</v>
      </c>
      <c r="T15" s="257">
        <f>IF(J$19=0,IF(N(J15)&gt;0,5,0),MAX(-5,MIN(5,ROUND(N(J15)/J$19*100,0))))</f>
        <v>5</v>
      </c>
      <c r="U15" s="257">
        <f>IF(K$19=0,IF(N(K15)&gt;0,5,0),MAX(-5,MIN(5,ROUND(N(K15)/K$19*100,0))))</f>
        <v>5</v>
      </c>
      <c r="V15" s="257">
        <f>IF(L$19=0,IF(N(L15)&gt;0,5,0),MAX(-5,MIN(5,ROUND(N(L15)/L$19*100,0))))</f>
        <v>5</v>
      </c>
    </row>
    <row r="16" spans="1:22" ht="14.25" customHeight="1" x14ac:dyDescent="0.2">
      <c r="F16" s="143" t="s">
        <v>178</v>
      </c>
      <c r="G16" s="144">
        <f>SUM(H16:L16)</f>
        <v>1132315.3863060775</v>
      </c>
      <c r="H16" s="145">
        <f>SUM(H$2:H$5)+SUM(H$9:H$11)</f>
        <v>41720</v>
      </c>
      <c r="I16" s="145">
        <f>SUM(I$2:I$5)+SUM(I$9:I$11)</f>
        <v>66946.764849863743</v>
      </c>
      <c r="J16" s="145">
        <f>SUM(J$2:J$5)+SUM(J$9:J$11)</f>
        <v>283904.18403315358</v>
      </c>
      <c r="K16" s="145">
        <f>SUM(K$2:K$5)+SUM(K$9:K$11)</f>
        <v>277681.43742306012</v>
      </c>
      <c r="L16" s="146">
        <f>SUM(L$2:L$5)+SUM(L$9:L$11)</f>
        <v>462063</v>
      </c>
      <c r="O16" s="254" t="str">
        <f>F16</f>
        <v>NGW Total (Middle, 50%)</v>
      </c>
      <c r="P16" s="255">
        <f>$G$19</f>
        <v>108300.70299999999</v>
      </c>
      <c r="Q16" s="256">
        <f>IF($P16=0,IF(N($G16)&gt;0,5,0),MAX(-5,MIN(5,ROUND(N($G16)/$P16*100,0))))</f>
        <v>5</v>
      </c>
      <c r="R16" s="257">
        <f>IF(H$19=0,IF(N(H16)&gt;0,5,0),MAX(-5,MIN(5,ROUND(N(H16)/H$19*100,0))))</f>
        <v>5</v>
      </c>
      <c r="S16" s="257">
        <f>IF(I$19=0,IF(N(I16)&gt;0,5,0),MAX(-5,MIN(5,ROUND(N(I16)/I$19*100,0))))</f>
        <v>5</v>
      </c>
      <c r="T16" s="257">
        <f>IF(J$19=0,IF(N(J16)&gt;0,5,0),MAX(-5,MIN(5,ROUND(N(J16)/J$19*100,0))))</f>
        <v>5</v>
      </c>
      <c r="U16" s="257">
        <f>IF(K$19=0,IF(N(K16)&gt;0,5,0),MAX(-5,MIN(5,ROUND(N(K16)/K$19*100,0))))</f>
        <v>5</v>
      </c>
      <c r="V16" s="257">
        <f>IF(L$19=0,IF(N(L16)&gt;0,5,0),MAX(-5,MIN(5,ROUND(N(L16)/L$19*100,0))))</f>
        <v>5</v>
      </c>
    </row>
    <row r="17" spans="1:22" ht="14.25" customHeight="1" x14ac:dyDescent="0.2">
      <c r="F17" s="147" t="s">
        <v>179</v>
      </c>
      <c r="G17" s="148">
        <f>SUM(H17:L17)</f>
        <v>736411.38630607747</v>
      </c>
      <c r="H17" s="145">
        <f>SUM(H$2:H$5)+SUM(H$12:H$14)</f>
        <v>41720</v>
      </c>
      <c r="I17" s="145">
        <f>SUM(I$2:I$5)+SUM(I$12:I$14)</f>
        <v>66946.764849863743</v>
      </c>
      <c r="J17" s="145">
        <f>SUM(J$2:J$5)+SUM(J$12:J$14)</f>
        <v>283904.18403315358</v>
      </c>
      <c r="K17" s="145">
        <f>SUM(K$2:K$5)+SUM(K$12:K$14)</f>
        <v>277681.43742306012</v>
      </c>
      <c r="L17" s="146">
        <f>SUM(L$2:L$5)+SUM(L$12:L$14)</f>
        <v>66159</v>
      </c>
      <c r="O17" s="254" t="str">
        <f>F17</f>
        <v>NGW Total (Lower, 25%)</v>
      </c>
      <c r="P17" s="255">
        <f>$G$19</f>
        <v>108300.70299999999</v>
      </c>
      <c r="Q17" s="256">
        <f>IF($P17=0,IF(N($G17)&gt;0,5,0),MAX(-5,MIN(5,ROUND(N($G17)/$P17*100,0))))</f>
        <v>5</v>
      </c>
      <c r="R17" s="257">
        <f>IF(H$19=0,IF(N(H17)&gt;0,5,0),MAX(-5,MIN(5,ROUND(N(H17)/H$19*100,0))))</f>
        <v>5</v>
      </c>
      <c r="S17" s="257">
        <f>IF(I$19=0,IF(N(I17)&gt;0,5,0),MAX(-5,MIN(5,ROUND(N(I17)/I$19*100,0))))</f>
        <v>5</v>
      </c>
      <c r="T17" s="257">
        <f>IF(J$19=0,IF(N(J17)&gt;0,5,0),MAX(-5,MIN(5,ROUND(N(J17)/J$19*100,0))))</f>
        <v>5</v>
      </c>
      <c r="U17" s="257">
        <f>IF(K$19=0,IF(N(K17)&gt;0,5,0),MAX(-5,MIN(5,ROUND(N(K17)/K$19*100,0))))</f>
        <v>5</v>
      </c>
      <c r="V17" s="257">
        <f>IF(L$19=0,IF(N(L17)&gt;0,5,0),MAX(-5,MIN(5,ROUND(N(L17)/L$19*100,0))))</f>
        <v>5</v>
      </c>
    </row>
    <row r="18" spans="1:22" ht="14.25" customHeight="1" x14ac:dyDescent="0.2">
      <c r="C18" s="38">
        <f>SUM(D2:D12)</f>
        <v>670446.49834927137</v>
      </c>
      <c r="F18" s="149" t="s">
        <v>181</v>
      </c>
      <c r="G18" s="150">
        <f>SUM(H18:L18)</f>
        <v>43100</v>
      </c>
      <c r="H18" s="151">
        <f>SUM(H$2:H$5)</f>
        <v>41720</v>
      </c>
      <c r="I18" s="151">
        <f>N5</f>
        <v>1380</v>
      </c>
      <c r="J18" s="155" t="s">
        <v>183</v>
      </c>
      <c r="K18" s="155" t="s">
        <v>183</v>
      </c>
      <c r="L18" s="156" t="s">
        <v>183</v>
      </c>
      <c r="O18" s="254" t="str">
        <f>F18</f>
        <v>ECO Total (Only One Scenario)</v>
      </c>
      <c r="P18" s="255">
        <f>$G$19</f>
        <v>108300.70299999999</v>
      </c>
      <c r="Q18" s="256">
        <f>IF($P18=0,IF(N($G18)&gt;0,5,0),MAX(-5,MIN(5,ROUND(N($G18)/$P18*100,0))))</f>
        <v>5</v>
      </c>
      <c r="R18" s="257">
        <f>IF(H$19=0,IF(N(H18)&gt;0,5,0),MAX(-5,MIN(5,ROUND(N(H18)/H$19*100,0))))</f>
        <v>5</v>
      </c>
      <c r="S18" s="257">
        <f>IF(I$19=0,IF(N(I18)&gt;0,5,0),MAX(-5,MIN(5,ROUND(N(I18)/I$19*100,0))))</f>
        <v>5</v>
      </c>
      <c r="T18" s="257">
        <f>IF(J$19=0,IF(N(J18)&gt;0,5,0),MAX(-5,MIN(5,ROUND(N(J18)/J$19*100,0))))</f>
        <v>0</v>
      </c>
      <c r="U18" s="257">
        <f>IF(K$19=0,IF(N(K18)&gt;0,5,0),MAX(-5,MIN(5,ROUND(N(K18)/K$19*100,0))))</f>
        <v>0</v>
      </c>
      <c r="V18" s="257">
        <f>IF(L$19=0,IF(N(L18)&gt;0,5,0),MAX(-5,MIN(5,ROUND(N(L18)/L$19*100,0))))</f>
        <v>0</v>
      </c>
    </row>
    <row r="19" spans="1:22" ht="14.25" customHeight="1" x14ac:dyDescent="0.2">
      <c r="C19" s="38"/>
      <c r="F19" s="149" t="s">
        <v>194</v>
      </c>
      <c r="G19" s="150">
        <f>SUM(H19:L19)</f>
        <v>108300.70299999999</v>
      </c>
      <c r="H19" s="151">
        <f>SUMIFS($H$57:$H$60,$G$57:$G$60,H$1)</f>
        <v>18138.948</v>
      </c>
      <c r="I19" s="151">
        <f>SUMIFS($H$57:$H$60,$G$57:$G$60,I$1)</f>
        <v>23825.864000000001</v>
      </c>
      <c r="J19" s="155">
        <f>SUMIFS($H$57:$H$60,$G$57:$G$60,J$1)</f>
        <v>56014.074000000001</v>
      </c>
      <c r="K19" s="155">
        <f>SUMIFS($H$57:$H$60,$G$57:$G$60,K$1)</f>
        <v>10321.816999999999</v>
      </c>
      <c r="L19" s="156">
        <f>SUMIFS($H$57:$H$60,$G$57:$G$60,L$1)</f>
        <v>0</v>
      </c>
      <c r="O19" s="258" t="s">
        <v>213</v>
      </c>
      <c r="P19" s="259">
        <f>$G$19</f>
        <v>108300.70299999999</v>
      </c>
      <c r="Q19" s="260">
        <v>0</v>
      </c>
      <c r="R19" s="261">
        <v>0</v>
      </c>
      <c r="S19" s="261">
        <v>0</v>
      </c>
      <c r="T19" s="261">
        <v>0</v>
      </c>
      <c r="U19" s="261">
        <v>0</v>
      </c>
      <c r="V19" s="261">
        <v>0</v>
      </c>
    </row>
    <row r="20" spans="1:22" ht="14.25" customHeight="1" x14ac:dyDescent="0.2">
      <c r="F20" s="130" t="s">
        <v>180</v>
      </c>
      <c r="O20" s="262" t="s">
        <v>215</v>
      </c>
      <c r="P20" s="262"/>
      <c r="Q20" s="262"/>
      <c r="R20" s="262"/>
      <c r="S20" s="262"/>
      <c r="T20" s="262"/>
      <c r="U20" s="262"/>
      <c r="V20" s="262"/>
    </row>
    <row r="21" spans="1:22" ht="15" customHeight="1" thickBot="1" x14ac:dyDescent="0.25">
      <c r="O21" s="263"/>
      <c r="P21" s="263"/>
      <c r="Q21" s="263"/>
      <c r="R21" s="263"/>
      <c r="S21" s="263"/>
      <c r="T21" s="263"/>
      <c r="U21" s="263"/>
      <c r="V21" s="263"/>
    </row>
    <row r="22" spans="1:22" ht="14.25" customHeight="1" x14ac:dyDescent="0.2">
      <c r="A22" s="227" t="s">
        <v>131</v>
      </c>
      <c r="B22" s="228"/>
      <c r="C22" s="228"/>
      <c r="D22" s="228"/>
      <c r="E22" s="228"/>
      <c r="F22" s="228"/>
      <c r="G22" s="228"/>
      <c r="H22" s="229"/>
      <c r="O22" s="263"/>
      <c r="P22" s="263"/>
      <c r="Q22" s="263"/>
      <c r="R22" s="263"/>
      <c r="S22" s="263"/>
      <c r="T22" s="263"/>
      <c r="U22" s="263"/>
      <c r="V22" s="263"/>
    </row>
    <row r="23" spans="1:22" x14ac:dyDescent="0.2">
      <c r="A23" s="230"/>
      <c r="B23" s="231"/>
      <c r="C23" s="231"/>
      <c r="D23" s="231"/>
      <c r="E23" s="231"/>
      <c r="F23" s="231"/>
      <c r="G23" s="231"/>
      <c r="H23" s="232"/>
    </row>
    <row r="24" spans="1:22" x14ac:dyDescent="0.2">
      <c r="A24" s="230"/>
      <c r="B24" s="231"/>
      <c r="C24" s="231"/>
      <c r="D24" s="231"/>
      <c r="E24" s="231"/>
      <c r="F24" s="231"/>
      <c r="G24" s="231"/>
      <c r="H24" s="232"/>
    </row>
    <row r="25" spans="1:22" x14ac:dyDescent="0.2">
      <c r="A25" s="230"/>
      <c r="B25" s="231"/>
      <c r="C25" s="231"/>
      <c r="D25" s="231"/>
      <c r="E25" s="231"/>
      <c r="F25" s="231"/>
      <c r="G25" s="231"/>
      <c r="H25" s="232"/>
    </row>
    <row r="26" spans="1:22" x14ac:dyDescent="0.2">
      <c r="A26" s="230"/>
      <c r="B26" s="231"/>
      <c r="C26" s="231"/>
      <c r="D26" s="231"/>
      <c r="E26" s="231"/>
      <c r="F26" s="231"/>
      <c r="G26" s="231"/>
      <c r="H26" s="232"/>
    </row>
    <row r="27" spans="1:22" x14ac:dyDescent="0.2">
      <c r="A27" s="230"/>
      <c r="B27" s="231"/>
      <c r="C27" s="231"/>
      <c r="D27" s="231"/>
      <c r="E27" s="231"/>
      <c r="F27" s="231"/>
      <c r="G27" s="231"/>
      <c r="H27" s="232"/>
    </row>
    <row r="28" spans="1:22" x14ac:dyDescent="0.2">
      <c r="A28" s="230"/>
      <c r="B28" s="231"/>
      <c r="C28" s="231"/>
      <c r="D28" s="231"/>
      <c r="E28" s="231"/>
      <c r="F28" s="231"/>
      <c r="G28" s="231"/>
      <c r="H28" s="232"/>
    </row>
    <row r="29" spans="1:22" x14ac:dyDescent="0.2">
      <c r="A29" s="230"/>
      <c r="B29" s="231"/>
      <c r="C29" s="231"/>
      <c r="D29" s="231"/>
      <c r="E29" s="231"/>
      <c r="F29" s="231"/>
      <c r="G29" s="231"/>
      <c r="H29" s="232"/>
    </row>
    <row r="30" spans="1:22" x14ac:dyDescent="0.2">
      <c r="A30" s="230"/>
      <c r="B30" s="231"/>
      <c r="C30" s="231"/>
      <c r="D30" s="231"/>
      <c r="E30" s="231"/>
      <c r="F30" s="231"/>
      <c r="G30" s="231"/>
      <c r="H30" s="232"/>
    </row>
    <row r="31" spans="1:22" ht="15" thickBot="1" x14ac:dyDescent="0.25">
      <c r="A31" s="233"/>
      <c r="B31" s="234"/>
      <c r="C31" s="234"/>
      <c r="D31" s="234"/>
      <c r="E31" s="234"/>
      <c r="F31" s="234"/>
      <c r="G31" s="234"/>
      <c r="H31" s="235"/>
    </row>
    <row r="39" spans="6:9" ht="15" thickBot="1" x14ac:dyDescent="0.25"/>
    <row r="40" spans="6:9" ht="16.5" thickBot="1" x14ac:dyDescent="0.3">
      <c r="F40" s="31" t="s">
        <v>105</v>
      </c>
      <c r="G40" s="31" t="s">
        <v>86</v>
      </c>
      <c r="H40" s="30" t="s">
        <v>106</v>
      </c>
      <c r="I40" s="32" t="s">
        <v>103</v>
      </c>
    </row>
    <row r="41" spans="6:9" x14ac:dyDescent="0.2">
      <c r="F41" s="21" t="s">
        <v>94</v>
      </c>
      <c r="G41" s="21" t="s">
        <v>95</v>
      </c>
      <c r="H41" s="33" t="s">
        <v>96</v>
      </c>
      <c r="I41" s="27">
        <v>41914.112043193833</v>
      </c>
    </row>
    <row r="42" spans="6:9" x14ac:dyDescent="0.2">
      <c r="F42" s="21" t="s">
        <v>100</v>
      </c>
      <c r="G42" s="226" t="s">
        <v>99</v>
      </c>
      <c r="H42" s="33" t="s">
        <v>96</v>
      </c>
      <c r="I42" s="27">
        <v>3324.508165315764</v>
      </c>
    </row>
    <row r="43" spans="6:9" x14ac:dyDescent="0.2">
      <c r="F43" s="25" t="s">
        <v>100</v>
      </c>
      <c r="G43" s="226"/>
      <c r="H43" s="71" t="s">
        <v>136</v>
      </c>
      <c r="I43" s="27">
        <v>29367</v>
      </c>
    </row>
    <row r="44" spans="6:9" x14ac:dyDescent="0.2">
      <c r="F44" s="21" t="s">
        <v>100</v>
      </c>
      <c r="G44" s="226"/>
      <c r="H44" s="33" t="s">
        <v>107</v>
      </c>
      <c r="I44" s="27">
        <v>34255.256684547981</v>
      </c>
    </row>
    <row r="45" spans="6:9" x14ac:dyDescent="0.2">
      <c r="F45" s="21" t="s">
        <v>87</v>
      </c>
      <c r="G45" s="221" t="s">
        <v>101</v>
      </c>
      <c r="H45" s="71" t="s">
        <v>96</v>
      </c>
      <c r="I45" s="27">
        <v>25938.421943390429</v>
      </c>
    </row>
    <row r="46" spans="6:9" x14ac:dyDescent="0.2">
      <c r="F46" s="25" t="s">
        <v>87</v>
      </c>
      <c r="G46" s="221"/>
      <c r="H46" s="71" t="s">
        <v>136</v>
      </c>
      <c r="I46" s="27">
        <v>84385</v>
      </c>
    </row>
    <row r="47" spans="6:9" x14ac:dyDescent="0.2">
      <c r="F47" s="21" t="s">
        <v>87</v>
      </c>
      <c r="G47" s="221"/>
      <c r="H47" s="33" t="s">
        <v>107</v>
      </c>
      <c r="I47" s="27">
        <v>93152.201648204791</v>
      </c>
    </row>
    <row r="48" spans="6:9" x14ac:dyDescent="0.2">
      <c r="F48" s="21" t="s">
        <v>87</v>
      </c>
      <c r="G48" s="221"/>
      <c r="H48" s="33" t="s">
        <v>119</v>
      </c>
      <c r="I48" s="27">
        <v>80428.560441558366</v>
      </c>
    </row>
    <row r="49" spans="6:9" x14ac:dyDescent="0.2">
      <c r="F49" s="25" t="s">
        <v>89</v>
      </c>
      <c r="G49" s="221" t="s">
        <v>102</v>
      </c>
      <c r="H49" s="71" t="s">
        <v>136</v>
      </c>
      <c r="I49" s="27">
        <v>130507</v>
      </c>
    </row>
    <row r="50" spans="6:9" x14ac:dyDescent="0.2">
      <c r="F50" s="21" t="s">
        <v>89</v>
      </c>
      <c r="G50" s="221"/>
      <c r="H50" s="33" t="s">
        <v>107</v>
      </c>
      <c r="I50" s="27">
        <v>79914.46236820989</v>
      </c>
    </row>
    <row r="51" spans="6:9" x14ac:dyDescent="0.2">
      <c r="F51" s="21" t="s">
        <v>89</v>
      </c>
      <c r="G51" s="221"/>
      <c r="H51" s="33" t="s">
        <v>119</v>
      </c>
      <c r="I51" s="27">
        <v>67259.975054850249</v>
      </c>
    </row>
    <row r="52" spans="6:9" x14ac:dyDescent="0.2">
      <c r="F52" s="26" t="s">
        <v>108</v>
      </c>
      <c r="G52" s="222" t="s">
        <v>109</v>
      </c>
      <c r="H52" s="35" t="s">
        <v>110</v>
      </c>
      <c r="I52" s="27">
        <v>347591</v>
      </c>
    </row>
    <row r="53" spans="6:9" ht="15" thickBot="1" x14ac:dyDescent="0.25">
      <c r="F53" s="28" t="s">
        <v>108</v>
      </c>
      <c r="G53" s="222"/>
      <c r="H53" s="36" t="s">
        <v>111</v>
      </c>
      <c r="I53" s="29">
        <v>303372</v>
      </c>
    </row>
    <row r="54" spans="6:9" x14ac:dyDescent="0.2">
      <c r="F54" s="70" t="s">
        <v>108</v>
      </c>
      <c r="G54" s="222"/>
      <c r="H54" s="70" t="s">
        <v>135</v>
      </c>
      <c r="I54" s="38">
        <v>207004</v>
      </c>
    </row>
    <row r="55" spans="6:9" ht="15" thickBot="1" x14ac:dyDescent="0.25"/>
    <row r="56" spans="6:9" ht="16.5" thickBot="1" x14ac:dyDescent="0.3">
      <c r="F56" s="31" t="s">
        <v>105</v>
      </c>
      <c r="G56" s="31" t="s">
        <v>86</v>
      </c>
      <c r="H56" s="30" t="s">
        <v>189</v>
      </c>
    </row>
    <row r="57" spans="6:9" x14ac:dyDescent="0.2">
      <c r="F57" s="21" t="s">
        <v>100</v>
      </c>
      <c r="G57" s="21" t="s">
        <v>99</v>
      </c>
      <c r="H57" s="159">
        <v>23825.864000000001</v>
      </c>
    </row>
    <row r="58" spans="6:9" x14ac:dyDescent="0.2">
      <c r="F58" s="21" t="s">
        <v>87</v>
      </c>
      <c r="G58" s="21" t="s">
        <v>101</v>
      </c>
      <c r="H58" s="159">
        <v>56014.074000000001</v>
      </c>
    </row>
    <row r="59" spans="6:9" x14ac:dyDescent="0.2">
      <c r="F59" s="21" t="s">
        <v>89</v>
      </c>
      <c r="G59" s="21" t="s">
        <v>102</v>
      </c>
      <c r="H59" s="159">
        <v>10321.816999999999</v>
      </c>
    </row>
    <row r="60" spans="6:9" x14ac:dyDescent="0.2">
      <c r="F60" s="21" t="s">
        <v>94</v>
      </c>
      <c r="G60" s="21" t="s">
        <v>95</v>
      </c>
      <c r="H60" s="159">
        <v>18138.948</v>
      </c>
    </row>
    <row r="61" spans="6:9" ht="15" x14ac:dyDescent="0.25">
      <c r="F61" s="160" t="s">
        <v>190</v>
      </c>
      <c r="G61" s="160"/>
      <c r="H61" s="161">
        <f>SUM(H57:H60)</f>
        <v>108300.70299999999</v>
      </c>
    </row>
  </sheetData>
  <mergeCells count="10">
    <mergeCell ref="O20:V22"/>
    <mergeCell ref="G45:G48"/>
    <mergeCell ref="G49:G51"/>
    <mergeCell ref="G52:G54"/>
    <mergeCell ref="F2:F5"/>
    <mergeCell ref="F6:F8"/>
    <mergeCell ref="F12:F14"/>
    <mergeCell ref="G42:G44"/>
    <mergeCell ref="F9:F11"/>
    <mergeCell ref="A22:H31"/>
  </mergeCells>
  <pageMargins left="0.75" right="0.75" top="1" bottom="1" header="0.5" footer="0.5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856F-AF1F-4609-9B6B-B08F2510E52A}">
  <dimension ref="A2:Q136"/>
  <sheetViews>
    <sheetView topLeftCell="A74" zoomScale="115" zoomScaleNormal="115" workbookViewId="0">
      <selection activeCell="A17" sqref="A17"/>
    </sheetView>
  </sheetViews>
  <sheetFormatPr defaultRowHeight="12.75" x14ac:dyDescent="0.2"/>
  <cols>
    <col min="1" max="1" width="23.140625" customWidth="1"/>
    <col min="4" max="4" width="16.5703125" bestFit="1" customWidth="1"/>
    <col min="5" max="5" width="15.140625" bestFit="1" customWidth="1"/>
    <col min="6" max="8" width="15" bestFit="1" customWidth="1"/>
    <col min="9" max="10" width="15.140625" bestFit="1" customWidth="1"/>
    <col min="11" max="13" width="15" bestFit="1" customWidth="1"/>
    <col min="14" max="14" width="16.140625" bestFit="1" customWidth="1"/>
    <col min="15" max="15" width="11.85546875" bestFit="1" customWidth="1"/>
    <col min="16" max="16" width="21.85546875" bestFit="1" customWidth="1"/>
    <col min="17" max="17" width="14.5703125" bestFit="1" customWidth="1"/>
  </cols>
  <sheetData>
    <row r="2" spans="1:17" x14ac:dyDescent="0.2">
      <c r="C2" s="16" t="s">
        <v>115</v>
      </c>
      <c r="D2" s="39">
        <v>351.29</v>
      </c>
      <c r="E2" s="39">
        <v>283.14999999999998</v>
      </c>
      <c r="F2" s="39">
        <v>372.49</v>
      </c>
      <c r="G2" s="39">
        <v>218.04</v>
      </c>
      <c r="H2" s="39">
        <v>162.02000000000001</v>
      </c>
      <c r="I2" s="39">
        <v>152.16999999999999</v>
      </c>
      <c r="J2" s="39">
        <v>93.12</v>
      </c>
      <c r="K2" s="39">
        <v>34.07</v>
      </c>
      <c r="L2" s="39">
        <v>34.07</v>
      </c>
      <c r="M2" s="39">
        <v>10.6</v>
      </c>
      <c r="N2" s="40">
        <f>SUM(D2:M2)</f>
        <v>1711.02</v>
      </c>
    </row>
    <row r="3" spans="1:17" ht="15" x14ac:dyDescent="0.25">
      <c r="A3" s="53" t="s">
        <v>93</v>
      </c>
      <c r="B3" s="16" t="s">
        <v>86</v>
      </c>
      <c r="C3" s="16" t="s">
        <v>0</v>
      </c>
      <c r="D3" s="16" t="s">
        <v>72</v>
      </c>
      <c r="E3" s="16" t="s">
        <v>73</v>
      </c>
      <c r="F3" s="16" t="s">
        <v>74</v>
      </c>
      <c r="G3" s="16" t="s">
        <v>75</v>
      </c>
      <c r="H3" s="16" t="s">
        <v>76</v>
      </c>
      <c r="I3" s="16" t="s">
        <v>77</v>
      </c>
      <c r="J3" s="16" t="s">
        <v>78</v>
      </c>
      <c r="K3" s="16" t="s">
        <v>79</v>
      </c>
      <c r="L3" s="16" t="s">
        <v>80</v>
      </c>
      <c r="M3" s="16" t="s">
        <v>81</v>
      </c>
      <c r="N3" s="16" t="s">
        <v>82</v>
      </c>
      <c r="O3" s="16" t="s">
        <v>116</v>
      </c>
      <c r="P3" s="16" t="s">
        <v>117</v>
      </c>
      <c r="Q3" s="16" t="s">
        <v>118</v>
      </c>
    </row>
    <row r="4" spans="1:17" ht="14.25" x14ac:dyDescent="0.2">
      <c r="A4" s="18"/>
      <c r="B4" s="16" t="s">
        <v>94</v>
      </c>
      <c r="C4" s="16" t="s">
        <v>95</v>
      </c>
      <c r="D4" s="20">
        <f t="shared" ref="D4:M13" si="0">$Q4*D$2</f>
        <v>14724008.419653563</v>
      </c>
      <c r="E4" s="20">
        <f t="shared" si="0"/>
        <v>11867980.825030332</v>
      </c>
      <c r="F4" s="20">
        <f t="shared" si="0"/>
        <v>15612587.594969271</v>
      </c>
      <c r="G4" s="20">
        <f t="shared" si="0"/>
        <v>9138952.9898979831</v>
      </c>
      <c r="H4" s="20">
        <f t="shared" si="0"/>
        <v>6790924.4332382651</v>
      </c>
      <c r="I4" s="20">
        <f t="shared" si="0"/>
        <v>6378070.4296128051</v>
      </c>
      <c r="J4" s="20">
        <f t="shared" si="0"/>
        <v>3903042.1134622097</v>
      </c>
      <c r="K4" s="20">
        <f t="shared" si="0"/>
        <v>1428013.7973116138</v>
      </c>
      <c r="L4" s="20">
        <f t="shared" si="0"/>
        <v>1428013.7973116138</v>
      </c>
      <c r="M4" s="20">
        <f t="shared" si="0"/>
        <v>444289.5876578546</v>
      </c>
      <c r="N4" s="20">
        <f t="shared" ref="N4:N42" si="1">SUM(D4:M4)</f>
        <v>71715883.988145515</v>
      </c>
      <c r="O4" s="41">
        <f>'Overall Restoration (Acres)'!$D$9</f>
        <v>41914.112043193833</v>
      </c>
      <c r="P4" s="42">
        <v>1</v>
      </c>
      <c r="Q4" s="43">
        <f>O4*P4</f>
        <v>41914.112043193833</v>
      </c>
    </row>
    <row r="5" spans="1:17" x14ac:dyDescent="0.2">
      <c r="B5" s="237" t="s">
        <v>91</v>
      </c>
      <c r="C5" t="s">
        <v>41</v>
      </c>
      <c r="D5" s="44">
        <f t="shared" si="0"/>
        <v>1131153.8</v>
      </c>
      <c r="E5" s="44">
        <f t="shared" si="0"/>
        <v>911742.99999999988</v>
      </c>
      <c r="F5" s="44">
        <f t="shared" si="0"/>
        <v>1199417.8</v>
      </c>
      <c r="G5" s="44">
        <f t="shared" si="0"/>
        <v>702088.79999999993</v>
      </c>
      <c r="H5" s="44">
        <f t="shared" si="0"/>
        <v>521704.4</v>
      </c>
      <c r="I5" s="44">
        <f t="shared" si="0"/>
        <v>489987.39999999997</v>
      </c>
      <c r="J5" s="44">
        <f t="shared" si="0"/>
        <v>299846.40000000002</v>
      </c>
      <c r="K5" s="44">
        <f t="shared" si="0"/>
        <v>109705.4</v>
      </c>
      <c r="L5" s="44">
        <f t="shared" si="0"/>
        <v>109705.4</v>
      </c>
      <c r="M5" s="44">
        <f t="shared" si="0"/>
        <v>34132</v>
      </c>
      <c r="N5" s="44">
        <f t="shared" si="1"/>
        <v>5509484.4000000013</v>
      </c>
      <c r="O5" s="41">
        <f>INDEX(References!$C$2:$C$38,MATCH(C5,References!$A$2:$A$38,0))</f>
        <v>3220</v>
      </c>
      <c r="P5" s="42">
        <v>1</v>
      </c>
      <c r="Q5" s="43">
        <f t="shared" ref="Q5:Q42" si="2">O5*P5</f>
        <v>3220</v>
      </c>
    </row>
    <row r="6" spans="1:17" x14ac:dyDescent="0.2">
      <c r="B6" s="237"/>
      <c r="C6" t="s">
        <v>42</v>
      </c>
      <c r="D6" s="44">
        <f t="shared" si="0"/>
        <v>1215112.1100000001</v>
      </c>
      <c r="E6" s="44">
        <f t="shared" si="0"/>
        <v>979415.85</v>
      </c>
      <c r="F6" s="44">
        <f t="shared" si="0"/>
        <v>1288442.9099999999</v>
      </c>
      <c r="G6" s="44">
        <f t="shared" si="0"/>
        <v>754200.36</v>
      </c>
      <c r="H6" s="44">
        <f t="shared" si="0"/>
        <v>560427.18000000005</v>
      </c>
      <c r="I6" s="44">
        <f t="shared" si="0"/>
        <v>526356.02999999991</v>
      </c>
      <c r="J6" s="44">
        <f t="shared" si="0"/>
        <v>322102.08</v>
      </c>
      <c r="K6" s="44">
        <f t="shared" si="0"/>
        <v>117848.13</v>
      </c>
      <c r="L6" s="44">
        <f t="shared" si="0"/>
        <v>117848.13</v>
      </c>
      <c r="M6" s="44">
        <f t="shared" si="0"/>
        <v>36665.4</v>
      </c>
      <c r="N6" s="44">
        <f t="shared" si="1"/>
        <v>5918418.1800000006</v>
      </c>
      <c r="O6" s="41">
        <f>INDEX(References!$C$2:$C$38,MATCH(C6,References!$A$2:$A$38,0))</f>
        <v>3459</v>
      </c>
      <c r="P6" s="42">
        <v>1</v>
      </c>
      <c r="Q6" s="43">
        <f t="shared" si="2"/>
        <v>3459</v>
      </c>
    </row>
    <row r="7" spans="1:17" x14ac:dyDescent="0.2">
      <c r="B7" s="237"/>
      <c r="C7" t="s">
        <v>43</v>
      </c>
      <c r="D7" s="44">
        <f t="shared" si="0"/>
        <v>1909612.4400000002</v>
      </c>
      <c r="E7" s="44">
        <f t="shared" si="0"/>
        <v>1539203.4</v>
      </c>
      <c r="F7" s="44">
        <f t="shared" si="0"/>
        <v>2024855.6400000001</v>
      </c>
      <c r="G7" s="44">
        <f t="shared" si="0"/>
        <v>1185265.44</v>
      </c>
      <c r="H7" s="44">
        <f t="shared" si="0"/>
        <v>880740.72000000009</v>
      </c>
      <c r="I7" s="44">
        <f t="shared" si="0"/>
        <v>827196.11999999988</v>
      </c>
      <c r="J7" s="44">
        <f t="shared" si="0"/>
        <v>506200.32000000001</v>
      </c>
      <c r="K7" s="44">
        <f t="shared" si="0"/>
        <v>185204.52</v>
      </c>
      <c r="L7" s="44">
        <f t="shared" si="0"/>
        <v>185204.52</v>
      </c>
      <c r="M7" s="44">
        <f t="shared" si="0"/>
        <v>57621.599999999999</v>
      </c>
      <c r="N7" s="44">
        <f t="shared" si="1"/>
        <v>9301104.7199999988</v>
      </c>
      <c r="O7" s="41">
        <f>INDEX(References!$C$2:$C$38,MATCH(C7,References!$A$2:$A$38,0))</f>
        <v>5436</v>
      </c>
      <c r="P7" s="42">
        <v>1</v>
      </c>
      <c r="Q7" s="43">
        <f t="shared" si="2"/>
        <v>5436</v>
      </c>
    </row>
    <row r="8" spans="1:17" x14ac:dyDescent="0.2">
      <c r="B8" s="237"/>
      <c r="C8" t="s">
        <v>44</v>
      </c>
      <c r="D8" s="44">
        <f t="shared" si="0"/>
        <v>750004.15</v>
      </c>
      <c r="E8" s="44">
        <f t="shared" si="0"/>
        <v>604525.25</v>
      </c>
      <c r="F8" s="44">
        <f t="shared" si="0"/>
        <v>795266.15</v>
      </c>
      <c r="G8" s="44">
        <f t="shared" si="0"/>
        <v>465515.39999999997</v>
      </c>
      <c r="H8" s="44">
        <f t="shared" si="0"/>
        <v>345912.7</v>
      </c>
      <c r="I8" s="44">
        <f t="shared" si="0"/>
        <v>324882.94999999995</v>
      </c>
      <c r="J8" s="44">
        <f t="shared" si="0"/>
        <v>198811.2</v>
      </c>
      <c r="K8" s="44">
        <f t="shared" si="0"/>
        <v>72739.45</v>
      </c>
      <c r="L8" s="44">
        <f t="shared" si="0"/>
        <v>72739.45</v>
      </c>
      <c r="M8" s="44">
        <f t="shared" si="0"/>
        <v>22631</v>
      </c>
      <c r="N8" s="44">
        <f t="shared" si="1"/>
        <v>3653027.7</v>
      </c>
      <c r="O8" s="41">
        <f>INDEX(References!$C$2:$C$38,MATCH(C8,References!$A$2:$A$38,0))</f>
        <v>2135</v>
      </c>
      <c r="P8" s="42">
        <v>1</v>
      </c>
      <c r="Q8" s="43">
        <f t="shared" si="2"/>
        <v>2135</v>
      </c>
    </row>
    <row r="9" spans="1:17" x14ac:dyDescent="0.2">
      <c r="B9" s="237"/>
      <c r="C9" t="s">
        <v>45</v>
      </c>
      <c r="D9" s="44">
        <f t="shared" si="0"/>
        <v>3575429.62</v>
      </c>
      <c r="E9" s="44">
        <f t="shared" si="0"/>
        <v>2881900.6999999997</v>
      </c>
      <c r="F9" s="44">
        <f t="shared" si="0"/>
        <v>3791203.22</v>
      </c>
      <c r="G9" s="44">
        <f t="shared" si="0"/>
        <v>2219211.12</v>
      </c>
      <c r="H9" s="44">
        <f t="shared" si="0"/>
        <v>1649039.56</v>
      </c>
      <c r="I9" s="44">
        <f t="shared" si="0"/>
        <v>1548786.2599999998</v>
      </c>
      <c r="J9" s="44">
        <f t="shared" si="0"/>
        <v>947775.3600000001</v>
      </c>
      <c r="K9" s="44">
        <f t="shared" si="0"/>
        <v>346764.46</v>
      </c>
      <c r="L9" s="44">
        <f t="shared" si="0"/>
        <v>346764.46</v>
      </c>
      <c r="M9" s="44">
        <f t="shared" si="0"/>
        <v>107886.8</v>
      </c>
      <c r="N9" s="44">
        <f t="shared" si="1"/>
        <v>17414761.560000002</v>
      </c>
      <c r="O9" s="41">
        <f>INDEX(References!$C$2:$C$38,MATCH(C9,References!$A$2:$A$38,0))</f>
        <v>10178</v>
      </c>
      <c r="P9" s="42">
        <v>1</v>
      </c>
      <c r="Q9" s="43">
        <f t="shared" si="2"/>
        <v>10178</v>
      </c>
    </row>
    <row r="10" spans="1:17" x14ac:dyDescent="0.2">
      <c r="B10" s="237"/>
      <c r="C10" t="s">
        <v>97</v>
      </c>
      <c r="D10" s="44">
        <f t="shared" si="0"/>
        <v>484780.2</v>
      </c>
      <c r="E10" s="44">
        <f t="shared" si="0"/>
        <v>390746.99999999994</v>
      </c>
      <c r="F10" s="44">
        <f t="shared" si="0"/>
        <v>514036.2</v>
      </c>
      <c r="G10" s="44">
        <f t="shared" si="0"/>
        <v>300895.2</v>
      </c>
      <c r="H10" s="44">
        <f t="shared" si="0"/>
        <v>223587.6</v>
      </c>
      <c r="I10" s="44">
        <f t="shared" si="0"/>
        <v>209994.59999999998</v>
      </c>
      <c r="J10" s="44">
        <f t="shared" si="0"/>
        <v>128505.60000000001</v>
      </c>
      <c r="K10" s="44">
        <f t="shared" si="0"/>
        <v>47016.6</v>
      </c>
      <c r="L10" s="44">
        <f t="shared" si="0"/>
        <v>47016.6</v>
      </c>
      <c r="M10" s="44">
        <f t="shared" si="0"/>
        <v>14628</v>
      </c>
      <c r="N10" s="44">
        <f t="shared" si="1"/>
        <v>2361207.6</v>
      </c>
      <c r="O10" s="45">
        <v>1380</v>
      </c>
      <c r="P10" s="42">
        <v>1</v>
      </c>
      <c r="Q10" s="43">
        <f t="shared" si="2"/>
        <v>1380</v>
      </c>
    </row>
    <row r="11" spans="1:17" x14ac:dyDescent="0.2">
      <c r="B11" s="237"/>
      <c r="C11" t="s">
        <v>46</v>
      </c>
      <c r="D11" s="44">
        <f t="shared" si="0"/>
        <v>1250241.1100000001</v>
      </c>
      <c r="E11" s="44">
        <f t="shared" si="0"/>
        <v>1007730.85</v>
      </c>
      <c r="F11" s="44">
        <f t="shared" si="0"/>
        <v>1325691.9099999999</v>
      </c>
      <c r="G11" s="44">
        <f t="shared" si="0"/>
        <v>776004.36</v>
      </c>
      <c r="H11" s="44">
        <f t="shared" si="0"/>
        <v>576629.18000000005</v>
      </c>
      <c r="I11" s="44">
        <f t="shared" si="0"/>
        <v>541573.02999999991</v>
      </c>
      <c r="J11" s="44">
        <f t="shared" si="0"/>
        <v>331414.08</v>
      </c>
      <c r="K11" s="44">
        <f t="shared" si="0"/>
        <v>121255.13</v>
      </c>
      <c r="L11" s="44">
        <f t="shared" si="0"/>
        <v>121255.13</v>
      </c>
      <c r="M11" s="44">
        <f t="shared" si="0"/>
        <v>37725.4</v>
      </c>
      <c r="N11" s="44">
        <f t="shared" si="1"/>
        <v>6089520.1800000006</v>
      </c>
      <c r="O11" s="41">
        <f>INDEX(References!$C$2:$C$38,MATCH(C11,References!$A$2:$A$38,0))</f>
        <v>3559</v>
      </c>
      <c r="P11" s="42">
        <v>1</v>
      </c>
      <c r="Q11" s="43">
        <f t="shared" si="2"/>
        <v>3559</v>
      </c>
    </row>
    <row r="12" spans="1:17" x14ac:dyDescent="0.2">
      <c r="B12" s="237" t="s">
        <v>87</v>
      </c>
      <c r="C12" t="s">
        <v>5</v>
      </c>
      <c r="D12" s="44">
        <f t="shared" si="0"/>
        <v>5811390.4700000007</v>
      </c>
      <c r="E12" s="44">
        <f t="shared" si="0"/>
        <v>4684150.4499999993</v>
      </c>
      <c r="F12" s="44">
        <f t="shared" si="0"/>
        <v>6162102.0700000003</v>
      </c>
      <c r="G12" s="44">
        <f t="shared" si="0"/>
        <v>3607035.7199999997</v>
      </c>
      <c r="H12" s="44">
        <f t="shared" si="0"/>
        <v>2680296.8600000003</v>
      </c>
      <c r="I12" s="44">
        <f t="shared" si="0"/>
        <v>2517348.3099999996</v>
      </c>
      <c r="J12" s="44">
        <f t="shared" si="0"/>
        <v>1540484.1600000001</v>
      </c>
      <c r="K12" s="44">
        <f t="shared" si="0"/>
        <v>563620.01</v>
      </c>
      <c r="L12" s="44">
        <f t="shared" si="0"/>
        <v>563620.01</v>
      </c>
      <c r="M12" s="44">
        <f t="shared" si="0"/>
        <v>175355.8</v>
      </c>
      <c r="N12" s="44">
        <f t="shared" si="1"/>
        <v>28305403.860000003</v>
      </c>
      <c r="O12" s="41">
        <f>INDEX(References!$C$2:$C$38,MATCH(C12,References!$A$2:$A$38,0))</f>
        <v>16543</v>
      </c>
      <c r="P12" s="42">
        <v>1</v>
      </c>
      <c r="Q12" s="43">
        <f t="shared" si="2"/>
        <v>16543</v>
      </c>
    </row>
    <row r="13" spans="1:17" x14ac:dyDescent="0.2">
      <c r="B13" s="237"/>
      <c r="C13" t="s">
        <v>8</v>
      </c>
      <c r="D13" s="44">
        <f t="shared" si="0"/>
        <v>4144519.4200000004</v>
      </c>
      <c r="E13" s="44">
        <f t="shared" si="0"/>
        <v>3340603.6999999997</v>
      </c>
      <c r="F13" s="44">
        <f t="shared" si="0"/>
        <v>4394637.0200000005</v>
      </c>
      <c r="G13" s="44">
        <f t="shared" si="0"/>
        <v>2572435.92</v>
      </c>
      <c r="H13" s="44">
        <f t="shared" si="0"/>
        <v>1911511.9600000002</v>
      </c>
      <c r="I13" s="44">
        <f t="shared" si="0"/>
        <v>1795301.66</v>
      </c>
      <c r="J13" s="44">
        <f t="shared" si="0"/>
        <v>1098629.76</v>
      </c>
      <c r="K13" s="44">
        <f t="shared" si="0"/>
        <v>401957.86</v>
      </c>
      <c r="L13" s="44">
        <f t="shared" si="0"/>
        <v>401957.86</v>
      </c>
      <c r="M13" s="44">
        <f t="shared" si="0"/>
        <v>125058.8</v>
      </c>
      <c r="N13" s="44">
        <f t="shared" si="1"/>
        <v>20186613.960000001</v>
      </c>
      <c r="O13" s="41">
        <f>INDEX(References!$C$2:$C$38,MATCH(C13,References!$A$2:$A$38,0))</f>
        <v>11798</v>
      </c>
      <c r="P13" s="42">
        <v>1</v>
      </c>
      <c r="Q13" s="43">
        <f t="shared" si="2"/>
        <v>11798</v>
      </c>
    </row>
    <row r="14" spans="1:17" x14ac:dyDescent="0.2">
      <c r="B14" s="237"/>
      <c r="C14" t="s">
        <v>10</v>
      </c>
      <c r="D14" s="44">
        <f t="shared" ref="D14:M23" si="3">$Q14*D$2</f>
        <v>3091000.71</v>
      </c>
      <c r="E14" s="44">
        <f t="shared" si="3"/>
        <v>2491436.8499999996</v>
      </c>
      <c r="F14" s="44">
        <f t="shared" si="3"/>
        <v>3277539.5100000002</v>
      </c>
      <c r="G14" s="44">
        <f t="shared" si="3"/>
        <v>1918533.96</v>
      </c>
      <c r="H14" s="44">
        <f t="shared" si="3"/>
        <v>1425613.98</v>
      </c>
      <c r="I14" s="44">
        <f t="shared" si="3"/>
        <v>1338943.8299999998</v>
      </c>
      <c r="J14" s="44">
        <f t="shared" si="3"/>
        <v>819362.88</v>
      </c>
      <c r="K14" s="44">
        <f t="shared" si="3"/>
        <v>299781.93</v>
      </c>
      <c r="L14" s="44">
        <f t="shared" si="3"/>
        <v>299781.93</v>
      </c>
      <c r="M14" s="44">
        <f t="shared" si="3"/>
        <v>93269.4</v>
      </c>
      <c r="N14" s="44">
        <f t="shared" si="1"/>
        <v>15055264.980000002</v>
      </c>
      <c r="O14" s="41">
        <f>INDEX(References!$C$2:$C$38,MATCH(C14,References!$A$2:$A$38,0))</f>
        <v>8799</v>
      </c>
      <c r="P14" s="42">
        <v>1</v>
      </c>
      <c r="Q14" s="43">
        <f t="shared" si="2"/>
        <v>8799</v>
      </c>
    </row>
    <row r="15" spans="1:17" x14ac:dyDescent="0.2">
      <c r="B15" s="237"/>
      <c r="C15" t="s">
        <v>12</v>
      </c>
      <c r="D15" s="44">
        <f t="shared" si="3"/>
        <v>3200603.1900000004</v>
      </c>
      <c r="E15" s="44">
        <f t="shared" si="3"/>
        <v>2579779.65</v>
      </c>
      <c r="F15" s="44">
        <f t="shared" si="3"/>
        <v>3393756.39</v>
      </c>
      <c r="G15" s="44">
        <f t="shared" si="3"/>
        <v>1986562.44</v>
      </c>
      <c r="H15" s="44">
        <f t="shared" si="3"/>
        <v>1476164.2200000002</v>
      </c>
      <c r="I15" s="44">
        <f t="shared" si="3"/>
        <v>1386420.8699999999</v>
      </c>
      <c r="J15" s="44">
        <f t="shared" si="3"/>
        <v>848416.32000000007</v>
      </c>
      <c r="K15" s="44">
        <f t="shared" si="3"/>
        <v>310411.77</v>
      </c>
      <c r="L15" s="44">
        <f t="shared" si="3"/>
        <v>310411.77</v>
      </c>
      <c r="M15" s="44">
        <f t="shared" si="3"/>
        <v>96576.599999999991</v>
      </c>
      <c r="N15" s="44">
        <f t="shared" si="1"/>
        <v>15589103.219999999</v>
      </c>
      <c r="O15" s="41">
        <f>INDEX(References!$C$2:$C$38,MATCH(C15,References!$A$2:$A$38,0))</f>
        <v>9111</v>
      </c>
      <c r="P15" s="42">
        <v>1</v>
      </c>
      <c r="Q15" s="43">
        <f t="shared" si="2"/>
        <v>9111</v>
      </c>
    </row>
    <row r="16" spans="1:17" x14ac:dyDescent="0.2">
      <c r="B16" s="237"/>
      <c r="C16" t="s">
        <v>47</v>
      </c>
      <c r="D16" s="44">
        <f t="shared" si="3"/>
        <v>73068.320000000007</v>
      </c>
      <c r="E16" s="44">
        <f t="shared" si="3"/>
        <v>58895.199999999997</v>
      </c>
      <c r="F16" s="44">
        <f t="shared" si="3"/>
        <v>77477.919999999998</v>
      </c>
      <c r="G16" s="44">
        <f t="shared" si="3"/>
        <v>45352.32</v>
      </c>
      <c r="H16" s="44">
        <f t="shared" si="3"/>
        <v>33700.160000000003</v>
      </c>
      <c r="I16" s="44">
        <f t="shared" si="3"/>
        <v>31651.359999999997</v>
      </c>
      <c r="J16" s="44">
        <f t="shared" si="3"/>
        <v>19368.96</v>
      </c>
      <c r="K16" s="44">
        <f t="shared" si="3"/>
        <v>7086.56</v>
      </c>
      <c r="L16" s="44">
        <f t="shared" si="3"/>
        <v>7086.56</v>
      </c>
      <c r="M16" s="44">
        <f t="shared" si="3"/>
        <v>2204.7999999999997</v>
      </c>
      <c r="N16" s="44">
        <f t="shared" si="1"/>
        <v>355892.16000000003</v>
      </c>
      <c r="O16" s="41">
        <f>INDEX(References!$C$2:$C$38,MATCH(C16,References!$A$2:$A$38,0))</f>
        <v>208</v>
      </c>
      <c r="P16" s="42">
        <v>1</v>
      </c>
      <c r="Q16" s="43">
        <f t="shared" si="2"/>
        <v>208</v>
      </c>
    </row>
    <row r="17" spans="2:17" x14ac:dyDescent="0.2">
      <c r="B17" s="237"/>
      <c r="C17" t="s">
        <v>48</v>
      </c>
      <c r="D17" s="44">
        <f t="shared" si="3"/>
        <v>883143.06</v>
      </c>
      <c r="E17" s="44">
        <f t="shared" si="3"/>
        <v>711839.1</v>
      </c>
      <c r="F17" s="44">
        <f t="shared" si="3"/>
        <v>936439.86</v>
      </c>
      <c r="G17" s="44">
        <f t="shared" si="3"/>
        <v>548152.55999999994</v>
      </c>
      <c r="H17" s="44">
        <f t="shared" si="3"/>
        <v>407318.28</v>
      </c>
      <c r="I17" s="44">
        <f t="shared" si="3"/>
        <v>382555.37999999995</v>
      </c>
      <c r="J17" s="44">
        <f t="shared" si="3"/>
        <v>234103.68000000002</v>
      </c>
      <c r="K17" s="44">
        <f t="shared" si="3"/>
        <v>85651.98</v>
      </c>
      <c r="L17" s="44">
        <f t="shared" si="3"/>
        <v>85651.98</v>
      </c>
      <c r="M17" s="44">
        <f t="shared" si="3"/>
        <v>26648.399999999998</v>
      </c>
      <c r="N17" s="44">
        <f t="shared" si="1"/>
        <v>4301504.2800000012</v>
      </c>
      <c r="O17" s="41">
        <f>INDEX(References!$C$2:$C$38,MATCH(C17,References!$A$2:$A$38,0))</f>
        <v>2514</v>
      </c>
      <c r="P17" s="42">
        <v>1</v>
      </c>
      <c r="Q17" s="43">
        <f t="shared" si="2"/>
        <v>2514</v>
      </c>
    </row>
    <row r="18" spans="2:17" x14ac:dyDescent="0.2">
      <c r="B18" s="237"/>
      <c r="C18" t="s">
        <v>49</v>
      </c>
      <c r="D18" s="44">
        <f t="shared" si="3"/>
        <v>3235732.1900000004</v>
      </c>
      <c r="E18" s="44">
        <f t="shared" si="3"/>
        <v>2608094.65</v>
      </c>
      <c r="F18" s="44">
        <f t="shared" si="3"/>
        <v>3431005.39</v>
      </c>
      <c r="G18" s="44">
        <f t="shared" si="3"/>
        <v>2008366.44</v>
      </c>
      <c r="H18" s="44">
        <f t="shared" si="3"/>
        <v>1492366.2200000002</v>
      </c>
      <c r="I18" s="44">
        <f t="shared" si="3"/>
        <v>1401637.8699999999</v>
      </c>
      <c r="J18" s="44">
        <f t="shared" si="3"/>
        <v>857728.32000000007</v>
      </c>
      <c r="K18" s="44">
        <f t="shared" si="3"/>
        <v>313818.77</v>
      </c>
      <c r="L18" s="44">
        <f t="shared" si="3"/>
        <v>313818.77</v>
      </c>
      <c r="M18" s="44">
        <f t="shared" si="3"/>
        <v>97636.599999999991</v>
      </c>
      <c r="N18" s="44">
        <f t="shared" si="1"/>
        <v>15760205.219999999</v>
      </c>
      <c r="O18" s="41">
        <f>INDEX(References!$C$2:$C$38,MATCH(C18,References!$A$2:$A$38,0))</f>
        <v>9211</v>
      </c>
      <c r="P18" s="42">
        <v>1</v>
      </c>
      <c r="Q18" s="43">
        <f t="shared" si="2"/>
        <v>9211</v>
      </c>
    </row>
    <row r="19" spans="2:17" x14ac:dyDescent="0.2">
      <c r="B19" s="237"/>
      <c r="C19" t="s">
        <v>50</v>
      </c>
      <c r="D19" s="44">
        <f t="shared" si="3"/>
        <v>1031387.4400000001</v>
      </c>
      <c r="E19" s="44">
        <f t="shared" si="3"/>
        <v>831328.39999999991</v>
      </c>
      <c r="F19" s="44">
        <f t="shared" si="3"/>
        <v>1093630.6400000001</v>
      </c>
      <c r="G19" s="44">
        <f t="shared" si="3"/>
        <v>640165.43999999994</v>
      </c>
      <c r="H19" s="44">
        <f t="shared" si="3"/>
        <v>475690.72000000003</v>
      </c>
      <c r="I19" s="44">
        <f t="shared" si="3"/>
        <v>446771.11999999994</v>
      </c>
      <c r="J19" s="44">
        <f t="shared" si="3"/>
        <v>273400.32000000001</v>
      </c>
      <c r="K19" s="44">
        <f t="shared" si="3"/>
        <v>100029.52</v>
      </c>
      <c r="L19" s="44">
        <f t="shared" si="3"/>
        <v>100029.52</v>
      </c>
      <c r="M19" s="44">
        <f t="shared" si="3"/>
        <v>31121.599999999999</v>
      </c>
      <c r="N19" s="44">
        <f t="shared" si="1"/>
        <v>5023554.7199999988</v>
      </c>
      <c r="O19" s="41">
        <f>INDEX(References!$C$2:$C$38,MATCH(C19,References!$A$2:$A$38,0))</f>
        <v>2936</v>
      </c>
      <c r="P19" s="42">
        <v>1</v>
      </c>
      <c r="Q19" s="43">
        <f t="shared" si="2"/>
        <v>2936</v>
      </c>
    </row>
    <row r="20" spans="2:17" x14ac:dyDescent="0.2">
      <c r="B20" t="s">
        <v>88</v>
      </c>
      <c r="C20" t="s">
        <v>15</v>
      </c>
      <c r="D20" s="44">
        <f t="shared" si="3"/>
        <v>4534100.03</v>
      </c>
      <c r="E20" s="44">
        <f t="shared" si="3"/>
        <v>3654617.05</v>
      </c>
      <c r="F20" s="44">
        <f t="shared" si="3"/>
        <v>4807728.43</v>
      </c>
      <c r="G20" s="44">
        <f t="shared" si="3"/>
        <v>2814242.28</v>
      </c>
      <c r="H20" s="44">
        <f t="shared" si="3"/>
        <v>2091192.1400000001</v>
      </c>
      <c r="I20" s="44">
        <f t="shared" si="3"/>
        <v>1964058.19</v>
      </c>
      <c r="J20" s="44">
        <f t="shared" si="3"/>
        <v>1201899.8400000001</v>
      </c>
      <c r="K20" s="44">
        <f t="shared" si="3"/>
        <v>439741.49</v>
      </c>
      <c r="L20" s="44">
        <f t="shared" si="3"/>
        <v>439741.49</v>
      </c>
      <c r="M20" s="44">
        <f t="shared" si="3"/>
        <v>136814.19999999998</v>
      </c>
      <c r="N20" s="44">
        <f t="shared" si="1"/>
        <v>22084135.139999997</v>
      </c>
      <c r="O20" s="41">
        <f>INDEX(References!$C$2:$C$38,MATCH(C20,References!$A$2:$A$38,0))</f>
        <v>12907</v>
      </c>
      <c r="P20" s="42">
        <v>1</v>
      </c>
      <c r="Q20" s="43">
        <f t="shared" si="2"/>
        <v>12907</v>
      </c>
    </row>
    <row r="21" spans="2:17" x14ac:dyDescent="0.2">
      <c r="B21" t="s">
        <v>90</v>
      </c>
      <c r="C21" t="s">
        <v>23</v>
      </c>
      <c r="D21" s="44">
        <f t="shared" si="3"/>
        <v>3638661.8200000003</v>
      </c>
      <c r="E21" s="44">
        <f t="shared" si="3"/>
        <v>2932867.6999999997</v>
      </c>
      <c r="F21" s="44">
        <f t="shared" si="3"/>
        <v>3858251.42</v>
      </c>
      <c r="G21" s="44">
        <f t="shared" si="3"/>
        <v>2258458.3199999998</v>
      </c>
      <c r="H21" s="44">
        <f t="shared" si="3"/>
        <v>1678203.1600000001</v>
      </c>
      <c r="I21" s="44">
        <f t="shared" si="3"/>
        <v>1576176.8599999999</v>
      </c>
      <c r="J21" s="44">
        <f t="shared" si="3"/>
        <v>964536.96000000008</v>
      </c>
      <c r="K21" s="44">
        <f t="shared" si="3"/>
        <v>352897.06</v>
      </c>
      <c r="L21" s="44">
        <f t="shared" si="3"/>
        <v>352897.06</v>
      </c>
      <c r="M21" s="44">
        <f t="shared" si="3"/>
        <v>109794.8</v>
      </c>
      <c r="N21" s="44">
        <f t="shared" si="1"/>
        <v>17722745.159999996</v>
      </c>
      <c r="O21" s="41">
        <f>INDEX(References!$C$2:$C$38,MATCH(C21,References!$A$2:$A$38,0))</f>
        <v>10358</v>
      </c>
      <c r="P21" s="42">
        <v>1</v>
      </c>
      <c r="Q21" s="43">
        <f t="shared" si="2"/>
        <v>10358</v>
      </c>
    </row>
    <row r="22" spans="2:17" x14ac:dyDescent="0.2">
      <c r="B22" s="237" t="s">
        <v>89</v>
      </c>
      <c r="C22" t="s">
        <v>18</v>
      </c>
      <c r="D22" s="44">
        <f t="shared" si="3"/>
        <v>2085257.4400000002</v>
      </c>
      <c r="E22" s="44">
        <f t="shared" si="3"/>
        <v>1680778.4</v>
      </c>
      <c r="F22" s="44">
        <f t="shared" si="3"/>
        <v>2211100.64</v>
      </c>
      <c r="G22" s="44">
        <f t="shared" si="3"/>
        <v>1294285.44</v>
      </c>
      <c r="H22" s="44">
        <f t="shared" si="3"/>
        <v>961750.72000000009</v>
      </c>
      <c r="I22" s="44">
        <f t="shared" si="3"/>
        <v>903281.11999999988</v>
      </c>
      <c r="J22" s="44">
        <f t="shared" si="3"/>
        <v>552760.32000000007</v>
      </c>
      <c r="K22" s="44">
        <f t="shared" si="3"/>
        <v>202239.52</v>
      </c>
      <c r="L22" s="44">
        <f t="shared" si="3"/>
        <v>202239.52</v>
      </c>
      <c r="M22" s="44">
        <f t="shared" si="3"/>
        <v>62921.599999999999</v>
      </c>
      <c r="N22" s="44">
        <f t="shared" si="1"/>
        <v>10156614.719999999</v>
      </c>
      <c r="O22" s="41">
        <f>INDEX(References!$C$2:$C$38,MATCH(C22,References!$A$2:$A$38,0))</f>
        <v>5936</v>
      </c>
      <c r="P22" s="42">
        <v>1</v>
      </c>
      <c r="Q22" s="43">
        <f t="shared" si="2"/>
        <v>5936</v>
      </c>
    </row>
    <row r="23" spans="2:17" x14ac:dyDescent="0.2">
      <c r="B23" s="237"/>
      <c r="C23" t="s">
        <v>19</v>
      </c>
      <c r="D23" s="44">
        <f t="shared" si="3"/>
        <v>1086891.26</v>
      </c>
      <c r="E23" s="44">
        <f t="shared" si="3"/>
        <v>876066.1</v>
      </c>
      <c r="F23" s="44">
        <f t="shared" si="3"/>
        <v>1152484.06</v>
      </c>
      <c r="G23" s="44">
        <f t="shared" si="3"/>
        <v>674615.76</v>
      </c>
      <c r="H23" s="44">
        <f t="shared" si="3"/>
        <v>501289.88</v>
      </c>
      <c r="I23" s="44">
        <f t="shared" si="3"/>
        <v>470813.98</v>
      </c>
      <c r="J23" s="44">
        <f t="shared" si="3"/>
        <v>288113.28000000003</v>
      </c>
      <c r="K23" s="44">
        <f t="shared" si="3"/>
        <v>105412.58</v>
      </c>
      <c r="L23" s="44">
        <f t="shared" si="3"/>
        <v>105412.58</v>
      </c>
      <c r="M23" s="44">
        <f t="shared" si="3"/>
        <v>32796.400000000001</v>
      </c>
      <c r="N23" s="44">
        <f t="shared" si="1"/>
        <v>5293895.88</v>
      </c>
      <c r="O23" s="41">
        <f>INDEX(References!$C$2:$C$38,MATCH(C23,References!$A$2:$A$38,0))</f>
        <v>3094</v>
      </c>
      <c r="P23" s="42">
        <v>1</v>
      </c>
      <c r="Q23" s="43">
        <f t="shared" si="2"/>
        <v>3094</v>
      </c>
    </row>
    <row r="24" spans="2:17" x14ac:dyDescent="0.2">
      <c r="B24" s="237"/>
      <c r="C24" t="s">
        <v>20</v>
      </c>
      <c r="D24" s="44">
        <f t="shared" ref="D24:M33" si="4">$Q24*D$2</f>
        <v>409252.85000000003</v>
      </c>
      <c r="E24" s="44">
        <f t="shared" si="4"/>
        <v>329869.75</v>
      </c>
      <c r="F24" s="44">
        <f t="shared" si="4"/>
        <v>433950.85000000003</v>
      </c>
      <c r="G24" s="44">
        <f t="shared" si="4"/>
        <v>254016.59999999998</v>
      </c>
      <c r="H24" s="44">
        <f t="shared" si="4"/>
        <v>188753.30000000002</v>
      </c>
      <c r="I24" s="44">
        <f t="shared" si="4"/>
        <v>177278.05</v>
      </c>
      <c r="J24" s="44">
        <f t="shared" si="4"/>
        <v>108484.8</v>
      </c>
      <c r="K24" s="44">
        <f t="shared" si="4"/>
        <v>39691.550000000003</v>
      </c>
      <c r="L24" s="44">
        <f t="shared" si="4"/>
        <v>39691.550000000003</v>
      </c>
      <c r="M24" s="44">
        <f t="shared" si="4"/>
        <v>12349</v>
      </c>
      <c r="N24" s="44">
        <f t="shared" si="1"/>
        <v>1993338.3000000005</v>
      </c>
      <c r="O24" s="41">
        <f>INDEX(References!$C$2:$C$38,MATCH(C24,References!$A$2:$A$38,0))</f>
        <v>1165</v>
      </c>
      <c r="P24" s="42">
        <v>1</v>
      </c>
      <c r="Q24" s="43">
        <f t="shared" si="2"/>
        <v>1165</v>
      </c>
    </row>
    <row r="25" spans="2:17" x14ac:dyDescent="0.2">
      <c r="B25" s="237"/>
      <c r="C25" t="s">
        <v>21</v>
      </c>
      <c r="D25" s="44">
        <f t="shared" si="4"/>
        <v>1273426.25</v>
      </c>
      <c r="E25" s="44">
        <f t="shared" si="4"/>
        <v>1026418.7499999999</v>
      </c>
      <c r="F25" s="44">
        <f t="shared" si="4"/>
        <v>1350276.25</v>
      </c>
      <c r="G25" s="44">
        <f t="shared" si="4"/>
        <v>790395</v>
      </c>
      <c r="H25" s="44">
        <f t="shared" si="4"/>
        <v>587322.5</v>
      </c>
      <c r="I25" s="44">
        <f t="shared" si="4"/>
        <v>551616.25</v>
      </c>
      <c r="J25" s="44">
        <f t="shared" si="4"/>
        <v>337560</v>
      </c>
      <c r="K25" s="44">
        <f t="shared" si="4"/>
        <v>123503.75</v>
      </c>
      <c r="L25" s="44">
        <f t="shared" si="4"/>
        <v>123503.75</v>
      </c>
      <c r="M25" s="44">
        <f t="shared" si="4"/>
        <v>38425</v>
      </c>
      <c r="N25" s="44">
        <f t="shared" si="1"/>
        <v>6202447.5</v>
      </c>
      <c r="O25" s="41">
        <f>INDEX(References!$C$2:$C$38,MATCH(C25,References!$A$2:$A$38,0))</f>
        <v>3625</v>
      </c>
      <c r="P25" s="42">
        <v>1</v>
      </c>
      <c r="Q25" s="43">
        <f t="shared" si="2"/>
        <v>3625</v>
      </c>
    </row>
    <row r="26" spans="2:17" x14ac:dyDescent="0.2">
      <c r="B26" s="237"/>
      <c r="C26" t="s">
        <v>22</v>
      </c>
      <c r="D26" s="44">
        <f t="shared" si="4"/>
        <v>1129748.6400000001</v>
      </c>
      <c r="E26" s="44">
        <f t="shared" si="4"/>
        <v>910610.39999999991</v>
      </c>
      <c r="F26" s="44">
        <f t="shared" si="4"/>
        <v>1197927.8400000001</v>
      </c>
      <c r="G26" s="44">
        <f t="shared" si="4"/>
        <v>701216.64</v>
      </c>
      <c r="H26" s="44">
        <f t="shared" si="4"/>
        <v>521056.32</v>
      </c>
      <c r="I26" s="44">
        <f t="shared" si="4"/>
        <v>489378.72</v>
      </c>
      <c r="J26" s="44">
        <f t="shared" si="4"/>
        <v>299473.92000000004</v>
      </c>
      <c r="K26" s="44">
        <f t="shared" si="4"/>
        <v>109569.12</v>
      </c>
      <c r="L26" s="44">
        <f t="shared" si="4"/>
        <v>109569.12</v>
      </c>
      <c r="M26" s="44">
        <f t="shared" si="4"/>
        <v>34089.599999999999</v>
      </c>
      <c r="N26" s="44">
        <f t="shared" si="1"/>
        <v>5502640.3199999994</v>
      </c>
      <c r="O26" s="41">
        <f>INDEX(References!$C$2:$C$38,MATCH(C26,References!$A$2:$A$38,0))</f>
        <v>3216</v>
      </c>
      <c r="P26" s="42">
        <v>1</v>
      </c>
      <c r="Q26" s="43">
        <f t="shared" si="2"/>
        <v>3216</v>
      </c>
    </row>
    <row r="27" spans="2:17" x14ac:dyDescent="0.2">
      <c r="B27" s="237"/>
      <c r="C27" t="s">
        <v>24</v>
      </c>
      <c r="D27" s="44">
        <f t="shared" si="4"/>
        <v>2368748.4700000002</v>
      </c>
      <c r="E27" s="44">
        <f t="shared" si="4"/>
        <v>1909280.45</v>
      </c>
      <c r="F27" s="44">
        <f t="shared" si="4"/>
        <v>2511700.0699999998</v>
      </c>
      <c r="G27" s="44">
        <f t="shared" si="4"/>
        <v>1470243.72</v>
      </c>
      <c r="H27" s="44">
        <f t="shared" si="4"/>
        <v>1092500.8600000001</v>
      </c>
      <c r="I27" s="44">
        <f t="shared" si="4"/>
        <v>1026082.3099999999</v>
      </c>
      <c r="J27" s="44">
        <f t="shared" si="4"/>
        <v>627908.16</v>
      </c>
      <c r="K27" s="44">
        <f t="shared" si="4"/>
        <v>229734.01</v>
      </c>
      <c r="L27" s="44">
        <f t="shared" si="4"/>
        <v>229734.01</v>
      </c>
      <c r="M27" s="44">
        <f t="shared" si="4"/>
        <v>71475.8</v>
      </c>
      <c r="N27" s="44">
        <f t="shared" si="1"/>
        <v>11537407.860000001</v>
      </c>
      <c r="O27" s="41">
        <f>INDEX(References!$C$2:$C$38,MATCH(C27,References!$A$2:$A$38,0))</f>
        <v>6743</v>
      </c>
      <c r="P27" s="42">
        <v>1</v>
      </c>
      <c r="Q27" s="43">
        <f t="shared" si="2"/>
        <v>6743</v>
      </c>
    </row>
    <row r="28" spans="2:17" x14ac:dyDescent="0.2">
      <c r="B28" s="237"/>
      <c r="C28" t="s">
        <v>25</v>
      </c>
      <c r="D28" s="44">
        <f t="shared" si="4"/>
        <v>739465.45000000007</v>
      </c>
      <c r="E28" s="44">
        <f t="shared" si="4"/>
        <v>596030.75</v>
      </c>
      <c r="F28" s="44">
        <f t="shared" si="4"/>
        <v>784091.45000000007</v>
      </c>
      <c r="G28" s="44">
        <f t="shared" si="4"/>
        <v>458974.2</v>
      </c>
      <c r="H28" s="44">
        <f t="shared" si="4"/>
        <v>341052.10000000003</v>
      </c>
      <c r="I28" s="44">
        <f t="shared" si="4"/>
        <v>320317.84999999998</v>
      </c>
      <c r="J28" s="44">
        <f t="shared" si="4"/>
        <v>196017.6</v>
      </c>
      <c r="K28" s="44">
        <f t="shared" si="4"/>
        <v>71717.350000000006</v>
      </c>
      <c r="L28" s="44">
        <f t="shared" si="4"/>
        <v>71717.350000000006</v>
      </c>
      <c r="M28" s="44">
        <f t="shared" si="4"/>
        <v>22313</v>
      </c>
      <c r="N28" s="44">
        <f t="shared" si="1"/>
        <v>3601697.100000001</v>
      </c>
      <c r="O28" s="41">
        <f>INDEX(References!$C$2:$C$38,MATCH(C28,References!$A$2:$A$38,0))</f>
        <v>2105</v>
      </c>
      <c r="P28" s="42">
        <v>1</v>
      </c>
      <c r="Q28" s="43">
        <f t="shared" si="2"/>
        <v>2105</v>
      </c>
    </row>
    <row r="29" spans="2:17" x14ac:dyDescent="0.2">
      <c r="B29" s="237"/>
      <c r="C29" t="s">
        <v>26</v>
      </c>
      <c r="D29" s="44">
        <f t="shared" si="4"/>
        <v>2128817.4</v>
      </c>
      <c r="E29" s="44">
        <f t="shared" si="4"/>
        <v>1715888.9999999998</v>
      </c>
      <c r="F29" s="44">
        <f t="shared" si="4"/>
        <v>2257289.4</v>
      </c>
      <c r="G29" s="44">
        <f t="shared" si="4"/>
        <v>1321322.3999999999</v>
      </c>
      <c r="H29" s="44">
        <f t="shared" si="4"/>
        <v>981841.20000000007</v>
      </c>
      <c r="I29" s="44">
        <f t="shared" si="4"/>
        <v>922150.2</v>
      </c>
      <c r="J29" s="44">
        <f t="shared" si="4"/>
        <v>564307.20000000007</v>
      </c>
      <c r="K29" s="44">
        <f t="shared" si="4"/>
        <v>206464.2</v>
      </c>
      <c r="L29" s="44">
        <f t="shared" si="4"/>
        <v>206464.2</v>
      </c>
      <c r="M29" s="44">
        <f t="shared" si="4"/>
        <v>64236</v>
      </c>
      <c r="N29" s="44">
        <f t="shared" si="1"/>
        <v>10368781.199999996</v>
      </c>
      <c r="O29" s="41">
        <f>INDEX(References!$C$2:$C$38,MATCH(C29,References!$A$2:$A$38,0))</f>
        <v>6060</v>
      </c>
      <c r="P29" s="42">
        <v>1</v>
      </c>
      <c r="Q29" s="43">
        <f t="shared" si="2"/>
        <v>6060</v>
      </c>
    </row>
    <row r="30" spans="2:17" x14ac:dyDescent="0.2">
      <c r="B30" s="237"/>
      <c r="C30" t="s">
        <v>27</v>
      </c>
      <c r="D30" s="44">
        <f t="shared" si="4"/>
        <v>4260093.83</v>
      </c>
      <c r="E30" s="44">
        <f t="shared" si="4"/>
        <v>3433760.05</v>
      </c>
      <c r="F30" s="44">
        <f t="shared" si="4"/>
        <v>4517186.2300000004</v>
      </c>
      <c r="G30" s="44">
        <f t="shared" si="4"/>
        <v>2644171.08</v>
      </c>
      <c r="H30" s="44">
        <f t="shared" si="4"/>
        <v>1964816.54</v>
      </c>
      <c r="I30" s="44">
        <f t="shared" si="4"/>
        <v>1845365.5899999999</v>
      </c>
      <c r="J30" s="44">
        <f t="shared" si="4"/>
        <v>1129266.24</v>
      </c>
      <c r="K30" s="44">
        <f t="shared" si="4"/>
        <v>413166.89</v>
      </c>
      <c r="L30" s="44">
        <f t="shared" si="4"/>
        <v>413166.89</v>
      </c>
      <c r="M30" s="44">
        <f t="shared" si="4"/>
        <v>128546.2</v>
      </c>
      <c r="N30" s="44">
        <f t="shared" si="1"/>
        <v>20749539.539999999</v>
      </c>
      <c r="O30" s="41">
        <f>INDEX(References!$C$2:$C$38,MATCH(C30,References!$A$2:$A$38,0))</f>
        <v>12127</v>
      </c>
      <c r="P30" s="42">
        <v>1</v>
      </c>
      <c r="Q30" s="43">
        <f t="shared" si="2"/>
        <v>12127</v>
      </c>
    </row>
    <row r="31" spans="2:17" x14ac:dyDescent="0.2">
      <c r="B31" s="237"/>
      <c r="C31" t="s">
        <v>28</v>
      </c>
      <c r="D31" s="44">
        <f t="shared" si="4"/>
        <v>492157.29000000004</v>
      </c>
      <c r="E31" s="44">
        <f t="shared" si="4"/>
        <v>396693.14999999997</v>
      </c>
      <c r="F31" s="44">
        <f t="shared" si="4"/>
        <v>521858.49</v>
      </c>
      <c r="G31" s="44">
        <f t="shared" si="4"/>
        <v>305474.03999999998</v>
      </c>
      <c r="H31" s="44">
        <f t="shared" si="4"/>
        <v>226990.02000000002</v>
      </c>
      <c r="I31" s="44">
        <f t="shared" si="4"/>
        <v>213190.16999999998</v>
      </c>
      <c r="J31" s="44">
        <f t="shared" si="4"/>
        <v>130461.12000000001</v>
      </c>
      <c r="K31" s="44">
        <f t="shared" si="4"/>
        <v>47732.07</v>
      </c>
      <c r="L31" s="44">
        <f t="shared" si="4"/>
        <v>47732.07</v>
      </c>
      <c r="M31" s="44">
        <f t="shared" si="4"/>
        <v>14850.6</v>
      </c>
      <c r="N31" s="44">
        <f t="shared" si="1"/>
        <v>2397139.02</v>
      </c>
      <c r="O31" s="41">
        <f>INDEX(References!$C$2:$C$38,MATCH(C31,References!$A$2:$A$38,0))</f>
        <v>1401</v>
      </c>
      <c r="P31" s="42">
        <v>1</v>
      </c>
      <c r="Q31" s="43">
        <f t="shared" si="2"/>
        <v>1401</v>
      </c>
    </row>
    <row r="32" spans="2:17" x14ac:dyDescent="0.2">
      <c r="B32" s="237"/>
      <c r="C32" t="s">
        <v>29</v>
      </c>
      <c r="D32" s="44">
        <f t="shared" si="4"/>
        <v>12528055.270000001</v>
      </c>
      <c r="E32" s="44">
        <f t="shared" si="4"/>
        <v>10097978.449999999</v>
      </c>
      <c r="F32" s="44">
        <f t="shared" si="4"/>
        <v>13284110.870000001</v>
      </c>
      <c r="G32" s="44">
        <f t="shared" si="4"/>
        <v>7775960.5199999996</v>
      </c>
      <c r="H32" s="44">
        <f t="shared" si="4"/>
        <v>5778119.2600000007</v>
      </c>
      <c r="I32" s="44">
        <f t="shared" si="4"/>
        <v>5426838.71</v>
      </c>
      <c r="J32" s="44">
        <f t="shared" si="4"/>
        <v>3320938.56</v>
      </c>
      <c r="K32" s="44">
        <f t="shared" si="4"/>
        <v>1215038.4099999999</v>
      </c>
      <c r="L32" s="44">
        <f t="shared" si="4"/>
        <v>1215038.4099999999</v>
      </c>
      <c r="M32" s="44">
        <f t="shared" si="4"/>
        <v>378027.8</v>
      </c>
      <c r="N32" s="44">
        <f t="shared" si="1"/>
        <v>61020106.25999999</v>
      </c>
      <c r="O32" s="41">
        <f>INDEX(References!$C$2:$C$38,MATCH(C32,References!$A$2:$A$38,0))</f>
        <v>35663</v>
      </c>
      <c r="P32" s="42">
        <v>1</v>
      </c>
      <c r="Q32" s="43">
        <f t="shared" si="2"/>
        <v>35663</v>
      </c>
    </row>
    <row r="33" spans="2:17" x14ac:dyDescent="0.2">
      <c r="B33" s="237"/>
      <c r="C33" t="s">
        <v>31</v>
      </c>
      <c r="D33" s="44">
        <f t="shared" si="4"/>
        <v>8694427.5</v>
      </c>
      <c r="E33" s="44">
        <f t="shared" si="4"/>
        <v>7007962.4999999991</v>
      </c>
      <c r="F33" s="44">
        <f t="shared" si="4"/>
        <v>9219127.5</v>
      </c>
      <c r="G33" s="44">
        <f t="shared" si="4"/>
        <v>5396490</v>
      </c>
      <c r="H33" s="44">
        <f t="shared" si="4"/>
        <v>4009995.0000000005</v>
      </c>
      <c r="I33" s="44">
        <f t="shared" si="4"/>
        <v>3766207.4999999995</v>
      </c>
      <c r="J33" s="44">
        <f t="shared" si="4"/>
        <v>2304720</v>
      </c>
      <c r="K33" s="44">
        <f t="shared" si="4"/>
        <v>843232.5</v>
      </c>
      <c r="L33" s="44">
        <f t="shared" si="4"/>
        <v>843232.5</v>
      </c>
      <c r="M33" s="44">
        <f t="shared" si="4"/>
        <v>262350</v>
      </c>
      <c r="N33" s="44">
        <f t="shared" si="1"/>
        <v>42347745</v>
      </c>
      <c r="O33" s="41">
        <f>INDEX(References!$C$2:$C$38,MATCH(C33,References!$A$2:$A$38,0))</f>
        <v>24750</v>
      </c>
      <c r="P33" s="42">
        <v>1</v>
      </c>
      <c r="Q33" s="43">
        <f t="shared" si="2"/>
        <v>24750</v>
      </c>
    </row>
    <row r="34" spans="2:17" x14ac:dyDescent="0.2">
      <c r="B34" s="237"/>
      <c r="C34" t="s">
        <v>32</v>
      </c>
      <c r="D34" s="44">
        <f t="shared" ref="D34:N45" si="5">$Q34*D$2</f>
        <v>2526828.9700000002</v>
      </c>
      <c r="E34" s="44">
        <f t="shared" si="5"/>
        <v>2036697.9499999997</v>
      </c>
      <c r="F34" s="44">
        <f t="shared" si="5"/>
        <v>2679320.5700000003</v>
      </c>
      <c r="G34" s="44">
        <f t="shared" si="5"/>
        <v>1568361.72</v>
      </c>
      <c r="H34" s="44">
        <f t="shared" si="5"/>
        <v>1165409.8600000001</v>
      </c>
      <c r="I34" s="44">
        <f t="shared" si="5"/>
        <v>1094558.8099999998</v>
      </c>
      <c r="J34" s="44">
        <f t="shared" si="5"/>
        <v>669812.16</v>
      </c>
      <c r="K34" s="44">
        <f t="shared" si="5"/>
        <v>245065.51</v>
      </c>
      <c r="L34" s="44">
        <f t="shared" si="5"/>
        <v>245065.51</v>
      </c>
      <c r="M34" s="44">
        <f t="shared" si="5"/>
        <v>76245.8</v>
      </c>
      <c r="N34" s="44">
        <f t="shared" si="1"/>
        <v>12307366.860000001</v>
      </c>
      <c r="O34" s="41">
        <f>INDEX(References!$C$2:$C$38,MATCH(C34,References!$A$2:$A$38,0))</f>
        <v>7193</v>
      </c>
      <c r="P34" s="42">
        <v>1</v>
      </c>
      <c r="Q34" s="43">
        <f t="shared" si="2"/>
        <v>7193</v>
      </c>
    </row>
    <row r="35" spans="2:17" x14ac:dyDescent="0.2">
      <c r="B35" s="237"/>
      <c r="C35" t="s">
        <v>33</v>
      </c>
      <c r="D35" s="44">
        <f t="shared" si="5"/>
        <v>635483.61</v>
      </c>
      <c r="E35" s="44">
        <f t="shared" si="5"/>
        <v>512218.35</v>
      </c>
      <c r="F35" s="44">
        <f t="shared" si="5"/>
        <v>673834.41</v>
      </c>
      <c r="G35" s="44">
        <f t="shared" si="5"/>
        <v>394434.36</v>
      </c>
      <c r="H35" s="44">
        <f t="shared" si="5"/>
        <v>293094.18</v>
      </c>
      <c r="I35" s="44">
        <f t="shared" si="5"/>
        <v>275275.52999999997</v>
      </c>
      <c r="J35" s="44">
        <f t="shared" si="5"/>
        <v>168454.08000000002</v>
      </c>
      <c r="K35" s="44">
        <f t="shared" si="5"/>
        <v>61632.63</v>
      </c>
      <c r="L35" s="44">
        <f t="shared" si="5"/>
        <v>61632.63</v>
      </c>
      <c r="M35" s="44">
        <f t="shared" si="5"/>
        <v>19175.399999999998</v>
      </c>
      <c r="N35" s="44">
        <f t="shared" si="1"/>
        <v>3095235.1799999997</v>
      </c>
      <c r="O35" s="41">
        <f>INDEX(References!$C$2:$C$38,MATCH(C35,References!$A$2:$A$38,0))</f>
        <v>1809</v>
      </c>
      <c r="P35" s="42">
        <v>1</v>
      </c>
      <c r="Q35" s="43">
        <f t="shared" si="2"/>
        <v>1809</v>
      </c>
    </row>
    <row r="36" spans="2:17" x14ac:dyDescent="0.2">
      <c r="B36" s="237"/>
      <c r="C36" t="s">
        <v>34</v>
      </c>
      <c r="D36" s="44">
        <f t="shared" si="5"/>
        <v>338994.85000000003</v>
      </c>
      <c r="E36" s="44">
        <f t="shared" si="5"/>
        <v>273239.75</v>
      </c>
      <c r="F36" s="44">
        <f t="shared" si="5"/>
        <v>359452.85000000003</v>
      </c>
      <c r="G36" s="44">
        <f t="shared" si="5"/>
        <v>210408.6</v>
      </c>
      <c r="H36" s="44">
        <f t="shared" si="5"/>
        <v>156349.30000000002</v>
      </c>
      <c r="I36" s="44">
        <f t="shared" si="5"/>
        <v>146844.04999999999</v>
      </c>
      <c r="J36" s="44">
        <f t="shared" si="5"/>
        <v>89860.800000000003</v>
      </c>
      <c r="K36" s="44">
        <f t="shared" si="5"/>
        <v>32877.550000000003</v>
      </c>
      <c r="L36" s="44">
        <f t="shared" si="5"/>
        <v>32877.550000000003</v>
      </c>
      <c r="M36" s="44">
        <f t="shared" si="5"/>
        <v>10229</v>
      </c>
      <c r="N36" s="44">
        <f t="shared" si="1"/>
        <v>1651134.3000000005</v>
      </c>
      <c r="O36" s="41">
        <f>INDEX(References!$C$2:$C$38,MATCH(C36,References!$A$2:$A$38,0))</f>
        <v>965</v>
      </c>
      <c r="P36" s="42">
        <v>1</v>
      </c>
      <c r="Q36" s="43">
        <f t="shared" si="2"/>
        <v>965</v>
      </c>
    </row>
    <row r="37" spans="2:17" x14ac:dyDescent="0.2">
      <c r="B37" s="237"/>
      <c r="C37" t="s">
        <v>35</v>
      </c>
      <c r="D37" s="44">
        <f t="shared" si="5"/>
        <v>837124.07000000007</v>
      </c>
      <c r="E37" s="44">
        <f t="shared" si="5"/>
        <v>674746.45</v>
      </c>
      <c r="F37" s="44">
        <f t="shared" si="5"/>
        <v>887643.67</v>
      </c>
      <c r="G37" s="44">
        <f t="shared" si="5"/>
        <v>519589.32</v>
      </c>
      <c r="H37" s="44">
        <f t="shared" si="5"/>
        <v>386093.66000000003</v>
      </c>
      <c r="I37" s="44">
        <f t="shared" si="5"/>
        <v>362621.11</v>
      </c>
      <c r="J37" s="44">
        <f t="shared" si="5"/>
        <v>221904.96000000002</v>
      </c>
      <c r="K37" s="44">
        <f t="shared" si="5"/>
        <v>81188.81</v>
      </c>
      <c r="L37" s="44">
        <f t="shared" si="5"/>
        <v>81188.81</v>
      </c>
      <c r="M37" s="44">
        <f t="shared" si="5"/>
        <v>25259.8</v>
      </c>
      <c r="N37" s="44">
        <f t="shared" si="1"/>
        <v>4077360.6599999997</v>
      </c>
      <c r="O37" s="41">
        <f>INDEX(References!$C$2:$C$38,MATCH(C37,References!$A$2:$A$38,0))</f>
        <v>2383</v>
      </c>
      <c r="P37" s="42">
        <v>1</v>
      </c>
      <c r="Q37" s="43">
        <f t="shared" si="2"/>
        <v>2383</v>
      </c>
    </row>
    <row r="38" spans="2:17" x14ac:dyDescent="0.2">
      <c r="B38" s="237"/>
      <c r="C38" t="s">
        <v>36</v>
      </c>
      <c r="D38" s="44">
        <f t="shared" si="5"/>
        <v>867686.3</v>
      </c>
      <c r="E38" s="44">
        <f t="shared" si="5"/>
        <v>699380.5</v>
      </c>
      <c r="F38" s="44">
        <f t="shared" si="5"/>
        <v>920050.3</v>
      </c>
      <c r="G38" s="44">
        <f t="shared" si="5"/>
        <v>538558.79999999993</v>
      </c>
      <c r="H38" s="44">
        <f t="shared" si="5"/>
        <v>400189.4</v>
      </c>
      <c r="I38" s="44">
        <f t="shared" si="5"/>
        <v>375859.89999999997</v>
      </c>
      <c r="J38" s="44">
        <f t="shared" si="5"/>
        <v>230006.40000000002</v>
      </c>
      <c r="K38" s="44">
        <f t="shared" si="5"/>
        <v>84152.9</v>
      </c>
      <c r="L38" s="44">
        <f t="shared" si="5"/>
        <v>84152.9</v>
      </c>
      <c r="M38" s="44">
        <f t="shared" si="5"/>
        <v>26182</v>
      </c>
      <c r="N38" s="44">
        <f t="shared" si="1"/>
        <v>4226219.3999999994</v>
      </c>
      <c r="O38" s="41">
        <f>INDEX(References!$C$2:$C$38,MATCH(C38,References!$A$2:$A$38,0))</f>
        <v>2470</v>
      </c>
      <c r="P38" s="42">
        <v>1</v>
      </c>
      <c r="Q38" s="43">
        <f t="shared" si="2"/>
        <v>2470</v>
      </c>
    </row>
    <row r="39" spans="2:17" x14ac:dyDescent="0.2">
      <c r="B39" s="237"/>
      <c r="C39" t="s">
        <v>37</v>
      </c>
      <c r="D39" s="44">
        <f t="shared" si="5"/>
        <v>1943687.57</v>
      </c>
      <c r="E39" s="44">
        <f t="shared" si="5"/>
        <v>1566668.95</v>
      </c>
      <c r="F39" s="44">
        <f t="shared" si="5"/>
        <v>2060987.1700000002</v>
      </c>
      <c r="G39" s="44">
        <f t="shared" si="5"/>
        <v>1206415.32</v>
      </c>
      <c r="H39" s="44">
        <f t="shared" si="5"/>
        <v>896456.66</v>
      </c>
      <c r="I39" s="44">
        <f t="shared" si="5"/>
        <v>841956.61</v>
      </c>
      <c r="J39" s="44">
        <f t="shared" si="5"/>
        <v>515232.96</v>
      </c>
      <c r="K39" s="44">
        <f t="shared" si="5"/>
        <v>188509.31</v>
      </c>
      <c r="L39" s="44">
        <f t="shared" si="5"/>
        <v>188509.31</v>
      </c>
      <c r="M39" s="44">
        <f t="shared" si="5"/>
        <v>58649.799999999996</v>
      </c>
      <c r="N39" s="44">
        <f t="shared" si="1"/>
        <v>9467073.6600000039</v>
      </c>
      <c r="O39" s="41">
        <f>INDEX(References!$C$2:$C$38,MATCH(C39,References!$A$2:$A$38,0))</f>
        <v>5533</v>
      </c>
      <c r="P39" s="42">
        <v>1</v>
      </c>
      <c r="Q39" s="43">
        <f t="shared" si="2"/>
        <v>5533</v>
      </c>
    </row>
    <row r="40" spans="2:17" x14ac:dyDescent="0.2">
      <c r="B40" s="237"/>
      <c r="C40" t="s">
        <v>38</v>
      </c>
      <c r="D40" s="44">
        <f t="shared" si="5"/>
        <v>1480336.06</v>
      </c>
      <c r="E40" s="44">
        <f t="shared" si="5"/>
        <v>1193194.0999999999</v>
      </c>
      <c r="F40" s="44">
        <f t="shared" si="5"/>
        <v>1569672.86</v>
      </c>
      <c r="G40" s="44">
        <f t="shared" si="5"/>
        <v>918820.55999999994</v>
      </c>
      <c r="H40" s="44">
        <f t="shared" si="5"/>
        <v>682752.28</v>
      </c>
      <c r="I40" s="44">
        <f t="shared" si="5"/>
        <v>641244.38</v>
      </c>
      <c r="J40" s="44">
        <f t="shared" si="5"/>
        <v>392407.68</v>
      </c>
      <c r="K40" s="44">
        <f t="shared" si="5"/>
        <v>143570.98000000001</v>
      </c>
      <c r="L40" s="44">
        <f t="shared" si="5"/>
        <v>143570.98000000001</v>
      </c>
      <c r="M40" s="44">
        <f t="shared" si="5"/>
        <v>44668.4</v>
      </c>
      <c r="N40" s="44">
        <f t="shared" si="1"/>
        <v>7210238.2800000012</v>
      </c>
      <c r="O40" s="41">
        <f>INDEX(References!$C$2:$C$38,MATCH(C40,References!$A$2:$A$38,0))</f>
        <v>4214</v>
      </c>
      <c r="P40" s="42">
        <v>1</v>
      </c>
      <c r="Q40" s="43">
        <f t="shared" si="2"/>
        <v>4214</v>
      </c>
    </row>
    <row r="41" spans="2:17" x14ac:dyDescent="0.2">
      <c r="B41" s="237"/>
      <c r="C41" t="s">
        <v>39</v>
      </c>
      <c r="D41" s="44">
        <f t="shared" si="5"/>
        <v>271898.46000000002</v>
      </c>
      <c r="E41" s="44">
        <f t="shared" si="5"/>
        <v>219158.09999999998</v>
      </c>
      <c r="F41" s="44">
        <f t="shared" si="5"/>
        <v>288307.26</v>
      </c>
      <c r="G41" s="44">
        <f t="shared" si="5"/>
        <v>168762.96</v>
      </c>
      <c r="H41" s="44">
        <f t="shared" si="5"/>
        <v>125403.48000000001</v>
      </c>
      <c r="I41" s="44">
        <f t="shared" si="5"/>
        <v>117779.57999999999</v>
      </c>
      <c r="J41" s="44">
        <f t="shared" si="5"/>
        <v>72074.880000000005</v>
      </c>
      <c r="K41" s="44">
        <f t="shared" si="5"/>
        <v>26370.18</v>
      </c>
      <c r="L41" s="44">
        <f t="shared" si="5"/>
        <v>26370.18</v>
      </c>
      <c r="M41" s="44">
        <f t="shared" si="5"/>
        <v>8204.4</v>
      </c>
      <c r="N41" s="44">
        <f t="shared" si="1"/>
        <v>1324329.48</v>
      </c>
      <c r="O41" s="41">
        <f>INDEX(References!$C$2:$C$38,MATCH(C41,References!$A$2:$A$38,0))</f>
        <v>774</v>
      </c>
      <c r="P41" s="42">
        <v>1</v>
      </c>
      <c r="Q41" s="43">
        <f t="shared" si="2"/>
        <v>774</v>
      </c>
    </row>
    <row r="42" spans="2:17" x14ac:dyDescent="0.2">
      <c r="B42" s="237"/>
      <c r="C42" t="s">
        <v>40</v>
      </c>
      <c r="D42" s="44">
        <f t="shared" si="5"/>
        <v>1832679.9300000002</v>
      </c>
      <c r="E42" s="44">
        <f t="shared" si="5"/>
        <v>1477193.5499999998</v>
      </c>
      <c r="F42" s="44">
        <f t="shared" si="5"/>
        <v>1943280.33</v>
      </c>
      <c r="G42" s="44">
        <f t="shared" si="5"/>
        <v>1137514.68</v>
      </c>
      <c r="H42" s="44">
        <f t="shared" si="5"/>
        <v>845258.34000000008</v>
      </c>
      <c r="I42" s="44">
        <f t="shared" si="5"/>
        <v>793870.8899999999</v>
      </c>
      <c r="J42" s="44">
        <f t="shared" si="5"/>
        <v>485807.04000000004</v>
      </c>
      <c r="K42" s="44">
        <f t="shared" si="5"/>
        <v>177743.19</v>
      </c>
      <c r="L42" s="44">
        <f t="shared" si="5"/>
        <v>177743.19</v>
      </c>
      <c r="M42" s="44">
        <f t="shared" si="5"/>
        <v>55300.2</v>
      </c>
      <c r="N42" s="44">
        <f t="shared" si="1"/>
        <v>8926391.339999998</v>
      </c>
      <c r="O42" s="41">
        <f>INDEX(References!$C$2:$C$38,MATCH(C42,References!$A$2:$A$38,0))</f>
        <v>5217</v>
      </c>
      <c r="P42" s="42">
        <v>1</v>
      </c>
      <c r="Q42" s="43">
        <f t="shared" si="2"/>
        <v>5217</v>
      </c>
    </row>
    <row r="43" spans="2:17" x14ac:dyDescent="0.2">
      <c r="B43" s="236" t="s">
        <v>109</v>
      </c>
      <c r="C43" s="19" t="s">
        <v>110</v>
      </c>
      <c r="D43" s="44">
        <f t="shared" si="5"/>
        <v>122105242.39</v>
      </c>
      <c r="E43" s="44">
        <f t="shared" si="5"/>
        <v>98420391.649999991</v>
      </c>
      <c r="F43" s="44">
        <f t="shared" si="5"/>
        <v>129474171.59</v>
      </c>
      <c r="G43" s="44">
        <f t="shared" si="5"/>
        <v>75788741.640000001</v>
      </c>
      <c r="H43" s="44">
        <f t="shared" si="5"/>
        <v>56316693.82</v>
      </c>
      <c r="I43" s="44">
        <f t="shared" si="5"/>
        <v>52892922.469999999</v>
      </c>
      <c r="J43" s="44">
        <f t="shared" si="5"/>
        <v>32367673.920000002</v>
      </c>
      <c r="K43" s="44">
        <f t="shared" si="5"/>
        <v>11842425.369999999</v>
      </c>
      <c r="L43" s="44">
        <f t="shared" si="5"/>
        <v>11842425.369999999</v>
      </c>
      <c r="M43" s="44">
        <f t="shared" si="5"/>
        <v>3684464.6</v>
      </c>
      <c r="N43" s="44">
        <f t="shared" si="5"/>
        <v>594735152.82000005</v>
      </c>
      <c r="O43" s="41">
        <v>347591</v>
      </c>
      <c r="P43" s="42" t="s">
        <v>127</v>
      </c>
      <c r="Q43" s="43">
        <v>347591</v>
      </c>
    </row>
    <row r="44" spans="2:17" x14ac:dyDescent="0.2">
      <c r="B44" s="236"/>
      <c r="C44" s="19" t="s">
        <v>111</v>
      </c>
      <c r="D44" s="44">
        <f t="shared" si="5"/>
        <v>106571549.88000001</v>
      </c>
      <c r="E44" s="44">
        <f t="shared" si="5"/>
        <v>85899781.799999997</v>
      </c>
      <c r="F44" s="44">
        <f t="shared" si="5"/>
        <v>113003036.28</v>
      </c>
      <c r="G44" s="44">
        <f t="shared" si="5"/>
        <v>66147230.879999995</v>
      </c>
      <c r="H44" s="44">
        <f t="shared" si="5"/>
        <v>49152331.440000005</v>
      </c>
      <c r="I44" s="44">
        <f t="shared" si="5"/>
        <v>46164117.239999995</v>
      </c>
      <c r="J44" s="44">
        <f t="shared" si="5"/>
        <v>28250000.640000001</v>
      </c>
      <c r="K44" s="44">
        <f t="shared" si="5"/>
        <v>10335884.040000001</v>
      </c>
      <c r="L44" s="44">
        <f t="shared" si="5"/>
        <v>10335884.040000001</v>
      </c>
      <c r="M44" s="44">
        <f t="shared" si="5"/>
        <v>3215743.1999999997</v>
      </c>
      <c r="N44" s="44">
        <f t="shared" si="5"/>
        <v>519075559.44</v>
      </c>
      <c r="O44" s="41">
        <v>303372</v>
      </c>
      <c r="P44" s="42" t="s">
        <v>127</v>
      </c>
      <c r="Q44" s="43">
        <v>303372</v>
      </c>
    </row>
    <row r="45" spans="2:17" x14ac:dyDescent="0.2">
      <c r="B45" s="236"/>
      <c r="C45" s="19" t="s">
        <v>112</v>
      </c>
      <c r="D45" s="44">
        <f t="shared" si="5"/>
        <v>72718435.160000011</v>
      </c>
      <c r="E45" s="44">
        <f t="shared" si="5"/>
        <v>58613182.599999994</v>
      </c>
      <c r="F45" s="44">
        <f t="shared" si="5"/>
        <v>77106919.960000008</v>
      </c>
      <c r="G45" s="44">
        <f t="shared" si="5"/>
        <v>45135152.159999996</v>
      </c>
      <c r="H45" s="44">
        <f t="shared" si="5"/>
        <v>33538788.080000002</v>
      </c>
      <c r="I45" s="44">
        <f t="shared" si="5"/>
        <v>31499798.679999996</v>
      </c>
      <c r="J45" s="44">
        <f t="shared" si="5"/>
        <v>19276212.48</v>
      </c>
      <c r="K45" s="44">
        <f t="shared" si="5"/>
        <v>7052626.2800000003</v>
      </c>
      <c r="L45" s="44">
        <f t="shared" si="5"/>
        <v>7052626.2800000003</v>
      </c>
      <c r="M45" s="44">
        <f t="shared" si="5"/>
        <v>2194242.4</v>
      </c>
      <c r="N45" s="44">
        <f t="shared" si="5"/>
        <v>354187984.07999998</v>
      </c>
      <c r="O45" s="41">
        <v>207004</v>
      </c>
      <c r="P45" s="42" t="s">
        <v>127</v>
      </c>
      <c r="Q45" s="43">
        <v>207004</v>
      </c>
    </row>
    <row r="46" spans="2:17" x14ac:dyDescent="0.2">
      <c r="C46" s="16" t="s">
        <v>125</v>
      </c>
      <c r="D46" s="15">
        <f>SUM(D4:D45)</f>
        <v>404010237.39965355</v>
      </c>
      <c r="E46" s="15">
        <f t="shared" ref="E46:N46" si="6">SUM(E4:E45)</f>
        <v>325644051.12503028</v>
      </c>
      <c r="F46" s="15">
        <f t="shared" si="6"/>
        <v>428391850.97496927</v>
      </c>
      <c r="G46" s="15">
        <f t="shared" si="6"/>
        <v>250762595.46989799</v>
      </c>
      <c r="H46" s="15">
        <f t="shared" si="6"/>
        <v>186335331.67323828</v>
      </c>
      <c r="I46" s="15">
        <f t="shared" si="6"/>
        <v>175007081.96961281</v>
      </c>
      <c r="J46" s="15">
        <f t="shared" si="6"/>
        <v>107095087.55346222</v>
      </c>
      <c r="K46" s="15">
        <f t="shared" si="6"/>
        <v>39183093.137311615</v>
      </c>
      <c r="L46" s="15">
        <f t="shared" si="6"/>
        <v>39183093.137311615</v>
      </c>
      <c r="M46" s="15">
        <f t="shared" si="6"/>
        <v>12190806.787657855</v>
      </c>
      <c r="N46" s="15">
        <f t="shared" si="6"/>
        <v>1967803229.2281456</v>
      </c>
      <c r="O46" s="46">
        <f>SUM(O4:O45)</f>
        <v>1150076.1120431938</v>
      </c>
      <c r="P46" s="47"/>
      <c r="Q46" s="46">
        <f>SUM(Q4:Q45)</f>
        <v>1150076.1120431938</v>
      </c>
    </row>
    <row r="47" spans="2:17" x14ac:dyDescent="0.2">
      <c r="C47" s="16" t="s">
        <v>122</v>
      </c>
      <c r="D47" s="15">
        <f>D4+D10</f>
        <v>15208788.619653562</v>
      </c>
      <c r="E47" s="15">
        <f t="shared" ref="E47:N47" si="7">E4+E10</f>
        <v>12258727.825030332</v>
      </c>
      <c r="F47" s="15">
        <f t="shared" si="7"/>
        <v>16126623.79496927</v>
      </c>
      <c r="G47" s="15">
        <f t="shared" si="7"/>
        <v>9439848.1898979824</v>
      </c>
      <c r="H47" s="15">
        <f t="shared" si="7"/>
        <v>7014512.0332382647</v>
      </c>
      <c r="I47" s="15">
        <f t="shared" si="7"/>
        <v>6588065.0296128048</v>
      </c>
      <c r="J47" s="15">
        <f t="shared" si="7"/>
        <v>4031547.7134622098</v>
      </c>
      <c r="K47" s="15">
        <f t="shared" si="7"/>
        <v>1475030.3973116139</v>
      </c>
      <c r="L47" s="15">
        <f t="shared" si="7"/>
        <v>1475030.3973116139</v>
      </c>
      <c r="M47" s="15">
        <f t="shared" si="7"/>
        <v>458917.5876578546</v>
      </c>
      <c r="N47" s="15">
        <f t="shared" si="7"/>
        <v>74077091.588145509</v>
      </c>
      <c r="O47" s="52">
        <f>SUM(O4+O10)</f>
        <v>43294.112043193833</v>
      </c>
      <c r="P47" s="15"/>
      <c r="Q47" s="52">
        <v>43294</v>
      </c>
    </row>
    <row r="48" spans="2:17" x14ac:dyDescent="0.2">
      <c r="C48" s="16" t="s">
        <v>126</v>
      </c>
      <c r="D48" s="15">
        <f>SUM(D4:D42)</f>
        <v>102615009.96965355</v>
      </c>
      <c r="E48" s="15">
        <f t="shared" ref="E48:N48" si="8">SUM(E4:E42)</f>
        <v>82710695.075030312</v>
      </c>
      <c r="F48" s="15">
        <f t="shared" si="8"/>
        <v>108807723.14496928</v>
      </c>
      <c r="G48" s="15">
        <f t="shared" si="8"/>
        <v>63691470.789897986</v>
      </c>
      <c r="H48" s="15">
        <f t="shared" si="8"/>
        <v>47327518.333238252</v>
      </c>
      <c r="I48" s="15">
        <f t="shared" si="8"/>
        <v>44450243.579612806</v>
      </c>
      <c r="J48" s="15">
        <f t="shared" si="8"/>
        <v>27201200.513462208</v>
      </c>
      <c r="K48" s="15">
        <f t="shared" si="8"/>
        <v>9952157.4473116137</v>
      </c>
      <c r="L48" s="15">
        <f t="shared" si="8"/>
        <v>9952157.4473116137</v>
      </c>
      <c r="M48" s="15">
        <f t="shared" si="8"/>
        <v>3096356.5876578544</v>
      </c>
      <c r="N48" s="15">
        <f t="shared" si="8"/>
        <v>499804532.88814563</v>
      </c>
      <c r="O48" s="52">
        <f>SUM(O4:O44)</f>
        <v>943072.11204319377</v>
      </c>
      <c r="P48" s="15"/>
      <c r="Q48" s="52">
        <f>SUM(Q4:Q42)</f>
        <v>292109.11204319383</v>
      </c>
    </row>
    <row r="50" spans="1:17" ht="15" x14ac:dyDescent="0.25">
      <c r="A50" s="53" t="s">
        <v>120</v>
      </c>
      <c r="B50" s="16" t="s">
        <v>86</v>
      </c>
      <c r="C50" s="16" t="s">
        <v>0</v>
      </c>
      <c r="D50" s="16" t="s">
        <v>72</v>
      </c>
      <c r="E50" s="16" t="s">
        <v>73</v>
      </c>
      <c r="F50" s="16" t="s">
        <v>74</v>
      </c>
      <c r="G50" s="16" t="s">
        <v>75</v>
      </c>
      <c r="H50" s="16" t="s">
        <v>76</v>
      </c>
      <c r="I50" s="16" t="s">
        <v>77</v>
      </c>
      <c r="J50" s="16" t="s">
        <v>78</v>
      </c>
      <c r="K50" s="16" t="s">
        <v>79</v>
      </c>
      <c r="L50" s="16" t="s">
        <v>80</v>
      </c>
      <c r="M50" s="16" t="s">
        <v>81</v>
      </c>
      <c r="N50" s="16" t="s">
        <v>82</v>
      </c>
      <c r="O50" s="16" t="s">
        <v>116</v>
      </c>
      <c r="P50" s="16" t="s">
        <v>117</v>
      </c>
      <c r="Q50" s="16" t="s">
        <v>118</v>
      </c>
    </row>
    <row r="51" spans="1:17" ht="28.5" x14ac:dyDescent="0.2">
      <c r="A51" s="56" t="s">
        <v>123</v>
      </c>
      <c r="B51" s="16" t="s">
        <v>94</v>
      </c>
      <c r="C51" s="16" t="s">
        <v>95</v>
      </c>
      <c r="D51" s="20">
        <f t="shared" ref="D51:M60" si="9">$Q51*D$2</f>
        <v>14724008.419653563</v>
      </c>
      <c r="E51" s="20">
        <f t="shared" si="9"/>
        <v>11867980.825030332</v>
      </c>
      <c r="F51" s="20">
        <f t="shared" si="9"/>
        <v>15612587.594969271</v>
      </c>
      <c r="G51" s="20">
        <f t="shared" si="9"/>
        <v>9138952.9898979831</v>
      </c>
      <c r="H51" s="20">
        <f t="shared" si="9"/>
        <v>6790924.4332382651</v>
      </c>
      <c r="I51" s="20">
        <f t="shared" si="9"/>
        <v>6378070.4296128051</v>
      </c>
      <c r="J51" s="20">
        <f t="shared" si="9"/>
        <v>3903042.1134622097</v>
      </c>
      <c r="K51" s="20">
        <f t="shared" si="9"/>
        <v>1428013.7973116138</v>
      </c>
      <c r="L51" s="20">
        <f t="shared" si="9"/>
        <v>1428013.7973116138</v>
      </c>
      <c r="M51" s="20">
        <f t="shared" si="9"/>
        <v>444289.5876578546</v>
      </c>
      <c r="N51" s="20">
        <f t="shared" ref="N51:N89" si="10">SUM(D51:M51)</f>
        <v>71715883.988145515</v>
      </c>
      <c r="O51" s="41">
        <f>'Overall Restoration (Acres)'!$D$9</f>
        <v>41914.112043193833</v>
      </c>
      <c r="P51" s="42">
        <v>1</v>
      </c>
      <c r="Q51" s="43">
        <f t="shared" ref="Q51:Q89" si="11">O51*P51</f>
        <v>41914.112043193833</v>
      </c>
    </row>
    <row r="52" spans="1:17" x14ac:dyDescent="0.2">
      <c r="B52" s="237" t="s">
        <v>91</v>
      </c>
      <c r="C52" t="s">
        <v>41</v>
      </c>
      <c r="D52" s="44">
        <f t="shared" si="9"/>
        <v>1131153.8</v>
      </c>
      <c r="E52" s="44">
        <f t="shared" si="9"/>
        <v>911742.99999999988</v>
      </c>
      <c r="F52" s="44">
        <f t="shared" si="9"/>
        <v>1199417.8</v>
      </c>
      <c r="G52" s="44">
        <f t="shared" si="9"/>
        <v>702088.79999999993</v>
      </c>
      <c r="H52" s="44">
        <f t="shared" si="9"/>
        <v>521704.4</v>
      </c>
      <c r="I52" s="44">
        <f t="shared" si="9"/>
        <v>489987.39999999997</v>
      </c>
      <c r="J52" s="44">
        <f t="shared" si="9"/>
        <v>299846.40000000002</v>
      </c>
      <c r="K52" s="44">
        <f t="shared" si="9"/>
        <v>109705.4</v>
      </c>
      <c r="L52" s="44">
        <f t="shared" si="9"/>
        <v>109705.4</v>
      </c>
      <c r="M52" s="44">
        <f t="shared" si="9"/>
        <v>34132</v>
      </c>
      <c r="N52" s="44">
        <f t="shared" si="10"/>
        <v>5509484.4000000013</v>
      </c>
      <c r="O52" s="41">
        <f>INDEX(References!$C$2:$C$38,MATCH(C52,References!$A$2:$A$38,0))</f>
        <v>3220</v>
      </c>
      <c r="P52" s="42">
        <v>1</v>
      </c>
      <c r="Q52" s="43">
        <f t="shared" si="11"/>
        <v>3220</v>
      </c>
    </row>
    <row r="53" spans="1:17" x14ac:dyDescent="0.2">
      <c r="B53" s="237"/>
      <c r="C53" t="s">
        <v>42</v>
      </c>
      <c r="D53" s="44">
        <f t="shared" si="9"/>
        <v>1215112.1100000001</v>
      </c>
      <c r="E53" s="44">
        <f t="shared" si="9"/>
        <v>979415.85</v>
      </c>
      <c r="F53" s="44">
        <f t="shared" si="9"/>
        <v>1288442.9099999999</v>
      </c>
      <c r="G53" s="44">
        <f t="shared" si="9"/>
        <v>754200.36</v>
      </c>
      <c r="H53" s="44">
        <f t="shared" si="9"/>
        <v>560427.18000000005</v>
      </c>
      <c r="I53" s="44">
        <f t="shared" si="9"/>
        <v>526356.02999999991</v>
      </c>
      <c r="J53" s="44">
        <f t="shared" si="9"/>
        <v>322102.08</v>
      </c>
      <c r="K53" s="44">
        <f t="shared" si="9"/>
        <v>117848.13</v>
      </c>
      <c r="L53" s="44">
        <f t="shared" si="9"/>
        <v>117848.13</v>
      </c>
      <c r="M53" s="44">
        <f t="shared" si="9"/>
        <v>36665.4</v>
      </c>
      <c r="N53" s="44">
        <f t="shared" si="10"/>
        <v>5918418.1800000006</v>
      </c>
      <c r="O53" s="41">
        <f>INDEX(References!$C$2:$C$38,MATCH(C53,References!$A$2:$A$38,0))</f>
        <v>3459</v>
      </c>
      <c r="P53" s="42">
        <v>1</v>
      </c>
      <c r="Q53" s="43">
        <f t="shared" si="11"/>
        <v>3459</v>
      </c>
    </row>
    <row r="54" spans="1:17" x14ac:dyDescent="0.2">
      <c r="B54" s="237"/>
      <c r="C54" t="s">
        <v>43</v>
      </c>
      <c r="D54" s="44">
        <f t="shared" si="9"/>
        <v>1909612.4400000002</v>
      </c>
      <c r="E54" s="44">
        <f t="shared" si="9"/>
        <v>1539203.4</v>
      </c>
      <c r="F54" s="44">
        <f t="shared" si="9"/>
        <v>2024855.6400000001</v>
      </c>
      <c r="G54" s="44">
        <f t="shared" si="9"/>
        <v>1185265.44</v>
      </c>
      <c r="H54" s="44">
        <f t="shared" si="9"/>
        <v>880740.72000000009</v>
      </c>
      <c r="I54" s="44">
        <f t="shared" si="9"/>
        <v>827196.11999999988</v>
      </c>
      <c r="J54" s="44">
        <f t="shared" si="9"/>
        <v>506200.32000000001</v>
      </c>
      <c r="K54" s="44">
        <f t="shared" si="9"/>
        <v>185204.52</v>
      </c>
      <c r="L54" s="44">
        <f t="shared" si="9"/>
        <v>185204.52</v>
      </c>
      <c r="M54" s="44">
        <f t="shared" si="9"/>
        <v>57621.599999999999</v>
      </c>
      <c r="N54" s="44">
        <f t="shared" si="10"/>
        <v>9301104.7199999988</v>
      </c>
      <c r="O54" s="41">
        <f>INDEX(References!$C$2:$C$38,MATCH(C54,References!$A$2:$A$38,0))</f>
        <v>5436</v>
      </c>
      <c r="P54" s="42">
        <v>1</v>
      </c>
      <c r="Q54" s="43">
        <f t="shared" si="11"/>
        <v>5436</v>
      </c>
    </row>
    <row r="55" spans="1:17" x14ac:dyDescent="0.2">
      <c r="B55" s="237"/>
      <c r="C55" t="s">
        <v>44</v>
      </c>
      <c r="D55" s="44">
        <f t="shared" si="9"/>
        <v>750004.15</v>
      </c>
      <c r="E55" s="44">
        <f t="shared" si="9"/>
        <v>604525.25</v>
      </c>
      <c r="F55" s="44">
        <f t="shared" si="9"/>
        <v>795266.15</v>
      </c>
      <c r="G55" s="44">
        <f t="shared" si="9"/>
        <v>465515.39999999997</v>
      </c>
      <c r="H55" s="44">
        <f t="shared" si="9"/>
        <v>345912.7</v>
      </c>
      <c r="I55" s="44">
        <f t="shared" si="9"/>
        <v>324882.94999999995</v>
      </c>
      <c r="J55" s="44">
        <f t="shared" si="9"/>
        <v>198811.2</v>
      </c>
      <c r="K55" s="44">
        <f t="shared" si="9"/>
        <v>72739.45</v>
      </c>
      <c r="L55" s="44">
        <f t="shared" si="9"/>
        <v>72739.45</v>
      </c>
      <c r="M55" s="44">
        <f t="shared" si="9"/>
        <v>22631</v>
      </c>
      <c r="N55" s="44">
        <f t="shared" si="10"/>
        <v>3653027.7</v>
      </c>
      <c r="O55" s="41">
        <f>INDEX(References!$C$2:$C$38,MATCH(C55,References!$A$2:$A$38,0))</f>
        <v>2135</v>
      </c>
      <c r="P55" s="42">
        <v>1</v>
      </c>
      <c r="Q55" s="43">
        <f t="shared" si="11"/>
        <v>2135</v>
      </c>
    </row>
    <row r="56" spans="1:17" x14ac:dyDescent="0.2">
      <c r="B56" s="237"/>
      <c r="C56" t="s">
        <v>45</v>
      </c>
      <c r="D56" s="44">
        <f t="shared" si="9"/>
        <v>3575429.62</v>
      </c>
      <c r="E56" s="44">
        <f t="shared" si="9"/>
        <v>2881900.6999999997</v>
      </c>
      <c r="F56" s="44">
        <f t="shared" si="9"/>
        <v>3791203.22</v>
      </c>
      <c r="G56" s="44">
        <f t="shared" si="9"/>
        <v>2219211.12</v>
      </c>
      <c r="H56" s="44">
        <f t="shared" si="9"/>
        <v>1649039.56</v>
      </c>
      <c r="I56" s="44">
        <f t="shared" si="9"/>
        <v>1548786.2599999998</v>
      </c>
      <c r="J56" s="44">
        <f t="shared" si="9"/>
        <v>947775.3600000001</v>
      </c>
      <c r="K56" s="44">
        <f t="shared" si="9"/>
        <v>346764.46</v>
      </c>
      <c r="L56" s="44">
        <f t="shared" si="9"/>
        <v>346764.46</v>
      </c>
      <c r="M56" s="44">
        <f t="shared" si="9"/>
        <v>107886.8</v>
      </c>
      <c r="N56" s="44">
        <f t="shared" si="10"/>
        <v>17414761.560000002</v>
      </c>
      <c r="O56" s="41">
        <f>INDEX(References!$C$2:$C$38,MATCH(C56,References!$A$2:$A$38,0))</f>
        <v>10178</v>
      </c>
      <c r="P56" s="42">
        <v>1</v>
      </c>
      <c r="Q56" s="43">
        <f t="shared" si="11"/>
        <v>10178</v>
      </c>
    </row>
    <row r="57" spans="1:17" x14ac:dyDescent="0.2">
      <c r="B57" s="237"/>
      <c r="C57" t="s">
        <v>97</v>
      </c>
      <c r="D57" s="44">
        <f t="shared" si="9"/>
        <v>484780.2</v>
      </c>
      <c r="E57" s="44">
        <f t="shared" si="9"/>
        <v>390746.99999999994</v>
      </c>
      <c r="F57" s="44">
        <f t="shared" si="9"/>
        <v>514036.2</v>
      </c>
      <c r="G57" s="44">
        <f t="shared" si="9"/>
        <v>300895.2</v>
      </c>
      <c r="H57" s="44">
        <f t="shared" si="9"/>
        <v>223587.6</v>
      </c>
      <c r="I57" s="44">
        <f t="shared" si="9"/>
        <v>209994.59999999998</v>
      </c>
      <c r="J57" s="44">
        <f t="shared" si="9"/>
        <v>128505.60000000001</v>
      </c>
      <c r="K57" s="44">
        <f t="shared" si="9"/>
        <v>47016.6</v>
      </c>
      <c r="L57" s="44">
        <f t="shared" si="9"/>
        <v>47016.6</v>
      </c>
      <c r="M57" s="44">
        <f t="shared" si="9"/>
        <v>14628</v>
      </c>
      <c r="N57" s="44">
        <f t="shared" si="10"/>
        <v>2361207.6</v>
      </c>
      <c r="O57" s="45">
        <v>1380</v>
      </c>
      <c r="P57" s="42">
        <v>1</v>
      </c>
      <c r="Q57" s="43">
        <f t="shared" si="11"/>
        <v>1380</v>
      </c>
    </row>
    <row r="58" spans="1:17" x14ac:dyDescent="0.2">
      <c r="B58" s="237"/>
      <c r="C58" t="s">
        <v>46</v>
      </c>
      <c r="D58" s="44">
        <f t="shared" si="9"/>
        <v>1250241.1100000001</v>
      </c>
      <c r="E58" s="44">
        <f t="shared" si="9"/>
        <v>1007730.85</v>
      </c>
      <c r="F58" s="44">
        <f t="shared" si="9"/>
        <v>1325691.9099999999</v>
      </c>
      <c r="G58" s="44">
        <f t="shared" si="9"/>
        <v>776004.36</v>
      </c>
      <c r="H58" s="44">
        <f t="shared" si="9"/>
        <v>576629.18000000005</v>
      </c>
      <c r="I58" s="44">
        <f t="shared" si="9"/>
        <v>541573.02999999991</v>
      </c>
      <c r="J58" s="44">
        <f t="shared" si="9"/>
        <v>331414.08</v>
      </c>
      <c r="K58" s="44">
        <f t="shared" si="9"/>
        <v>121255.13</v>
      </c>
      <c r="L58" s="44">
        <f t="shared" si="9"/>
        <v>121255.13</v>
      </c>
      <c r="M58" s="44">
        <f t="shared" si="9"/>
        <v>37725.4</v>
      </c>
      <c r="N58" s="44">
        <f t="shared" si="10"/>
        <v>6089520.1800000006</v>
      </c>
      <c r="O58" s="41">
        <f>INDEX(References!$C$2:$C$38,MATCH(C58,References!$A$2:$A$38,0))</f>
        <v>3559</v>
      </c>
      <c r="P58" s="42">
        <v>1</v>
      </c>
      <c r="Q58" s="43">
        <f t="shared" si="11"/>
        <v>3559</v>
      </c>
    </row>
    <row r="59" spans="1:17" x14ac:dyDescent="0.2">
      <c r="B59" s="237" t="s">
        <v>87</v>
      </c>
      <c r="C59" t="s">
        <v>5</v>
      </c>
      <c r="D59" s="44">
        <f t="shared" si="9"/>
        <v>0</v>
      </c>
      <c r="E59" s="44">
        <f t="shared" si="9"/>
        <v>0</v>
      </c>
      <c r="F59" s="44">
        <f t="shared" si="9"/>
        <v>0</v>
      </c>
      <c r="G59" s="44">
        <f t="shared" si="9"/>
        <v>0</v>
      </c>
      <c r="H59" s="44">
        <f t="shared" si="9"/>
        <v>0</v>
      </c>
      <c r="I59" s="44">
        <f t="shared" si="9"/>
        <v>0</v>
      </c>
      <c r="J59" s="44">
        <f t="shared" si="9"/>
        <v>0</v>
      </c>
      <c r="K59" s="44">
        <f t="shared" si="9"/>
        <v>0</v>
      </c>
      <c r="L59" s="44">
        <f t="shared" si="9"/>
        <v>0</v>
      </c>
      <c r="M59" s="44">
        <f t="shared" si="9"/>
        <v>0</v>
      </c>
      <c r="N59" s="44">
        <f t="shared" si="10"/>
        <v>0</v>
      </c>
      <c r="O59" s="41">
        <f>INDEX(References!$C$2:$C$38,MATCH(C59,References!$A$2:$A$38,0))</f>
        <v>16543</v>
      </c>
      <c r="P59" s="42">
        <v>0</v>
      </c>
      <c r="Q59" s="43">
        <f t="shared" si="11"/>
        <v>0</v>
      </c>
    </row>
    <row r="60" spans="1:17" x14ac:dyDescent="0.2">
      <c r="B60" s="237"/>
      <c r="C60" t="s">
        <v>8</v>
      </c>
      <c r="D60" s="44">
        <f t="shared" si="9"/>
        <v>0</v>
      </c>
      <c r="E60" s="44">
        <f t="shared" si="9"/>
        <v>0</v>
      </c>
      <c r="F60" s="44">
        <f t="shared" si="9"/>
        <v>0</v>
      </c>
      <c r="G60" s="44">
        <f t="shared" si="9"/>
        <v>0</v>
      </c>
      <c r="H60" s="44">
        <f t="shared" si="9"/>
        <v>0</v>
      </c>
      <c r="I60" s="44">
        <f t="shared" si="9"/>
        <v>0</v>
      </c>
      <c r="J60" s="44">
        <f t="shared" si="9"/>
        <v>0</v>
      </c>
      <c r="K60" s="44">
        <f t="shared" si="9"/>
        <v>0</v>
      </c>
      <c r="L60" s="44">
        <f>$Q60*L$2</f>
        <v>0</v>
      </c>
      <c r="M60" s="44">
        <f t="shared" si="9"/>
        <v>0</v>
      </c>
      <c r="N60" s="44">
        <f t="shared" si="10"/>
        <v>0</v>
      </c>
      <c r="O60" s="41">
        <f>INDEX(References!$C$2:$C$38,MATCH(C60,References!$A$2:$A$38,0))</f>
        <v>11798</v>
      </c>
      <c r="P60" s="42">
        <v>0</v>
      </c>
      <c r="Q60" s="43">
        <f t="shared" si="11"/>
        <v>0</v>
      </c>
    </row>
    <row r="61" spans="1:17" x14ac:dyDescent="0.2">
      <c r="B61" s="237"/>
      <c r="C61" t="s">
        <v>10</v>
      </c>
      <c r="D61" s="44">
        <f t="shared" ref="D61:M70" si="12">$Q61*D$2</f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0"/>
        <v>0</v>
      </c>
      <c r="O61" s="41">
        <f>INDEX(References!$C$2:$C$38,MATCH(C61,References!$A$2:$A$38,0))</f>
        <v>8799</v>
      </c>
      <c r="P61" s="42">
        <v>0</v>
      </c>
      <c r="Q61" s="43">
        <f t="shared" si="11"/>
        <v>0</v>
      </c>
    </row>
    <row r="62" spans="1:17" x14ac:dyDescent="0.2">
      <c r="B62" s="237"/>
      <c r="C62" t="s">
        <v>12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0"/>
        <v>0</v>
      </c>
      <c r="O62" s="41">
        <f>INDEX(References!$C$2:$C$38,MATCH(C62,References!$A$2:$A$38,0))</f>
        <v>9111</v>
      </c>
      <c r="P62" s="42">
        <v>0</v>
      </c>
      <c r="Q62" s="43">
        <f t="shared" si="11"/>
        <v>0</v>
      </c>
    </row>
    <row r="63" spans="1:17" x14ac:dyDescent="0.2">
      <c r="B63" s="237"/>
      <c r="C63" t="s">
        <v>47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0"/>
        <v>0</v>
      </c>
      <c r="O63" s="41">
        <f>INDEX(References!$C$2:$C$38,MATCH(C63,References!$A$2:$A$38,0))</f>
        <v>208</v>
      </c>
      <c r="P63" s="42">
        <v>0</v>
      </c>
      <c r="Q63" s="43">
        <f t="shared" si="11"/>
        <v>0</v>
      </c>
    </row>
    <row r="64" spans="1:17" x14ac:dyDescent="0.2">
      <c r="B64" s="237"/>
      <c r="C64" t="s">
        <v>48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0</v>
      </c>
      <c r="H64" s="44">
        <f t="shared" si="12"/>
        <v>0</v>
      </c>
      <c r="I64" s="44">
        <f t="shared" si="12"/>
        <v>0</v>
      </c>
      <c r="J64" s="44">
        <f t="shared" si="12"/>
        <v>0</v>
      </c>
      <c r="K64" s="44">
        <f t="shared" si="12"/>
        <v>0</v>
      </c>
      <c r="L64" s="44">
        <f t="shared" si="12"/>
        <v>0</v>
      </c>
      <c r="M64" s="44">
        <f t="shared" si="12"/>
        <v>0</v>
      </c>
      <c r="N64" s="44">
        <f t="shared" si="10"/>
        <v>0</v>
      </c>
      <c r="O64" s="41">
        <f>INDEX(References!$C$2:$C$38,MATCH(C64,References!$A$2:$A$38,0))</f>
        <v>2514</v>
      </c>
      <c r="P64" s="42">
        <v>0</v>
      </c>
      <c r="Q64" s="43">
        <f t="shared" si="11"/>
        <v>0</v>
      </c>
    </row>
    <row r="65" spans="2:17" x14ac:dyDescent="0.2">
      <c r="B65" s="237"/>
      <c r="C65" t="s">
        <v>49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0"/>
        <v>0</v>
      </c>
      <c r="O65" s="41">
        <f>INDEX(References!$C$2:$C$38,MATCH(C65,References!$A$2:$A$38,0))</f>
        <v>9211</v>
      </c>
      <c r="P65" s="42">
        <v>0</v>
      </c>
      <c r="Q65" s="43">
        <f t="shared" si="11"/>
        <v>0</v>
      </c>
    </row>
    <row r="66" spans="2:17" x14ac:dyDescent="0.2">
      <c r="B66" s="237"/>
      <c r="C66" t="s">
        <v>50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0"/>
        <v>0</v>
      </c>
      <c r="O66" s="41">
        <f>INDEX(References!$C$2:$C$38,MATCH(C66,References!$A$2:$A$38,0))</f>
        <v>2936</v>
      </c>
      <c r="P66" s="42">
        <v>0</v>
      </c>
      <c r="Q66" s="43">
        <f t="shared" si="11"/>
        <v>0</v>
      </c>
    </row>
    <row r="67" spans="2:17" x14ac:dyDescent="0.2">
      <c r="B67" t="s">
        <v>88</v>
      </c>
      <c r="C67" t="s">
        <v>15</v>
      </c>
      <c r="D67" s="44">
        <f t="shared" si="12"/>
        <v>4534100.03</v>
      </c>
      <c r="E67" s="44">
        <f t="shared" si="12"/>
        <v>3654617.05</v>
      </c>
      <c r="F67" s="44">
        <f t="shared" si="12"/>
        <v>4807728.43</v>
      </c>
      <c r="G67" s="44">
        <f t="shared" si="12"/>
        <v>2814242.28</v>
      </c>
      <c r="H67" s="44">
        <f t="shared" si="12"/>
        <v>2091192.1400000001</v>
      </c>
      <c r="I67" s="44">
        <f t="shared" si="12"/>
        <v>1964058.19</v>
      </c>
      <c r="J67" s="44">
        <f t="shared" si="12"/>
        <v>1201899.8400000001</v>
      </c>
      <c r="K67" s="44">
        <f t="shared" si="12"/>
        <v>439741.49</v>
      </c>
      <c r="L67" s="44">
        <f t="shared" si="12"/>
        <v>439741.49</v>
      </c>
      <c r="M67" s="44">
        <f t="shared" si="12"/>
        <v>136814.19999999998</v>
      </c>
      <c r="N67" s="44">
        <f t="shared" si="10"/>
        <v>22084135.139999997</v>
      </c>
      <c r="O67" s="41">
        <f>INDEX(References!$C$2:$C$38,MATCH(C67,References!$A$2:$A$38,0))</f>
        <v>12907</v>
      </c>
      <c r="P67" s="42">
        <v>1</v>
      </c>
      <c r="Q67" s="43">
        <f t="shared" si="11"/>
        <v>12907</v>
      </c>
    </row>
    <row r="68" spans="2:17" x14ac:dyDescent="0.2">
      <c r="B68" t="s">
        <v>90</v>
      </c>
      <c r="C68" t="s">
        <v>23</v>
      </c>
      <c r="D68" s="44">
        <f t="shared" si="12"/>
        <v>0</v>
      </c>
      <c r="E68" s="44">
        <f t="shared" si="12"/>
        <v>0</v>
      </c>
      <c r="F68" s="44">
        <f t="shared" si="12"/>
        <v>0</v>
      </c>
      <c r="G68" s="44">
        <f t="shared" si="12"/>
        <v>0</v>
      </c>
      <c r="H68" s="44">
        <f t="shared" si="12"/>
        <v>0</v>
      </c>
      <c r="I68" s="44">
        <f t="shared" si="12"/>
        <v>0</v>
      </c>
      <c r="J68" s="44">
        <f t="shared" si="12"/>
        <v>0</v>
      </c>
      <c r="K68" s="44">
        <f t="shared" si="12"/>
        <v>0</v>
      </c>
      <c r="L68" s="44">
        <f t="shared" si="12"/>
        <v>0</v>
      </c>
      <c r="M68" s="44">
        <f t="shared" si="12"/>
        <v>0</v>
      </c>
      <c r="N68" s="44">
        <f t="shared" si="10"/>
        <v>0</v>
      </c>
      <c r="O68" s="41">
        <f>INDEX(References!$C$2:$C$38,MATCH(C68,References!$A$2:$A$38,0))</f>
        <v>10358</v>
      </c>
      <c r="P68" s="42">
        <v>0</v>
      </c>
      <c r="Q68" s="43">
        <f t="shared" si="11"/>
        <v>0</v>
      </c>
    </row>
    <row r="69" spans="2:17" x14ac:dyDescent="0.2">
      <c r="B69" s="237" t="s">
        <v>89</v>
      </c>
      <c r="C69" t="s">
        <v>18</v>
      </c>
      <c r="D69" s="44">
        <f t="shared" si="12"/>
        <v>0</v>
      </c>
      <c r="E69" s="44">
        <f t="shared" si="12"/>
        <v>0</v>
      </c>
      <c r="F69" s="44">
        <f t="shared" si="12"/>
        <v>0</v>
      </c>
      <c r="G69" s="44">
        <f t="shared" si="12"/>
        <v>0</v>
      </c>
      <c r="H69" s="44">
        <f t="shared" si="12"/>
        <v>0</v>
      </c>
      <c r="I69" s="44">
        <f t="shared" si="12"/>
        <v>0</v>
      </c>
      <c r="J69" s="44">
        <f t="shared" si="12"/>
        <v>0</v>
      </c>
      <c r="K69" s="44">
        <f t="shared" si="12"/>
        <v>0</v>
      </c>
      <c r="L69" s="44">
        <f t="shared" si="12"/>
        <v>0</v>
      </c>
      <c r="M69" s="44">
        <f t="shared" si="12"/>
        <v>0</v>
      </c>
      <c r="N69" s="44">
        <f t="shared" si="10"/>
        <v>0</v>
      </c>
      <c r="O69" s="41">
        <f>INDEX(References!$C$2:$C$38,MATCH(C69,References!$A$2:$A$38,0))</f>
        <v>5936</v>
      </c>
      <c r="P69" s="42">
        <v>0</v>
      </c>
      <c r="Q69" s="43">
        <f t="shared" si="11"/>
        <v>0</v>
      </c>
    </row>
    <row r="70" spans="2:17" x14ac:dyDescent="0.2">
      <c r="B70" s="237"/>
      <c r="C70" t="s">
        <v>19</v>
      </c>
      <c r="D70" s="44">
        <f t="shared" si="12"/>
        <v>1086891.26</v>
      </c>
      <c r="E70" s="44">
        <f t="shared" si="12"/>
        <v>876066.1</v>
      </c>
      <c r="F70" s="44">
        <f t="shared" si="12"/>
        <v>1152484.06</v>
      </c>
      <c r="G70" s="44">
        <f t="shared" si="12"/>
        <v>674615.76</v>
      </c>
      <c r="H70" s="44">
        <f t="shared" si="12"/>
        <v>501289.88</v>
      </c>
      <c r="I70" s="44">
        <f t="shared" si="12"/>
        <v>470813.98</v>
      </c>
      <c r="J70" s="44">
        <f t="shared" si="12"/>
        <v>288113.28000000003</v>
      </c>
      <c r="K70" s="44">
        <f t="shared" si="12"/>
        <v>105412.58</v>
      </c>
      <c r="L70" s="44">
        <f t="shared" si="12"/>
        <v>105412.58</v>
      </c>
      <c r="M70" s="44">
        <f t="shared" si="12"/>
        <v>32796.400000000001</v>
      </c>
      <c r="N70" s="44">
        <f t="shared" si="10"/>
        <v>5293895.88</v>
      </c>
      <c r="O70" s="41">
        <f>INDEX(References!$C$2:$C$38,MATCH(C70,References!$A$2:$A$38,0))</f>
        <v>3094</v>
      </c>
      <c r="P70" s="42">
        <v>1</v>
      </c>
      <c r="Q70" s="43">
        <f t="shared" si="11"/>
        <v>3094</v>
      </c>
    </row>
    <row r="71" spans="2:17" x14ac:dyDescent="0.2">
      <c r="B71" s="237"/>
      <c r="C71" t="s">
        <v>20</v>
      </c>
      <c r="D71" s="44">
        <f t="shared" ref="D71:M80" si="13">$Q71*D$2</f>
        <v>0</v>
      </c>
      <c r="E71" s="44">
        <f t="shared" si="13"/>
        <v>0</v>
      </c>
      <c r="F71" s="44">
        <f t="shared" si="13"/>
        <v>0</v>
      </c>
      <c r="G71" s="44">
        <f t="shared" si="13"/>
        <v>0</v>
      </c>
      <c r="H71" s="44">
        <f t="shared" si="13"/>
        <v>0</v>
      </c>
      <c r="I71" s="44">
        <f t="shared" si="13"/>
        <v>0</v>
      </c>
      <c r="J71" s="44">
        <f t="shared" si="13"/>
        <v>0</v>
      </c>
      <c r="K71" s="44">
        <f t="shared" si="13"/>
        <v>0</v>
      </c>
      <c r="L71" s="44">
        <f t="shared" si="13"/>
        <v>0</v>
      </c>
      <c r="M71" s="44">
        <f t="shared" si="13"/>
        <v>0</v>
      </c>
      <c r="N71" s="44">
        <f t="shared" si="10"/>
        <v>0</v>
      </c>
      <c r="O71" s="41">
        <f>INDEX(References!$C$2:$C$38,MATCH(C71,References!$A$2:$A$38,0))</f>
        <v>1165</v>
      </c>
      <c r="P71" s="42">
        <v>0</v>
      </c>
      <c r="Q71" s="43">
        <f t="shared" si="11"/>
        <v>0</v>
      </c>
    </row>
    <row r="72" spans="2:17" x14ac:dyDescent="0.2">
      <c r="B72" s="237"/>
      <c r="C72" t="s">
        <v>21</v>
      </c>
      <c r="D72" s="44">
        <f t="shared" si="13"/>
        <v>0</v>
      </c>
      <c r="E72" s="44">
        <f t="shared" si="13"/>
        <v>0</v>
      </c>
      <c r="F72" s="44">
        <f t="shared" si="13"/>
        <v>0</v>
      </c>
      <c r="G72" s="44">
        <f t="shared" si="13"/>
        <v>0</v>
      </c>
      <c r="H72" s="44">
        <f t="shared" si="13"/>
        <v>0</v>
      </c>
      <c r="I72" s="44">
        <f t="shared" si="13"/>
        <v>0</v>
      </c>
      <c r="J72" s="44">
        <f t="shared" si="13"/>
        <v>0</v>
      </c>
      <c r="K72" s="44">
        <f t="shared" si="13"/>
        <v>0</v>
      </c>
      <c r="L72" s="44">
        <f t="shared" si="13"/>
        <v>0</v>
      </c>
      <c r="M72" s="44">
        <f t="shared" si="13"/>
        <v>0</v>
      </c>
      <c r="N72" s="44">
        <f t="shared" si="10"/>
        <v>0</v>
      </c>
      <c r="O72" s="41">
        <f>INDEX(References!$C$2:$C$38,MATCH(C72,References!$A$2:$A$38,0))</f>
        <v>3625</v>
      </c>
      <c r="P72" s="42">
        <v>0</v>
      </c>
      <c r="Q72" s="43">
        <f t="shared" si="11"/>
        <v>0</v>
      </c>
    </row>
    <row r="73" spans="2:17" x14ac:dyDescent="0.2">
      <c r="B73" s="237"/>
      <c r="C73" t="s">
        <v>22</v>
      </c>
      <c r="D73" s="44">
        <f t="shared" si="13"/>
        <v>0</v>
      </c>
      <c r="E73" s="44">
        <f t="shared" si="13"/>
        <v>0</v>
      </c>
      <c r="F73" s="44">
        <f t="shared" si="13"/>
        <v>0</v>
      </c>
      <c r="G73" s="44">
        <f t="shared" si="13"/>
        <v>0</v>
      </c>
      <c r="H73" s="44">
        <f t="shared" si="13"/>
        <v>0</v>
      </c>
      <c r="I73" s="44">
        <f t="shared" si="13"/>
        <v>0</v>
      </c>
      <c r="J73" s="44">
        <f t="shared" si="13"/>
        <v>0</v>
      </c>
      <c r="K73" s="44">
        <f t="shared" si="13"/>
        <v>0</v>
      </c>
      <c r="L73" s="44">
        <f t="shared" si="13"/>
        <v>0</v>
      </c>
      <c r="M73" s="44">
        <f t="shared" si="13"/>
        <v>0</v>
      </c>
      <c r="N73" s="44">
        <f t="shared" si="10"/>
        <v>0</v>
      </c>
      <c r="O73" s="41">
        <f>INDEX(References!$C$2:$C$38,MATCH(C73,References!$A$2:$A$38,0))</f>
        <v>3216</v>
      </c>
      <c r="P73" s="42">
        <v>0</v>
      </c>
      <c r="Q73" s="43">
        <f t="shared" si="11"/>
        <v>0</v>
      </c>
    </row>
    <row r="74" spans="2:17" x14ac:dyDescent="0.2">
      <c r="B74" s="237"/>
      <c r="C74" t="s">
        <v>24</v>
      </c>
      <c r="D74" s="44">
        <f t="shared" si="13"/>
        <v>2368748.4700000002</v>
      </c>
      <c r="E74" s="44">
        <f t="shared" si="13"/>
        <v>1909280.45</v>
      </c>
      <c r="F74" s="44">
        <f t="shared" si="13"/>
        <v>2511700.0699999998</v>
      </c>
      <c r="G74" s="44">
        <f t="shared" si="13"/>
        <v>1470243.72</v>
      </c>
      <c r="H74" s="44">
        <f t="shared" si="13"/>
        <v>1092500.8600000001</v>
      </c>
      <c r="I74" s="44">
        <f t="shared" si="13"/>
        <v>1026082.3099999999</v>
      </c>
      <c r="J74" s="44">
        <f t="shared" si="13"/>
        <v>627908.16</v>
      </c>
      <c r="K74" s="44">
        <f t="shared" si="13"/>
        <v>229734.01</v>
      </c>
      <c r="L74" s="44">
        <f t="shared" si="13"/>
        <v>229734.01</v>
      </c>
      <c r="M74" s="44">
        <f t="shared" si="13"/>
        <v>71475.8</v>
      </c>
      <c r="N74" s="44">
        <f t="shared" si="10"/>
        <v>11537407.860000001</v>
      </c>
      <c r="O74" s="41">
        <f>INDEX(References!$C$2:$C$38,MATCH(C74,References!$A$2:$A$38,0))</f>
        <v>6743</v>
      </c>
      <c r="P74" s="42">
        <v>1</v>
      </c>
      <c r="Q74" s="43">
        <f t="shared" si="11"/>
        <v>6743</v>
      </c>
    </row>
    <row r="75" spans="2:17" x14ac:dyDescent="0.2">
      <c r="B75" s="237"/>
      <c r="C75" t="s">
        <v>25</v>
      </c>
      <c r="D75" s="44">
        <f t="shared" si="13"/>
        <v>739465.45000000007</v>
      </c>
      <c r="E75" s="44">
        <f t="shared" si="13"/>
        <v>596030.75</v>
      </c>
      <c r="F75" s="44">
        <f t="shared" si="13"/>
        <v>784091.45000000007</v>
      </c>
      <c r="G75" s="44">
        <f t="shared" si="13"/>
        <v>458974.2</v>
      </c>
      <c r="H75" s="44">
        <f t="shared" si="13"/>
        <v>341052.10000000003</v>
      </c>
      <c r="I75" s="44">
        <f t="shared" si="13"/>
        <v>320317.84999999998</v>
      </c>
      <c r="J75" s="44">
        <f t="shared" si="13"/>
        <v>196017.6</v>
      </c>
      <c r="K75" s="44">
        <f t="shared" si="13"/>
        <v>71717.350000000006</v>
      </c>
      <c r="L75" s="44">
        <f t="shared" si="13"/>
        <v>71717.350000000006</v>
      </c>
      <c r="M75" s="44">
        <f t="shared" si="13"/>
        <v>22313</v>
      </c>
      <c r="N75" s="44">
        <f t="shared" si="10"/>
        <v>3601697.100000001</v>
      </c>
      <c r="O75" s="41">
        <f>INDEX(References!$C$2:$C$38,MATCH(C75,References!$A$2:$A$38,0))</f>
        <v>2105</v>
      </c>
      <c r="P75" s="42">
        <v>1</v>
      </c>
      <c r="Q75" s="43">
        <f t="shared" si="11"/>
        <v>2105</v>
      </c>
    </row>
    <row r="76" spans="2:17" x14ac:dyDescent="0.2">
      <c r="B76" s="237"/>
      <c r="C76" t="s">
        <v>26</v>
      </c>
      <c r="D76" s="44">
        <f t="shared" si="13"/>
        <v>2128817.4</v>
      </c>
      <c r="E76" s="44">
        <f t="shared" si="13"/>
        <v>1715888.9999999998</v>
      </c>
      <c r="F76" s="44">
        <f t="shared" si="13"/>
        <v>2257289.4</v>
      </c>
      <c r="G76" s="44">
        <f t="shared" si="13"/>
        <v>1321322.3999999999</v>
      </c>
      <c r="H76" s="44">
        <f t="shared" si="13"/>
        <v>981841.20000000007</v>
      </c>
      <c r="I76" s="44">
        <f t="shared" si="13"/>
        <v>922150.2</v>
      </c>
      <c r="J76" s="44">
        <f t="shared" si="13"/>
        <v>564307.20000000007</v>
      </c>
      <c r="K76" s="44">
        <f t="shared" si="13"/>
        <v>206464.2</v>
      </c>
      <c r="L76" s="44">
        <f t="shared" si="13"/>
        <v>206464.2</v>
      </c>
      <c r="M76" s="44">
        <f t="shared" si="13"/>
        <v>64236</v>
      </c>
      <c r="N76" s="44">
        <f t="shared" si="10"/>
        <v>10368781.199999996</v>
      </c>
      <c r="O76" s="41">
        <f>INDEX(References!$C$2:$C$38,MATCH(C76,References!$A$2:$A$38,0))</f>
        <v>6060</v>
      </c>
      <c r="P76" s="42">
        <v>1</v>
      </c>
      <c r="Q76" s="43">
        <f t="shared" si="11"/>
        <v>6060</v>
      </c>
    </row>
    <row r="77" spans="2:17" x14ac:dyDescent="0.2">
      <c r="B77" s="237"/>
      <c r="C77" t="s">
        <v>27</v>
      </c>
      <c r="D77" s="44">
        <f t="shared" si="13"/>
        <v>4260093.83</v>
      </c>
      <c r="E77" s="44">
        <f t="shared" si="13"/>
        <v>3433760.05</v>
      </c>
      <c r="F77" s="44">
        <f t="shared" si="13"/>
        <v>4517186.2300000004</v>
      </c>
      <c r="G77" s="44">
        <f t="shared" si="13"/>
        <v>2644171.08</v>
      </c>
      <c r="H77" s="44">
        <f t="shared" si="13"/>
        <v>1964816.54</v>
      </c>
      <c r="I77" s="44">
        <f t="shared" si="13"/>
        <v>1845365.5899999999</v>
      </c>
      <c r="J77" s="44">
        <f t="shared" si="13"/>
        <v>1129266.24</v>
      </c>
      <c r="K77" s="44">
        <f t="shared" si="13"/>
        <v>413166.89</v>
      </c>
      <c r="L77" s="44">
        <f t="shared" si="13"/>
        <v>413166.89</v>
      </c>
      <c r="M77" s="44">
        <f t="shared" si="13"/>
        <v>128546.2</v>
      </c>
      <c r="N77" s="44">
        <f t="shared" si="10"/>
        <v>20749539.539999999</v>
      </c>
      <c r="O77" s="41">
        <f>INDEX(References!$C$2:$C$38,MATCH(C77,References!$A$2:$A$38,0))</f>
        <v>12127</v>
      </c>
      <c r="P77" s="42">
        <v>1</v>
      </c>
      <c r="Q77" s="43">
        <f t="shared" si="11"/>
        <v>12127</v>
      </c>
    </row>
    <row r="78" spans="2:17" x14ac:dyDescent="0.2">
      <c r="B78" s="237"/>
      <c r="C78" t="s">
        <v>28</v>
      </c>
      <c r="D78" s="44">
        <f t="shared" si="13"/>
        <v>492157.29000000004</v>
      </c>
      <c r="E78" s="44">
        <f t="shared" si="13"/>
        <v>396693.14999999997</v>
      </c>
      <c r="F78" s="44">
        <f t="shared" si="13"/>
        <v>521858.49</v>
      </c>
      <c r="G78" s="44">
        <f t="shared" si="13"/>
        <v>305474.03999999998</v>
      </c>
      <c r="H78" s="44">
        <f t="shared" si="13"/>
        <v>226990.02000000002</v>
      </c>
      <c r="I78" s="44">
        <f t="shared" si="13"/>
        <v>213190.16999999998</v>
      </c>
      <c r="J78" s="44">
        <f t="shared" si="13"/>
        <v>130461.12000000001</v>
      </c>
      <c r="K78" s="44">
        <f t="shared" si="13"/>
        <v>47732.07</v>
      </c>
      <c r="L78" s="44">
        <f t="shared" si="13"/>
        <v>47732.07</v>
      </c>
      <c r="M78" s="44">
        <f t="shared" si="13"/>
        <v>14850.6</v>
      </c>
      <c r="N78" s="44">
        <f t="shared" si="10"/>
        <v>2397139.02</v>
      </c>
      <c r="O78" s="41">
        <f>INDEX(References!$C$2:$C$38,MATCH(C78,References!$A$2:$A$38,0))</f>
        <v>1401</v>
      </c>
      <c r="P78" s="42">
        <v>1</v>
      </c>
      <c r="Q78" s="43">
        <f t="shared" si="11"/>
        <v>1401</v>
      </c>
    </row>
    <row r="79" spans="2:17" x14ac:dyDescent="0.2">
      <c r="B79" s="237"/>
      <c r="C79" t="s">
        <v>29</v>
      </c>
      <c r="D79" s="44">
        <f t="shared" si="13"/>
        <v>0</v>
      </c>
      <c r="E79" s="44">
        <f t="shared" si="13"/>
        <v>0</v>
      </c>
      <c r="F79" s="44">
        <f t="shared" si="13"/>
        <v>0</v>
      </c>
      <c r="G79" s="44">
        <f t="shared" si="13"/>
        <v>0</v>
      </c>
      <c r="H79" s="44">
        <f t="shared" si="13"/>
        <v>0</v>
      </c>
      <c r="I79" s="44">
        <f t="shared" si="13"/>
        <v>0</v>
      </c>
      <c r="J79" s="44">
        <f t="shared" si="13"/>
        <v>0</v>
      </c>
      <c r="K79" s="44">
        <f t="shared" si="13"/>
        <v>0</v>
      </c>
      <c r="L79" s="44">
        <f t="shared" si="13"/>
        <v>0</v>
      </c>
      <c r="M79" s="44">
        <f t="shared" si="13"/>
        <v>0</v>
      </c>
      <c r="N79" s="44">
        <f t="shared" si="10"/>
        <v>0</v>
      </c>
      <c r="O79" s="41">
        <f>INDEX(References!$C$2:$C$38,MATCH(C79,References!$A$2:$A$38,0))</f>
        <v>35663</v>
      </c>
      <c r="P79" s="42">
        <v>0</v>
      </c>
      <c r="Q79" s="43">
        <f t="shared" si="11"/>
        <v>0</v>
      </c>
    </row>
    <row r="80" spans="2:17" x14ac:dyDescent="0.2">
      <c r="B80" s="237"/>
      <c r="C80" t="s">
        <v>31</v>
      </c>
      <c r="D80" s="44">
        <f t="shared" si="13"/>
        <v>0</v>
      </c>
      <c r="E80" s="44">
        <f t="shared" si="13"/>
        <v>0</v>
      </c>
      <c r="F80" s="44">
        <f t="shared" si="13"/>
        <v>0</v>
      </c>
      <c r="G80" s="44">
        <f t="shared" si="13"/>
        <v>0</v>
      </c>
      <c r="H80" s="44">
        <f t="shared" si="13"/>
        <v>0</v>
      </c>
      <c r="I80" s="44">
        <f t="shared" si="13"/>
        <v>0</v>
      </c>
      <c r="J80" s="44">
        <f t="shared" si="13"/>
        <v>0</v>
      </c>
      <c r="K80" s="44">
        <f t="shared" si="13"/>
        <v>0</v>
      </c>
      <c r="L80" s="44">
        <f t="shared" si="13"/>
        <v>0</v>
      </c>
      <c r="M80" s="44">
        <f t="shared" si="13"/>
        <v>0</v>
      </c>
      <c r="N80" s="44">
        <f t="shared" si="10"/>
        <v>0</v>
      </c>
      <c r="O80" s="41">
        <f>INDEX(References!$C$2:$C$38,MATCH(C80,References!$A$2:$A$38,0))</f>
        <v>24750</v>
      </c>
      <c r="P80" s="42">
        <v>0</v>
      </c>
      <c r="Q80" s="43">
        <f t="shared" si="11"/>
        <v>0</v>
      </c>
    </row>
    <row r="81" spans="1:17" x14ac:dyDescent="0.2">
      <c r="B81" s="237"/>
      <c r="C81" t="s">
        <v>32</v>
      </c>
      <c r="D81" s="44">
        <f t="shared" ref="D81:M89" si="14">$Q81*D$2</f>
        <v>2526828.9700000002</v>
      </c>
      <c r="E81" s="44">
        <f t="shared" si="14"/>
        <v>2036697.9499999997</v>
      </c>
      <c r="F81" s="44">
        <f t="shared" si="14"/>
        <v>2679320.5700000003</v>
      </c>
      <c r="G81" s="44">
        <f t="shared" si="14"/>
        <v>1568361.72</v>
      </c>
      <c r="H81" s="44">
        <f t="shared" si="14"/>
        <v>1165409.8600000001</v>
      </c>
      <c r="I81" s="44">
        <f t="shared" si="14"/>
        <v>1094558.8099999998</v>
      </c>
      <c r="J81" s="44">
        <f t="shared" si="14"/>
        <v>669812.16</v>
      </c>
      <c r="K81" s="44">
        <f t="shared" si="14"/>
        <v>245065.51</v>
      </c>
      <c r="L81" s="44">
        <f t="shared" si="14"/>
        <v>245065.51</v>
      </c>
      <c r="M81" s="44">
        <f t="shared" si="14"/>
        <v>76245.8</v>
      </c>
      <c r="N81" s="44">
        <f t="shared" si="10"/>
        <v>12307366.860000001</v>
      </c>
      <c r="O81" s="41">
        <f>INDEX(References!$C$2:$C$38,MATCH(C81,References!$A$2:$A$38,0))</f>
        <v>7193</v>
      </c>
      <c r="P81" s="42">
        <v>1</v>
      </c>
      <c r="Q81" s="43">
        <f t="shared" si="11"/>
        <v>7193</v>
      </c>
    </row>
    <row r="82" spans="1:17" x14ac:dyDescent="0.2">
      <c r="B82" s="237"/>
      <c r="C82" t="s">
        <v>33</v>
      </c>
      <c r="D82" s="44">
        <f t="shared" si="14"/>
        <v>635483.61</v>
      </c>
      <c r="E82" s="44">
        <f t="shared" si="14"/>
        <v>512218.35</v>
      </c>
      <c r="F82" s="44">
        <f t="shared" si="14"/>
        <v>673834.41</v>
      </c>
      <c r="G82" s="44">
        <f t="shared" si="14"/>
        <v>394434.36</v>
      </c>
      <c r="H82" s="44">
        <f t="shared" si="14"/>
        <v>293094.18</v>
      </c>
      <c r="I82" s="44">
        <f t="shared" si="14"/>
        <v>275275.52999999997</v>
      </c>
      <c r="J82" s="44">
        <f t="shared" si="14"/>
        <v>168454.08000000002</v>
      </c>
      <c r="K82" s="44">
        <f t="shared" si="14"/>
        <v>61632.63</v>
      </c>
      <c r="L82" s="44">
        <f t="shared" si="14"/>
        <v>61632.63</v>
      </c>
      <c r="M82" s="44">
        <f t="shared" si="14"/>
        <v>19175.399999999998</v>
      </c>
      <c r="N82" s="44">
        <f t="shared" si="10"/>
        <v>3095235.1799999997</v>
      </c>
      <c r="O82" s="41">
        <f>INDEX(References!$C$2:$C$38,MATCH(C82,References!$A$2:$A$38,0))</f>
        <v>1809</v>
      </c>
      <c r="P82" s="42">
        <v>1</v>
      </c>
      <c r="Q82" s="43">
        <f t="shared" si="11"/>
        <v>1809</v>
      </c>
    </row>
    <row r="83" spans="1:17" x14ac:dyDescent="0.2">
      <c r="B83" s="237"/>
      <c r="C83" t="s">
        <v>34</v>
      </c>
      <c r="D83" s="44">
        <f t="shared" si="14"/>
        <v>338994.85000000003</v>
      </c>
      <c r="E83" s="44">
        <f t="shared" si="14"/>
        <v>273239.75</v>
      </c>
      <c r="F83" s="44">
        <f t="shared" si="14"/>
        <v>359452.85000000003</v>
      </c>
      <c r="G83" s="44">
        <f t="shared" si="14"/>
        <v>210408.6</v>
      </c>
      <c r="H83" s="44">
        <f t="shared" si="14"/>
        <v>156349.30000000002</v>
      </c>
      <c r="I83" s="44">
        <f t="shared" si="14"/>
        <v>146844.04999999999</v>
      </c>
      <c r="J83" s="44">
        <f t="shared" si="14"/>
        <v>89860.800000000003</v>
      </c>
      <c r="K83" s="44">
        <f t="shared" si="14"/>
        <v>32877.550000000003</v>
      </c>
      <c r="L83" s="44">
        <f t="shared" si="14"/>
        <v>32877.550000000003</v>
      </c>
      <c r="M83" s="44">
        <f t="shared" si="14"/>
        <v>10229</v>
      </c>
      <c r="N83" s="44">
        <f t="shared" si="10"/>
        <v>1651134.3000000005</v>
      </c>
      <c r="O83" s="41">
        <f>INDEX(References!$C$2:$C$38,MATCH(C83,References!$A$2:$A$38,0))</f>
        <v>965</v>
      </c>
      <c r="P83" s="42">
        <v>1</v>
      </c>
      <c r="Q83" s="43">
        <f t="shared" si="11"/>
        <v>965</v>
      </c>
    </row>
    <row r="84" spans="1:17" x14ac:dyDescent="0.2">
      <c r="B84" s="237"/>
      <c r="C84" t="s">
        <v>35</v>
      </c>
      <c r="D84" s="44">
        <f t="shared" si="14"/>
        <v>837124.07000000007</v>
      </c>
      <c r="E84" s="44">
        <f t="shared" si="14"/>
        <v>674746.45</v>
      </c>
      <c r="F84" s="44">
        <f t="shared" si="14"/>
        <v>887643.67</v>
      </c>
      <c r="G84" s="44">
        <f t="shared" si="14"/>
        <v>519589.32</v>
      </c>
      <c r="H84" s="44">
        <f t="shared" si="14"/>
        <v>386093.66000000003</v>
      </c>
      <c r="I84" s="44">
        <f t="shared" si="14"/>
        <v>362621.11</v>
      </c>
      <c r="J84" s="44">
        <f t="shared" si="14"/>
        <v>221904.96000000002</v>
      </c>
      <c r="K84" s="44">
        <f t="shared" si="14"/>
        <v>81188.81</v>
      </c>
      <c r="L84" s="44">
        <f t="shared" si="14"/>
        <v>81188.81</v>
      </c>
      <c r="M84" s="44">
        <f t="shared" si="14"/>
        <v>25259.8</v>
      </c>
      <c r="N84" s="44">
        <f t="shared" si="10"/>
        <v>4077360.6599999997</v>
      </c>
      <c r="O84" s="41">
        <f>INDEX(References!$C$2:$C$38,MATCH(C84,References!$A$2:$A$38,0))</f>
        <v>2383</v>
      </c>
      <c r="P84" s="42">
        <v>1</v>
      </c>
      <c r="Q84" s="43">
        <f t="shared" si="11"/>
        <v>2383</v>
      </c>
    </row>
    <row r="85" spans="1:17" x14ac:dyDescent="0.2">
      <c r="B85" s="237"/>
      <c r="C85" t="s">
        <v>36</v>
      </c>
      <c r="D85" s="44">
        <f t="shared" si="14"/>
        <v>867686.3</v>
      </c>
      <c r="E85" s="44">
        <f t="shared" si="14"/>
        <v>699380.5</v>
      </c>
      <c r="F85" s="44">
        <f t="shared" si="14"/>
        <v>920050.3</v>
      </c>
      <c r="G85" s="44">
        <f t="shared" si="14"/>
        <v>538558.79999999993</v>
      </c>
      <c r="H85" s="44">
        <f t="shared" si="14"/>
        <v>400189.4</v>
      </c>
      <c r="I85" s="44">
        <f t="shared" si="14"/>
        <v>375859.89999999997</v>
      </c>
      <c r="J85" s="44">
        <f t="shared" si="14"/>
        <v>230006.40000000002</v>
      </c>
      <c r="K85" s="44">
        <f t="shared" si="14"/>
        <v>84152.9</v>
      </c>
      <c r="L85" s="44">
        <f t="shared" si="14"/>
        <v>84152.9</v>
      </c>
      <c r="M85" s="44">
        <f t="shared" si="14"/>
        <v>26182</v>
      </c>
      <c r="N85" s="44">
        <f t="shared" si="10"/>
        <v>4226219.3999999994</v>
      </c>
      <c r="O85" s="41">
        <f>INDEX(References!$C$2:$C$38,MATCH(C85,References!$A$2:$A$38,0))</f>
        <v>2470</v>
      </c>
      <c r="P85" s="42">
        <v>1</v>
      </c>
      <c r="Q85" s="43">
        <f t="shared" si="11"/>
        <v>2470</v>
      </c>
    </row>
    <row r="86" spans="1:17" x14ac:dyDescent="0.2">
      <c r="B86" s="237"/>
      <c r="C86" t="s">
        <v>37</v>
      </c>
      <c r="D86" s="44">
        <f t="shared" si="14"/>
        <v>1943687.57</v>
      </c>
      <c r="E86" s="44">
        <f t="shared" si="14"/>
        <v>1566668.95</v>
      </c>
      <c r="F86" s="44">
        <f t="shared" si="14"/>
        <v>2060987.1700000002</v>
      </c>
      <c r="G86" s="44">
        <f t="shared" si="14"/>
        <v>1206415.32</v>
      </c>
      <c r="H86" s="44">
        <f t="shared" si="14"/>
        <v>896456.66</v>
      </c>
      <c r="I86" s="44">
        <f t="shared" si="14"/>
        <v>841956.61</v>
      </c>
      <c r="J86" s="44">
        <f t="shared" si="14"/>
        <v>515232.96</v>
      </c>
      <c r="K86" s="44">
        <f t="shared" si="14"/>
        <v>188509.31</v>
      </c>
      <c r="L86" s="44">
        <f t="shared" si="14"/>
        <v>188509.31</v>
      </c>
      <c r="M86" s="44">
        <f t="shared" si="14"/>
        <v>58649.799999999996</v>
      </c>
      <c r="N86" s="44">
        <f t="shared" si="10"/>
        <v>9467073.6600000039</v>
      </c>
      <c r="O86" s="41">
        <f>INDEX(References!$C$2:$C$38,MATCH(C86,References!$A$2:$A$38,0))</f>
        <v>5533</v>
      </c>
      <c r="P86" s="42">
        <v>1</v>
      </c>
      <c r="Q86" s="43">
        <f t="shared" si="11"/>
        <v>5533</v>
      </c>
    </row>
    <row r="87" spans="1:17" x14ac:dyDescent="0.2">
      <c r="B87" s="237"/>
      <c r="C87" t="s">
        <v>38</v>
      </c>
      <c r="D87" s="44">
        <f t="shared" si="14"/>
        <v>1480336.06</v>
      </c>
      <c r="E87" s="44">
        <f t="shared" si="14"/>
        <v>1193194.0999999999</v>
      </c>
      <c r="F87" s="44">
        <f t="shared" si="14"/>
        <v>1569672.86</v>
      </c>
      <c r="G87" s="44">
        <f t="shared" si="14"/>
        <v>918820.55999999994</v>
      </c>
      <c r="H87" s="44">
        <f t="shared" si="14"/>
        <v>682752.28</v>
      </c>
      <c r="I87" s="44">
        <f t="shared" si="14"/>
        <v>641244.38</v>
      </c>
      <c r="J87" s="44">
        <f t="shared" si="14"/>
        <v>392407.68</v>
      </c>
      <c r="K87" s="44">
        <f t="shared" si="14"/>
        <v>143570.98000000001</v>
      </c>
      <c r="L87" s="44">
        <f t="shared" si="14"/>
        <v>143570.98000000001</v>
      </c>
      <c r="M87" s="44">
        <f t="shared" si="14"/>
        <v>44668.4</v>
      </c>
      <c r="N87" s="44">
        <f t="shared" si="10"/>
        <v>7210238.2800000012</v>
      </c>
      <c r="O87" s="41">
        <f>INDEX(References!$C$2:$C$38,MATCH(C87,References!$A$2:$A$38,0))</f>
        <v>4214</v>
      </c>
      <c r="P87" s="42">
        <v>1</v>
      </c>
      <c r="Q87" s="43">
        <f t="shared" si="11"/>
        <v>4214</v>
      </c>
    </row>
    <row r="88" spans="1:17" x14ac:dyDescent="0.2">
      <c r="B88" s="237"/>
      <c r="C88" t="s">
        <v>39</v>
      </c>
      <c r="D88" s="44">
        <f t="shared" si="14"/>
        <v>271898.46000000002</v>
      </c>
      <c r="E88" s="44">
        <f t="shared" si="14"/>
        <v>219158.09999999998</v>
      </c>
      <c r="F88" s="44">
        <f t="shared" si="14"/>
        <v>288307.26</v>
      </c>
      <c r="G88" s="44">
        <f t="shared" si="14"/>
        <v>168762.96</v>
      </c>
      <c r="H88" s="44">
        <f t="shared" si="14"/>
        <v>125403.48000000001</v>
      </c>
      <c r="I88" s="44">
        <f t="shared" si="14"/>
        <v>117779.57999999999</v>
      </c>
      <c r="J88" s="44">
        <f t="shared" si="14"/>
        <v>72074.880000000005</v>
      </c>
      <c r="K88" s="44">
        <f t="shared" si="14"/>
        <v>26370.18</v>
      </c>
      <c r="L88" s="44">
        <f t="shared" si="14"/>
        <v>26370.18</v>
      </c>
      <c r="M88" s="44">
        <f t="shared" si="14"/>
        <v>8204.4</v>
      </c>
      <c r="N88" s="44">
        <f t="shared" si="10"/>
        <v>1324329.48</v>
      </c>
      <c r="O88" s="41">
        <f>INDEX(References!$C$2:$C$38,MATCH(C88,References!$A$2:$A$38,0))</f>
        <v>774</v>
      </c>
      <c r="P88" s="42">
        <v>1</v>
      </c>
      <c r="Q88" s="43">
        <f t="shared" si="11"/>
        <v>774</v>
      </c>
    </row>
    <row r="89" spans="1:17" x14ac:dyDescent="0.2">
      <c r="B89" s="237"/>
      <c r="C89" t="s">
        <v>40</v>
      </c>
      <c r="D89" s="44">
        <f t="shared" si="14"/>
        <v>1832679.9300000002</v>
      </c>
      <c r="E89" s="44">
        <f t="shared" si="14"/>
        <v>1477193.5499999998</v>
      </c>
      <c r="F89" s="44">
        <f t="shared" si="14"/>
        <v>1943280.33</v>
      </c>
      <c r="G89" s="44">
        <f t="shared" si="14"/>
        <v>1137514.68</v>
      </c>
      <c r="H89" s="44">
        <f t="shared" si="14"/>
        <v>845258.34000000008</v>
      </c>
      <c r="I89" s="44">
        <f t="shared" si="14"/>
        <v>793870.8899999999</v>
      </c>
      <c r="J89" s="44">
        <f t="shared" si="14"/>
        <v>485807.04000000004</v>
      </c>
      <c r="K89" s="44">
        <f t="shared" si="14"/>
        <v>177743.19</v>
      </c>
      <c r="L89" s="44">
        <f t="shared" si="14"/>
        <v>177743.19</v>
      </c>
      <c r="M89" s="44">
        <f t="shared" si="14"/>
        <v>55300.2</v>
      </c>
      <c r="N89" s="44">
        <f t="shared" si="10"/>
        <v>8926391.339999998</v>
      </c>
      <c r="O89" s="41">
        <f>INDEX(References!$C$2:$C$38,MATCH(C89,References!$A$2:$A$38,0))</f>
        <v>5217</v>
      </c>
      <c r="P89" s="42">
        <v>1</v>
      </c>
      <c r="Q89" s="43">
        <f t="shared" si="11"/>
        <v>5217</v>
      </c>
    </row>
    <row r="90" spans="1:17" x14ac:dyDescent="0.2">
      <c r="C90" s="16" t="s">
        <v>134</v>
      </c>
      <c r="D90" s="15">
        <f>SUM(D51:D89)</f>
        <v>51385335.399653561</v>
      </c>
      <c r="E90" s="15">
        <f t="shared" ref="E90:O90" si="15">SUM(E51:E89)</f>
        <v>41418081.125030346</v>
      </c>
      <c r="F90" s="15">
        <f t="shared" si="15"/>
        <v>54486388.974969268</v>
      </c>
      <c r="G90" s="15">
        <f t="shared" si="15"/>
        <v>31894043.469897978</v>
      </c>
      <c r="H90" s="15">
        <f t="shared" si="15"/>
        <v>23699655.673238263</v>
      </c>
      <c r="I90" s="15">
        <f t="shared" si="15"/>
        <v>22258835.969612803</v>
      </c>
      <c r="J90" s="15">
        <f t="shared" si="15"/>
        <v>13621231.553462211</v>
      </c>
      <c r="K90" s="15">
        <f t="shared" si="15"/>
        <v>4983627.1373116141</v>
      </c>
      <c r="L90" s="15">
        <f t="shared" si="15"/>
        <v>4983627.1373116141</v>
      </c>
      <c r="M90" s="15">
        <f t="shared" si="15"/>
        <v>1550526.7876578546</v>
      </c>
      <c r="N90" s="15">
        <f t="shared" si="15"/>
        <v>250281353.22814554</v>
      </c>
      <c r="O90" s="46">
        <f t="shared" si="15"/>
        <v>292109.11204319383</v>
      </c>
      <c r="P90" s="47"/>
      <c r="Q90" s="46">
        <f>SUM(Q51:Q89)</f>
        <v>146276.11204319383</v>
      </c>
    </row>
    <row r="91" spans="1:17" x14ac:dyDescent="0.2">
      <c r="C91" s="55" t="s">
        <v>122</v>
      </c>
      <c r="D91" s="48">
        <f>SUM(D51+D57)</f>
        <v>15208788.619653562</v>
      </c>
      <c r="E91" s="48">
        <f t="shared" ref="E91:N91" si="16">SUM(E51+E57)</f>
        <v>12258727.825030332</v>
      </c>
      <c r="F91" s="48">
        <f t="shared" si="16"/>
        <v>16126623.79496927</v>
      </c>
      <c r="G91" s="48">
        <f t="shared" si="16"/>
        <v>9439848.1898979824</v>
      </c>
      <c r="H91" s="48">
        <f t="shared" si="16"/>
        <v>7014512.0332382647</v>
      </c>
      <c r="I91" s="48">
        <f t="shared" si="16"/>
        <v>6588065.0296128048</v>
      </c>
      <c r="J91" s="48">
        <f t="shared" si="16"/>
        <v>4031547.7134622098</v>
      </c>
      <c r="K91" s="48">
        <f t="shared" si="16"/>
        <v>1475030.3973116139</v>
      </c>
      <c r="L91" s="48">
        <f t="shared" si="16"/>
        <v>1475030.3973116139</v>
      </c>
      <c r="M91" s="48">
        <f t="shared" si="16"/>
        <v>458917.5876578546</v>
      </c>
      <c r="N91" s="48">
        <f t="shared" si="16"/>
        <v>74077091.588145509</v>
      </c>
      <c r="O91" s="49">
        <f>O51+O57</f>
        <v>43294.112043193833</v>
      </c>
      <c r="P91" s="50"/>
      <c r="Q91" s="49">
        <f>Q51+Q57</f>
        <v>43294.112043193833</v>
      </c>
    </row>
    <row r="93" spans="1:17" ht="15" x14ac:dyDescent="0.25">
      <c r="A93" s="54" t="s">
        <v>121</v>
      </c>
      <c r="B93" s="16" t="s">
        <v>86</v>
      </c>
      <c r="C93" s="16" t="s">
        <v>0</v>
      </c>
      <c r="D93" s="16" t="s">
        <v>72</v>
      </c>
      <c r="E93" s="16" t="s">
        <v>73</v>
      </c>
      <c r="F93" s="16" t="s">
        <v>74</v>
      </c>
      <c r="G93" s="16" t="s">
        <v>75</v>
      </c>
      <c r="H93" s="16" t="s">
        <v>76</v>
      </c>
      <c r="I93" s="16" t="s">
        <v>77</v>
      </c>
      <c r="J93" s="16" t="s">
        <v>78</v>
      </c>
      <c r="K93" s="16" t="s">
        <v>79</v>
      </c>
      <c r="L93" s="16" t="s">
        <v>80</v>
      </c>
      <c r="M93" s="16" t="s">
        <v>81</v>
      </c>
      <c r="N93" s="16" t="s">
        <v>82</v>
      </c>
      <c r="O93" s="16" t="s">
        <v>116</v>
      </c>
      <c r="P93" s="16" t="s">
        <v>117</v>
      </c>
      <c r="Q93" s="16" t="s">
        <v>118</v>
      </c>
    </row>
    <row r="94" spans="1:17" ht="14.25" x14ac:dyDescent="0.2">
      <c r="A94" s="17"/>
      <c r="B94" s="16" t="s">
        <v>94</v>
      </c>
      <c r="C94" s="16" t="s">
        <v>95</v>
      </c>
      <c r="D94" s="20">
        <f t="shared" ref="D94:M103" si="17">$Q94*D$2</f>
        <v>14724008.419653563</v>
      </c>
      <c r="E94" s="20">
        <f t="shared" si="17"/>
        <v>11867980.825030332</v>
      </c>
      <c r="F94" s="20">
        <f t="shared" si="17"/>
        <v>15612587.594969271</v>
      </c>
      <c r="G94" s="20">
        <f t="shared" si="17"/>
        <v>9138952.9898979831</v>
      </c>
      <c r="H94" s="20">
        <f t="shared" si="17"/>
        <v>6790924.4332382651</v>
      </c>
      <c r="I94" s="20">
        <f t="shared" si="17"/>
        <v>6378070.4296128051</v>
      </c>
      <c r="J94" s="20">
        <f t="shared" si="17"/>
        <v>3903042.1134622097</v>
      </c>
      <c r="K94" s="20">
        <f t="shared" si="17"/>
        <v>1428013.7973116138</v>
      </c>
      <c r="L94" s="20">
        <f t="shared" si="17"/>
        <v>1428013.7973116138</v>
      </c>
      <c r="M94" s="20">
        <f t="shared" si="17"/>
        <v>444289.5876578546</v>
      </c>
      <c r="N94" s="20">
        <f t="shared" ref="N94:N130" si="18">SUM(D94:M94)</f>
        <v>71715883.988145515</v>
      </c>
      <c r="O94" s="41">
        <f>'Overall Restoration (Acres)'!$D$9</f>
        <v>41914.112043193833</v>
      </c>
      <c r="P94" s="42">
        <v>1</v>
      </c>
      <c r="Q94" s="43">
        <f t="shared" ref="Q94:Q130" si="19">O94*P94</f>
        <v>41914.112043193833</v>
      </c>
    </row>
    <row r="95" spans="1:17" x14ac:dyDescent="0.2">
      <c r="B95" s="237" t="s">
        <v>91</v>
      </c>
      <c r="C95" t="s">
        <v>41</v>
      </c>
      <c r="D95" s="44">
        <f t="shared" si="17"/>
        <v>1131153.8</v>
      </c>
      <c r="E95" s="44">
        <f t="shared" si="17"/>
        <v>911742.99999999988</v>
      </c>
      <c r="F95" s="44">
        <f t="shared" si="17"/>
        <v>1199417.8</v>
      </c>
      <c r="G95" s="44">
        <f t="shared" si="17"/>
        <v>702088.79999999993</v>
      </c>
      <c r="H95" s="44">
        <f t="shared" si="17"/>
        <v>521704.4</v>
      </c>
      <c r="I95" s="44">
        <f t="shared" si="17"/>
        <v>489987.39999999997</v>
      </c>
      <c r="J95" s="44">
        <f t="shared" si="17"/>
        <v>299846.40000000002</v>
      </c>
      <c r="K95" s="44">
        <f t="shared" si="17"/>
        <v>109705.4</v>
      </c>
      <c r="L95" s="44">
        <f t="shared" si="17"/>
        <v>109705.4</v>
      </c>
      <c r="M95" s="44">
        <f t="shared" si="17"/>
        <v>34132</v>
      </c>
      <c r="N95" s="44">
        <f t="shared" si="18"/>
        <v>5509484.4000000013</v>
      </c>
      <c r="O95" s="41">
        <f>INDEX(References!$C$2:$C$38,MATCH(C95,References!$A$2:$A$38,0))</f>
        <v>3220</v>
      </c>
      <c r="P95" s="42">
        <v>1</v>
      </c>
      <c r="Q95" s="43">
        <f t="shared" si="19"/>
        <v>3220</v>
      </c>
    </row>
    <row r="96" spans="1:17" x14ac:dyDescent="0.2">
      <c r="B96" s="237"/>
      <c r="C96" t="s">
        <v>42</v>
      </c>
      <c r="D96" s="44">
        <f t="shared" si="17"/>
        <v>1215112.1100000001</v>
      </c>
      <c r="E96" s="44">
        <f t="shared" si="17"/>
        <v>979415.85</v>
      </c>
      <c r="F96" s="44">
        <f t="shared" si="17"/>
        <v>1288442.9099999999</v>
      </c>
      <c r="G96" s="44">
        <f t="shared" si="17"/>
        <v>754200.36</v>
      </c>
      <c r="H96" s="44">
        <f t="shared" si="17"/>
        <v>560427.18000000005</v>
      </c>
      <c r="I96" s="44">
        <f t="shared" si="17"/>
        <v>526356.02999999991</v>
      </c>
      <c r="J96" s="44">
        <f t="shared" si="17"/>
        <v>322102.08</v>
      </c>
      <c r="K96" s="44">
        <f t="shared" si="17"/>
        <v>117848.13</v>
      </c>
      <c r="L96" s="44">
        <f t="shared" si="17"/>
        <v>117848.13</v>
      </c>
      <c r="M96" s="44">
        <f t="shared" si="17"/>
        <v>36665.4</v>
      </c>
      <c r="N96" s="44">
        <f t="shared" si="18"/>
        <v>5918418.1800000006</v>
      </c>
      <c r="O96" s="41">
        <f>INDEX(References!$C$2:$C$38,MATCH(C96,References!$A$2:$A$38,0))</f>
        <v>3459</v>
      </c>
      <c r="P96" s="42">
        <v>1</v>
      </c>
      <c r="Q96" s="43">
        <f t="shared" si="19"/>
        <v>3459</v>
      </c>
    </row>
    <row r="97" spans="2:17" x14ac:dyDescent="0.2">
      <c r="B97" s="237"/>
      <c r="C97" t="s">
        <v>43</v>
      </c>
      <c r="D97" s="44">
        <f t="shared" si="17"/>
        <v>1909612.4400000002</v>
      </c>
      <c r="E97" s="44">
        <f t="shared" si="17"/>
        <v>1539203.4</v>
      </c>
      <c r="F97" s="44">
        <f t="shared" si="17"/>
        <v>2024855.6400000001</v>
      </c>
      <c r="G97" s="44">
        <f t="shared" si="17"/>
        <v>1185265.44</v>
      </c>
      <c r="H97" s="44">
        <f t="shared" si="17"/>
        <v>880740.72000000009</v>
      </c>
      <c r="I97" s="44">
        <f t="shared" si="17"/>
        <v>827196.11999999988</v>
      </c>
      <c r="J97" s="44">
        <f t="shared" si="17"/>
        <v>506200.32000000001</v>
      </c>
      <c r="K97" s="44">
        <f t="shared" si="17"/>
        <v>185204.52</v>
      </c>
      <c r="L97" s="44">
        <f t="shared" si="17"/>
        <v>185204.52</v>
      </c>
      <c r="M97" s="44">
        <f t="shared" si="17"/>
        <v>57621.599999999999</v>
      </c>
      <c r="N97" s="44">
        <f t="shared" si="18"/>
        <v>9301104.7199999988</v>
      </c>
      <c r="O97" s="41">
        <f>INDEX(References!$C$2:$C$38,MATCH(C97,References!$A$2:$A$38,0))</f>
        <v>5436</v>
      </c>
      <c r="P97" s="42">
        <v>1</v>
      </c>
      <c r="Q97" s="43">
        <f t="shared" si="19"/>
        <v>5436</v>
      </c>
    </row>
    <row r="98" spans="2:17" x14ac:dyDescent="0.2">
      <c r="B98" s="237"/>
      <c r="C98" t="s">
        <v>44</v>
      </c>
      <c r="D98" s="44">
        <f t="shared" si="17"/>
        <v>750004.15</v>
      </c>
      <c r="E98" s="44">
        <f t="shared" si="17"/>
        <v>604525.25</v>
      </c>
      <c r="F98" s="44">
        <f t="shared" si="17"/>
        <v>795266.15</v>
      </c>
      <c r="G98" s="44">
        <f t="shared" si="17"/>
        <v>465515.39999999997</v>
      </c>
      <c r="H98" s="44">
        <f t="shared" si="17"/>
        <v>345912.7</v>
      </c>
      <c r="I98" s="44">
        <f t="shared" si="17"/>
        <v>324882.94999999995</v>
      </c>
      <c r="J98" s="44">
        <f t="shared" si="17"/>
        <v>198811.2</v>
      </c>
      <c r="K98" s="44">
        <f t="shared" si="17"/>
        <v>72739.45</v>
      </c>
      <c r="L98" s="44">
        <f t="shared" si="17"/>
        <v>72739.45</v>
      </c>
      <c r="M98" s="44">
        <f t="shared" si="17"/>
        <v>22631</v>
      </c>
      <c r="N98" s="44">
        <f t="shared" si="18"/>
        <v>3653027.7</v>
      </c>
      <c r="O98" s="41">
        <f>INDEX(References!$C$2:$C$38,MATCH(C98,References!$A$2:$A$38,0))</f>
        <v>2135</v>
      </c>
      <c r="P98" s="42">
        <v>1</v>
      </c>
      <c r="Q98" s="43">
        <f t="shared" si="19"/>
        <v>2135</v>
      </c>
    </row>
    <row r="99" spans="2:17" x14ac:dyDescent="0.2">
      <c r="B99" s="237"/>
      <c r="C99" t="s">
        <v>45</v>
      </c>
      <c r="D99" s="44">
        <f t="shared" si="17"/>
        <v>3575429.62</v>
      </c>
      <c r="E99" s="44">
        <f t="shared" si="17"/>
        <v>2881900.6999999997</v>
      </c>
      <c r="F99" s="44">
        <f t="shared" si="17"/>
        <v>3791203.22</v>
      </c>
      <c r="G99" s="44">
        <f t="shared" si="17"/>
        <v>2219211.12</v>
      </c>
      <c r="H99" s="44">
        <f t="shared" si="17"/>
        <v>1649039.56</v>
      </c>
      <c r="I99" s="44">
        <f t="shared" si="17"/>
        <v>1548786.2599999998</v>
      </c>
      <c r="J99" s="44">
        <f t="shared" si="17"/>
        <v>947775.3600000001</v>
      </c>
      <c r="K99" s="44">
        <f t="shared" si="17"/>
        <v>346764.46</v>
      </c>
      <c r="L99" s="44">
        <f t="shared" si="17"/>
        <v>346764.46</v>
      </c>
      <c r="M99" s="44">
        <f t="shared" si="17"/>
        <v>107886.8</v>
      </c>
      <c r="N99" s="44">
        <f t="shared" si="18"/>
        <v>17414761.560000002</v>
      </c>
      <c r="O99" s="41">
        <f>INDEX(References!$C$2:$C$38,MATCH(C99,References!$A$2:$A$38,0))</f>
        <v>10178</v>
      </c>
      <c r="P99" s="42">
        <v>1</v>
      </c>
      <c r="Q99" s="43">
        <f t="shared" si="19"/>
        <v>10178</v>
      </c>
    </row>
    <row r="100" spans="2:17" x14ac:dyDescent="0.2">
      <c r="B100" s="237"/>
      <c r="C100" t="s">
        <v>97</v>
      </c>
      <c r="D100" s="44">
        <f t="shared" si="17"/>
        <v>484780.2</v>
      </c>
      <c r="E100" s="44">
        <f t="shared" si="17"/>
        <v>390746.99999999994</v>
      </c>
      <c r="F100" s="44">
        <f t="shared" si="17"/>
        <v>514036.2</v>
      </c>
      <c r="G100" s="44">
        <f t="shared" si="17"/>
        <v>300895.2</v>
      </c>
      <c r="H100" s="44">
        <f t="shared" si="17"/>
        <v>223587.6</v>
      </c>
      <c r="I100" s="44">
        <f t="shared" si="17"/>
        <v>209994.59999999998</v>
      </c>
      <c r="J100" s="44">
        <f t="shared" si="17"/>
        <v>128505.60000000001</v>
      </c>
      <c r="K100" s="44">
        <f t="shared" si="17"/>
        <v>47016.6</v>
      </c>
      <c r="L100" s="44">
        <f t="shared" si="17"/>
        <v>47016.6</v>
      </c>
      <c r="M100" s="44">
        <f t="shared" si="17"/>
        <v>14628</v>
      </c>
      <c r="N100" s="44">
        <f t="shared" si="18"/>
        <v>2361207.6</v>
      </c>
      <c r="O100" s="45">
        <v>1380</v>
      </c>
      <c r="P100" s="42">
        <v>1</v>
      </c>
      <c r="Q100" s="43">
        <f t="shared" si="19"/>
        <v>1380</v>
      </c>
    </row>
    <row r="101" spans="2:17" x14ac:dyDescent="0.2">
      <c r="B101" s="237"/>
      <c r="C101" t="s">
        <v>46</v>
      </c>
      <c r="D101" s="44">
        <f t="shared" si="17"/>
        <v>1250241.1100000001</v>
      </c>
      <c r="E101" s="44">
        <f t="shared" si="17"/>
        <v>1007730.85</v>
      </c>
      <c r="F101" s="44">
        <f t="shared" si="17"/>
        <v>1325691.9099999999</v>
      </c>
      <c r="G101" s="44">
        <f t="shared" si="17"/>
        <v>776004.36</v>
      </c>
      <c r="H101" s="44">
        <f t="shared" si="17"/>
        <v>576629.18000000005</v>
      </c>
      <c r="I101" s="44">
        <f t="shared" si="17"/>
        <v>541573.02999999991</v>
      </c>
      <c r="J101" s="44">
        <f t="shared" si="17"/>
        <v>331414.08</v>
      </c>
      <c r="K101" s="44">
        <f t="shared" si="17"/>
        <v>121255.13</v>
      </c>
      <c r="L101" s="44">
        <f t="shared" si="17"/>
        <v>121255.13</v>
      </c>
      <c r="M101" s="44">
        <f t="shared" si="17"/>
        <v>37725.4</v>
      </c>
      <c r="N101" s="44">
        <f t="shared" si="18"/>
        <v>6089520.1800000006</v>
      </c>
      <c r="O101" s="41">
        <f>INDEX(References!$C$2:$C$38,MATCH(C101,References!$A$2:$A$38,0))</f>
        <v>3559</v>
      </c>
      <c r="P101" s="42">
        <v>1</v>
      </c>
      <c r="Q101" s="43">
        <f t="shared" si="19"/>
        <v>3559</v>
      </c>
    </row>
    <row r="102" spans="2:17" x14ac:dyDescent="0.2">
      <c r="B102" s="237" t="s">
        <v>87</v>
      </c>
      <c r="C102" t="s">
        <v>5</v>
      </c>
      <c r="D102" s="44">
        <f t="shared" si="17"/>
        <v>0</v>
      </c>
      <c r="E102" s="44">
        <f t="shared" si="17"/>
        <v>0</v>
      </c>
      <c r="F102" s="44">
        <f t="shared" si="17"/>
        <v>0</v>
      </c>
      <c r="G102" s="44">
        <f t="shared" si="17"/>
        <v>0</v>
      </c>
      <c r="H102" s="44">
        <f t="shared" si="17"/>
        <v>0</v>
      </c>
      <c r="I102" s="44">
        <f t="shared" si="17"/>
        <v>0</v>
      </c>
      <c r="J102" s="44">
        <f t="shared" si="17"/>
        <v>0</v>
      </c>
      <c r="K102" s="44">
        <f t="shared" si="17"/>
        <v>0</v>
      </c>
      <c r="L102" s="44">
        <f t="shared" si="17"/>
        <v>0</v>
      </c>
      <c r="M102" s="44">
        <f t="shared" si="17"/>
        <v>0</v>
      </c>
      <c r="N102" s="44">
        <f t="shared" si="18"/>
        <v>0</v>
      </c>
      <c r="O102" s="41">
        <f>INDEX(References!$C$2:$C$38,MATCH(C102,References!$A$2:$A$38,0))</f>
        <v>16543</v>
      </c>
      <c r="P102" s="42">
        <v>0</v>
      </c>
      <c r="Q102" s="43">
        <f t="shared" si="19"/>
        <v>0</v>
      </c>
    </row>
    <row r="103" spans="2:17" x14ac:dyDescent="0.2">
      <c r="B103" s="237"/>
      <c r="C103" t="s">
        <v>8</v>
      </c>
      <c r="D103" s="44">
        <f t="shared" si="17"/>
        <v>0</v>
      </c>
      <c r="E103" s="44">
        <f t="shared" si="17"/>
        <v>0</v>
      </c>
      <c r="F103" s="44">
        <f t="shared" si="17"/>
        <v>0</v>
      </c>
      <c r="G103" s="44">
        <f t="shared" si="17"/>
        <v>0</v>
      </c>
      <c r="H103" s="44">
        <f t="shared" si="17"/>
        <v>0</v>
      </c>
      <c r="I103" s="44">
        <f t="shared" si="17"/>
        <v>0</v>
      </c>
      <c r="J103" s="44">
        <f t="shared" si="17"/>
        <v>0</v>
      </c>
      <c r="K103" s="44">
        <f t="shared" si="17"/>
        <v>0</v>
      </c>
      <c r="L103" s="44">
        <f t="shared" si="17"/>
        <v>0</v>
      </c>
      <c r="M103" s="44">
        <f t="shared" si="17"/>
        <v>0</v>
      </c>
      <c r="N103" s="44">
        <f t="shared" si="18"/>
        <v>0</v>
      </c>
      <c r="O103" s="41">
        <f>INDEX(References!$C$2:$C$38,MATCH(C103,References!$A$2:$A$38,0))</f>
        <v>11798</v>
      </c>
      <c r="P103" s="42">
        <v>0</v>
      </c>
      <c r="Q103" s="43">
        <f t="shared" si="19"/>
        <v>0</v>
      </c>
    </row>
    <row r="104" spans="2:17" x14ac:dyDescent="0.2">
      <c r="B104" s="237"/>
      <c r="C104" t="s">
        <v>10</v>
      </c>
      <c r="D104" s="44">
        <f t="shared" ref="D104:M113" si="20">$Q104*D$2</f>
        <v>0</v>
      </c>
      <c r="E104" s="44">
        <f t="shared" si="20"/>
        <v>0</v>
      </c>
      <c r="F104" s="44">
        <f t="shared" si="20"/>
        <v>0</v>
      </c>
      <c r="G104" s="44">
        <f t="shared" si="20"/>
        <v>0</v>
      </c>
      <c r="H104" s="44">
        <f t="shared" si="20"/>
        <v>0</v>
      </c>
      <c r="I104" s="44">
        <f t="shared" si="20"/>
        <v>0</v>
      </c>
      <c r="J104" s="44">
        <f t="shared" si="20"/>
        <v>0</v>
      </c>
      <c r="K104" s="44">
        <f t="shared" si="20"/>
        <v>0</v>
      </c>
      <c r="L104" s="44">
        <f t="shared" si="20"/>
        <v>0</v>
      </c>
      <c r="M104" s="44">
        <f t="shared" si="20"/>
        <v>0</v>
      </c>
      <c r="N104" s="44">
        <f t="shared" si="18"/>
        <v>0</v>
      </c>
      <c r="O104" s="41">
        <f>INDEX(References!$C$2:$C$38,MATCH(C104,References!$A$2:$A$38,0))</f>
        <v>8799</v>
      </c>
      <c r="P104" s="42">
        <v>0</v>
      </c>
      <c r="Q104" s="43">
        <f t="shared" si="19"/>
        <v>0</v>
      </c>
    </row>
    <row r="105" spans="2:17" x14ac:dyDescent="0.2">
      <c r="B105" s="237"/>
      <c r="C105" t="s">
        <v>12</v>
      </c>
      <c r="D105" s="44">
        <f t="shared" si="20"/>
        <v>0</v>
      </c>
      <c r="E105" s="44">
        <f t="shared" si="20"/>
        <v>0</v>
      </c>
      <c r="F105" s="44">
        <f t="shared" si="20"/>
        <v>0</v>
      </c>
      <c r="G105" s="44">
        <f t="shared" si="20"/>
        <v>0</v>
      </c>
      <c r="H105" s="44">
        <f t="shared" si="20"/>
        <v>0</v>
      </c>
      <c r="I105" s="44">
        <f t="shared" si="20"/>
        <v>0</v>
      </c>
      <c r="J105" s="44">
        <f t="shared" si="20"/>
        <v>0</v>
      </c>
      <c r="K105" s="44">
        <f t="shared" si="20"/>
        <v>0</v>
      </c>
      <c r="L105" s="44">
        <f t="shared" si="20"/>
        <v>0</v>
      </c>
      <c r="M105" s="44">
        <f t="shared" si="20"/>
        <v>0</v>
      </c>
      <c r="N105" s="44">
        <f t="shared" si="18"/>
        <v>0</v>
      </c>
      <c r="O105" s="41">
        <f>INDEX(References!$C$2:$C$38,MATCH(C105,References!$A$2:$A$38,0))</f>
        <v>9111</v>
      </c>
      <c r="P105" s="42">
        <v>0</v>
      </c>
      <c r="Q105" s="43">
        <f t="shared" si="19"/>
        <v>0</v>
      </c>
    </row>
    <row r="106" spans="2:17" x14ac:dyDescent="0.2">
      <c r="B106" s="237"/>
      <c r="C106" t="s">
        <v>47</v>
      </c>
      <c r="D106" s="44">
        <f t="shared" si="20"/>
        <v>0</v>
      </c>
      <c r="E106" s="44">
        <f t="shared" si="20"/>
        <v>0</v>
      </c>
      <c r="F106" s="44">
        <f t="shared" si="20"/>
        <v>0</v>
      </c>
      <c r="G106" s="44">
        <f t="shared" si="20"/>
        <v>0</v>
      </c>
      <c r="H106" s="44">
        <f t="shared" si="20"/>
        <v>0</v>
      </c>
      <c r="I106" s="44">
        <f t="shared" si="20"/>
        <v>0</v>
      </c>
      <c r="J106" s="44">
        <f t="shared" si="20"/>
        <v>0</v>
      </c>
      <c r="K106" s="44">
        <f t="shared" si="20"/>
        <v>0</v>
      </c>
      <c r="L106" s="44">
        <f t="shared" si="20"/>
        <v>0</v>
      </c>
      <c r="M106" s="44">
        <f t="shared" si="20"/>
        <v>0</v>
      </c>
      <c r="N106" s="44">
        <f t="shared" si="18"/>
        <v>0</v>
      </c>
      <c r="O106" s="41">
        <f>INDEX(References!$C$2:$C$38,MATCH(C106,References!$A$2:$A$38,0))</f>
        <v>208</v>
      </c>
      <c r="P106" s="42">
        <v>0</v>
      </c>
      <c r="Q106" s="43">
        <f t="shared" si="19"/>
        <v>0</v>
      </c>
    </row>
    <row r="107" spans="2:17" x14ac:dyDescent="0.2">
      <c r="B107" s="237"/>
      <c r="C107" t="s">
        <v>48</v>
      </c>
      <c r="D107" s="44">
        <f t="shared" si="20"/>
        <v>0</v>
      </c>
      <c r="E107" s="44">
        <f t="shared" si="20"/>
        <v>0</v>
      </c>
      <c r="F107" s="44">
        <f t="shared" si="20"/>
        <v>0</v>
      </c>
      <c r="G107" s="44">
        <f t="shared" si="20"/>
        <v>0</v>
      </c>
      <c r="H107" s="44">
        <f t="shared" si="20"/>
        <v>0</v>
      </c>
      <c r="I107" s="44">
        <f t="shared" si="20"/>
        <v>0</v>
      </c>
      <c r="J107" s="44">
        <f t="shared" si="20"/>
        <v>0</v>
      </c>
      <c r="K107" s="44">
        <f t="shared" si="20"/>
        <v>0</v>
      </c>
      <c r="L107" s="44">
        <f t="shared" si="20"/>
        <v>0</v>
      </c>
      <c r="M107" s="44">
        <f t="shared" si="20"/>
        <v>0</v>
      </c>
      <c r="N107" s="44">
        <f t="shared" si="18"/>
        <v>0</v>
      </c>
      <c r="O107" s="41">
        <f>INDEX(References!$C$2:$C$38,MATCH(C107,References!$A$2:$A$38,0))</f>
        <v>2514</v>
      </c>
      <c r="P107" s="42">
        <v>0</v>
      </c>
      <c r="Q107" s="43">
        <f t="shared" si="19"/>
        <v>0</v>
      </c>
    </row>
    <row r="108" spans="2:17" x14ac:dyDescent="0.2">
      <c r="B108" s="237"/>
      <c r="C108" t="s">
        <v>49</v>
      </c>
      <c r="D108" s="44">
        <f t="shared" si="20"/>
        <v>0</v>
      </c>
      <c r="E108" s="44">
        <f t="shared" si="20"/>
        <v>0</v>
      </c>
      <c r="F108" s="44">
        <f t="shared" si="20"/>
        <v>0</v>
      </c>
      <c r="G108" s="44">
        <f t="shared" si="20"/>
        <v>0</v>
      </c>
      <c r="H108" s="44">
        <f t="shared" si="20"/>
        <v>0</v>
      </c>
      <c r="I108" s="44">
        <f t="shared" si="20"/>
        <v>0</v>
      </c>
      <c r="J108" s="44">
        <f t="shared" si="20"/>
        <v>0</v>
      </c>
      <c r="K108" s="44">
        <f t="shared" si="20"/>
        <v>0</v>
      </c>
      <c r="L108" s="44">
        <f t="shared" si="20"/>
        <v>0</v>
      </c>
      <c r="M108" s="44">
        <f t="shared" si="20"/>
        <v>0</v>
      </c>
      <c r="N108" s="44">
        <f t="shared" si="18"/>
        <v>0</v>
      </c>
      <c r="O108" s="41">
        <f>INDEX(References!$C$2:$C$38,MATCH(C108,References!$A$2:$A$38,0))</f>
        <v>9211</v>
      </c>
      <c r="P108" s="42">
        <v>0</v>
      </c>
      <c r="Q108" s="43">
        <f t="shared" si="19"/>
        <v>0</v>
      </c>
    </row>
    <row r="109" spans="2:17" x14ac:dyDescent="0.2">
      <c r="B109" s="237"/>
      <c r="C109" t="s">
        <v>50</v>
      </c>
      <c r="D109" s="44">
        <f t="shared" si="20"/>
        <v>0</v>
      </c>
      <c r="E109" s="44">
        <f t="shared" si="20"/>
        <v>0</v>
      </c>
      <c r="F109" s="44">
        <f t="shared" si="20"/>
        <v>0</v>
      </c>
      <c r="G109" s="44">
        <f t="shared" si="20"/>
        <v>0</v>
      </c>
      <c r="H109" s="44">
        <f t="shared" si="20"/>
        <v>0</v>
      </c>
      <c r="I109" s="44">
        <f t="shared" si="20"/>
        <v>0</v>
      </c>
      <c r="J109" s="44">
        <f t="shared" si="20"/>
        <v>0</v>
      </c>
      <c r="K109" s="44">
        <f t="shared" si="20"/>
        <v>0</v>
      </c>
      <c r="L109" s="44">
        <f t="shared" si="20"/>
        <v>0</v>
      </c>
      <c r="M109" s="44">
        <f t="shared" si="20"/>
        <v>0</v>
      </c>
      <c r="N109" s="44">
        <f t="shared" si="18"/>
        <v>0</v>
      </c>
      <c r="O109" s="41">
        <f>INDEX(References!$C$2:$C$38,MATCH(C109,References!$A$2:$A$38,0))</f>
        <v>2936</v>
      </c>
      <c r="P109" s="42">
        <v>0</v>
      </c>
      <c r="Q109" s="43">
        <f t="shared" si="19"/>
        <v>0</v>
      </c>
    </row>
    <row r="110" spans="2:17" x14ac:dyDescent="0.2">
      <c r="B110" t="s">
        <v>88</v>
      </c>
      <c r="C110" t="s">
        <v>15</v>
      </c>
      <c r="D110" s="44">
        <f t="shared" si="20"/>
        <v>0</v>
      </c>
      <c r="E110" s="44">
        <f t="shared" si="20"/>
        <v>0</v>
      </c>
      <c r="F110" s="44">
        <f t="shared" si="20"/>
        <v>0</v>
      </c>
      <c r="G110" s="44">
        <f t="shared" si="20"/>
        <v>0</v>
      </c>
      <c r="H110" s="44">
        <f t="shared" si="20"/>
        <v>0</v>
      </c>
      <c r="I110" s="44">
        <f t="shared" si="20"/>
        <v>0</v>
      </c>
      <c r="J110" s="44">
        <f t="shared" si="20"/>
        <v>0</v>
      </c>
      <c r="K110" s="44">
        <f t="shared" si="20"/>
        <v>0</v>
      </c>
      <c r="L110" s="44">
        <f t="shared" si="20"/>
        <v>0</v>
      </c>
      <c r="M110" s="44">
        <f t="shared" si="20"/>
        <v>0</v>
      </c>
      <c r="N110" s="44">
        <f t="shared" si="18"/>
        <v>0</v>
      </c>
      <c r="O110" s="41">
        <f>INDEX(References!$C$2:$C$38,MATCH(C110,References!$A$2:$A$38,0))</f>
        <v>12907</v>
      </c>
      <c r="P110" s="42">
        <v>0</v>
      </c>
      <c r="Q110" s="43">
        <f t="shared" si="19"/>
        <v>0</v>
      </c>
    </row>
    <row r="111" spans="2:17" x14ac:dyDescent="0.2">
      <c r="B111" t="s">
        <v>90</v>
      </c>
      <c r="C111" t="s">
        <v>23</v>
      </c>
      <c r="D111" s="44">
        <f t="shared" si="20"/>
        <v>0</v>
      </c>
      <c r="E111" s="44">
        <f t="shared" si="20"/>
        <v>0</v>
      </c>
      <c r="F111" s="44">
        <f t="shared" si="20"/>
        <v>0</v>
      </c>
      <c r="G111" s="44">
        <f t="shared" si="20"/>
        <v>0</v>
      </c>
      <c r="H111" s="44">
        <f t="shared" si="20"/>
        <v>0</v>
      </c>
      <c r="I111" s="44">
        <f t="shared" si="20"/>
        <v>0</v>
      </c>
      <c r="J111" s="44">
        <f t="shared" si="20"/>
        <v>0</v>
      </c>
      <c r="K111" s="44">
        <f t="shared" si="20"/>
        <v>0</v>
      </c>
      <c r="L111" s="44">
        <f t="shared" si="20"/>
        <v>0</v>
      </c>
      <c r="M111" s="44">
        <f t="shared" si="20"/>
        <v>0</v>
      </c>
      <c r="N111" s="44">
        <f t="shared" si="18"/>
        <v>0</v>
      </c>
      <c r="O111" s="41">
        <f>INDEX(References!$C$2:$C$38,MATCH(C111,References!$A$2:$A$38,0))</f>
        <v>10358</v>
      </c>
      <c r="P111" s="42">
        <v>0</v>
      </c>
      <c r="Q111" s="43">
        <f t="shared" si="19"/>
        <v>0</v>
      </c>
    </row>
    <row r="112" spans="2:17" x14ac:dyDescent="0.2">
      <c r="B112" s="237" t="s">
        <v>89</v>
      </c>
      <c r="C112" t="s">
        <v>18</v>
      </c>
      <c r="D112" s="44">
        <f t="shared" si="20"/>
        <v>0</v>
      </c>
      <c r="E112" s="44">
        <f t="shared" si="20"/>
        <v>0</v>
      </c>
      <c r="F112" s="44">
        <f t="shared" si="20"/>
        <v>0</v>
      </c>
      <c r="G112" s="44">
        <f t="shared" si="20"/>
        <v>0</v>
      </c>
      <c r="H112" s="44">
        <f t="shared" si="20"/>
        <v>0</v>
      </c>
      <c r="I112" s="44">
        <f t="shared" si="20"/>
        <v>0</v>
      </c>
      <c r="J112" s="44">
        <f t="shared" si="20"/>
        <v>0</v>
      </c>
      <c r="K112" s="44">
        <f t="shared" si="20"/>
        <v>0</v>
      </c>
      <c r="L112" s="44">
        <f t="shared" si="20"/>
        <v>0</v>
      </c>
      <c r="M112" s="44">
        <f t="shared" si="20"/>
        <v>0</v>
      </c>
      <c r="N112" s="44">
        <f t="shared" si="18"/>
        <v>0</v>
      </c>
      <c r="O112" s="41">
        <f>INDEX(References!$C$2:$C$38,MATCH(C112,References!$A$2:$A$38,0))</f>
        <v>5936</v>
      </c>
      <c r="P112" s="42">
        <v>0</v>
      </c>
      <c r="Q112" s="43">
        <f t="shared" si="19"/>
        <v>0</v>
      </c>
    </row>
    <row r="113" spans="2:17" x14ac:dyDescent="0.2">
      <c r="B113" s="237"/>
      <c r="C113" t="s">
        <v>19</v>
      </c>
      <c r="D113" s="44">
        <f t="shared" si="20"/>
        <v>0</v>
      </c>
      <c r="E113" s="44">
        <f t="shared" si="20"/>
        <v>0</v>
      </c>
      <c r="F113" s="44">
        <f t="shared" si="20"/>
        <v>0</v>
      </c>
      <c r="G113" s="44">
        <f t="shared" si="20"/>
        <v>0</v>
      </c>
      <c r="H113" s="44">
        <f t="shared" si="20"/>
        <v>0</v>
      </c>
      <c r="I113" s="44">
        <f t="shared" si="20"/>
        <v>0</v>
      </c>
      <c r="J113" s="44">
        <f t="shared" si="20"/>
        <v>0</v>
      </c>
      <c r="K113" s="44">
        <f t="shared" si="20"/>
        <v>0</v>
      </c>
      <c r="L113" s="44">
        <f t="shared" si="20"/>
        <v>0</v>
      </c>
      <c r="M113" s="44">
        <f t="shared" si="20"/>
        <v>0</v>
      </c>
      <c r="N113" s="44">
        <f t="shared" si="18"/>
        <v>0</v>
      </c>
      <c r="O113" s="41">
        <f>INDEX(References!$C$2:$C$38,MATCH(C113,References!$A$2:$A$38,0))</f>
        <v>3094</v>
      </c>
      <c r="P113" s="42">
        <v>0</v>
      </c>
      <c r="Q113" s="43">
        <f t="shared" si="19"/>
        <v>0</v>
      </c>
    </row>
    <row r="114" spans="2:17" x14ac:dyDescent="0.2">
      <c r="B114" s="237"/>
      <c r="C114" t="s">
        <v>20</v>
      </c>
      <c r="D114" s="44">
        <f t="shared" ref="D114:M123" si="21">$Q114*D$2</f>
        <v>0</v>
      </c>
      <c r="E114" s="44">
        <f t="shared" si="21"/>
        <v>0</v>
      </c>
      <c r="F114" s="44">
        <f t="shared" si="21"/>
        <v>0</v>
      </c>
      <c r="G114" s="44">
        <f t="shared" si="21"/>
        <v>0</v>
      </c>
      <c r="H114" s="44">
        <f t="shared" si="21"/>
        <v>0</v>
      </c>
      <c r="I114" s="44">
        <f t="shared" si="21"/>
        <v>0</v>
      </c>
      <c r="J114" s="44">
        <f t="shared" si="21"/>
        <v>0</v>
      </c>
      <c r="K114" s="44">
        <f t="shared" si="21"/>
        <v>0</v>
      </c>
      <c r="L114" s="44">
        <f t="shared" si="21"/>
        <v>0</v>
      </c>
      <c r="M114" s="44">
        <f t="shared" si="21"/>
        <v>0</v>
      </c>
      <c r="N114" s="44">
        <f t="shared" si="18"/>
        <v>0</v>
      </c>
      <c r="O114" s="41">
        <f>INDEX(References!$C$2:$C$38,MATCH(C114,References!$A$2:$A$38,0))</f>
        <v>1165</v>
      </c>
      <c r="P114" s="42">
        <v>0</v>
      </c>
      <c r="Q114" s="43">
        <f t="shared" si="19"/>
        <v>0</v>
      </c>
    </row>
    <row r="115" spans="2:17" x14ac:dyDescent="0.2">
      <c r="B115" s="237"/>
      <c r="C115" t="s">
        <v>21</v>
      </c>
      <c r="D115" s="44">
        <f t="shared" si="21"/>
        <v>0</v>
      </c>
      <c r="E115" s="44">
        <f t="shared" si="21"/>
        <v>0</v>
      </c>
      <c r="F115" s="44">
        <f t="shared" si="21"/>
        <v>0</v>
      </c>
      <c r="G115" s="44">
        <f t="shared" si="21"/>
        <v>0</v>
      </c>
      <c r="H115" s="44">
        <f t="shared" si="21"/>
        <v>0</v>
      </c>
      <c r="I115" s="44">
        <f t="shared" si="21"/>
        <v>0</v>
      </c>
      <c r="J115" s="44">
        <f t="shared" si="21"/>
        <v>0</v>
      </c>
      <c r="K115" s="44">
        <f t="shared" si="21"/>
        <v>0</v>
      </c>
      <c r="L115" s="44">
        <f t="shared" si="21"/>
        <v>0</v>
      </c>
      <c r="M115" s="44">
        <f t="shared" si="21"/>
        <v>0</v>
      </c>
      <c r="N115" s="44">
        <f t="shared" si="18"/>
        <v>0</v>
      </c>
      <c r="O115" s="41">
        <f>INDEX(References!$C$2:$C$38,MATCH(C115,References!$A$2:$A$38,0))</f>
        <v>3625</v>
      </c>
      <c r="P115" s="42">
        <v>0</v>
      </c>
      <c r="Q115" s="43">
        <f t="shared" si="19"/>
        <v>0</v>
      </c>
    </row>
    <row r="116" spans="2:17" x14ac:dyDescent="0.2">
      <c r="B116" s="237"/>
      <c r="C116" t="s">
        <v>22</v>
      </c>
      <c r="D116" s="44">
        <f t="shared" si="21"/>
        <v>0</v>
      </c>
      <c r="E116" s="44">
        <f t="shared" si="21"/>
        <v>0</v>
      </c>
      <c r="F116" s="44">
        <f t="shared" si="21"/>
        <v>0</v>
      </c>
      <c r="G116" s="44">
        <f t="shared" si="21"/>
        <v>0</v>
      </c>
      <c r="H116" s="44">
        <f t="shared" si="21"/>
        <v>0</v>
      </c>
      <c r="I116" s="44">
        <f t="shared" si="21"/>
        <v>0</v>
      </c>
      <c r="J116" s="44">
        <f t="shared" si="21"/>
        <v>0</v>
      </c>
      <c r="K116" s="44">
        <f t="shared" si="21"/>
        <v>0</v>
      </c>
      <c r="L116" s="44">
        <f t="shared" si="21"/>
        <v>0</v>
      </c>
      <c r="M116" s="44">
        <f t="shared" si="21"/>
        <v>0</v>
      </c>
      <c r="N116" s="44">
        <f t="shared" si="18"/>
        <v>0</v>
      </c>
      <c r="O116" s="41">
        <f>INDEX(References!$C$2:$C$38,MATCH(C116,References!$A$2:$A$38,0))</f>
        <v>3216</v>
      </c>
      <c r="P116" s="42">
        <v>0</v>
      </c>
      <c r="Q116" s="43">
        <f t="shared" si="19"/>
        <v>0</v>
      </c>
    </row>
    <row r="117" spans="2:17" x14ac:dyDescent="0.2">
      <c r="B117" s="237"/>
      <c r="C117" t="s">
        <v>24</v>
      </c>
      <c r="D117" s="44">
        <f t="shared" si="21"/>
        <v>2368748.4700000002</v>
      </c>
      <c r="E117" s="44">
        <f t="shared" si="21"/>
        <v>1909280.45</v>
      </c>
      <c r="F117" s="44">
        <f t="shared" si="21"/>
        <v>2511700.0699999998</v>
      </c>
      <c r="G117" s="44">
        <f t="shared" si="21"/>
        <v>1470243.72</v>
      </c>
      <c r="H117" s="44">
        <f t="shared" si="21"/>
        <v>1092500.8600000001</v>
      </c>
      <c r="I117" s="44">
        <f t="shared" si="21"/>
        <v>1026082.3099999999</v>
      </c>
      <c r="J117" s="44">
        <f t="shared" si="21"/>
        <v>627908.16</v>
      </c>
      <c r="K117" s="44">
        <f t="shared" si="21"/>
        <v>229734.01</v>
      </c>
      <c r="L117" s="44">
        <f t="shared" si="21"/>
        <v>229734.01</v>
      </c>
      <c r="M117" s="44">
        <f t="shared" si="21"/>
        <v>71475.8</v>
      </c>
      <c r="N117" s="44">
        <f t="shared" si="18"/>
        <v>11537407.860000001</v>
      </c>
      <c r="O117" s="41">
        <f>INDEX(References!$C$2:$C$38,MATCH(C117,References!$A$2:$A$38,0))</f>
        <v>6743</v>
      </c>
      <c r="P117" s="42">
        <v>1</v>
      </c>
      <c r="Q117" s="43">
        <f t="shared" si="19"/>
        <v>6743</v>
      </c>
    </row>
    <row r="118" spans="2:17" x14ac:dyDescent="0.2">
      <c r="B118" s="237"/>
      <c r="C118" t="s">
        <v>26</v>
      </c>
      <c r="D118" s="44">
        <f t="shared" si="21"/>
        <v>0</v>
      </c>
      <c r="E118" s="44">
        <f t="shared" si="21"/>
        <v>0</v>
      </c>
      <c r="F118" s="44">
        <f t="shared" si="21"/>
        <v>0</v>
      </c>
      <c r="G118" s="44">
        <f t="shared" si="21"/>
        <v>0</v>
      </c>
      <c r="H118" s="44">
        <f t="shared" si="21"/>
        <v>0</v>
      </c>
      <c r="I118" s="44">
        <f t="shared" si="21"/>
        <v>0</v>
      </c>
      <c r="J118" s="44">
        <f t="shared" si="21"/>
        <v>0</v>
      </c>
      <c r="K118" s="44">
        <f t="shared" si="21"/>
        <v>0</v>
      </c>
      <c r="L118" s="44">
        <f t="shared" si="21"/>
        <v>0</v>
      </c>
      <c r="M118" s="44">
        <f t="shared" si="21"/>
        <v>0</v>
      </c>
      <c r="N118" s="44">
        <f t="shared" si="18"/>
        <v>0</v>
      </c>
      <c r="O118" s="41">
        <f>INDEX(References!$C$2:$C$38,MATCH(C118,References!$A$2:$A$38,0))</f>
        <v>6060</v>
      </c>
      <c r="P118" s="42">
        <v>0</v>
      </c>
      <c r="Q118" s="43">
        <f t="shared" si="19"/>
        <v>0</v>
      </c>
    </row>
    <row r="119" spans="2:17" x14ac:dyDescent="0.2">
      <c r="B119" s="237"/>
      <c r="C119" t="s">
        <v>27</v>
      </c>
      <c r="D119" s="44">
        <f t="shared" si="21"/>
        <v>0</v>
      </c>
      <c r="E119" s="44">
        <f t="shared" si="21"/>
        <v>0</v>
      </c>
      <c r="F119" s="44">
        <f t="shared" si="21"/>
        <v>0</v>
      </c>
      <c r="G119" s="44">
        <f t="shared" si="21"/>
        <v>0</v>
      </c>
      <c r="H119" s="44">
        <f t="shared" si="21"/>
        <v>0</v>
      </c>
      <c r="I119" s="44">
        <f t="shared" si="21"/>
        <v>0</v>
      </c>
      <c r="J119" s="44">
        <f t="shared" si="21"/>
        <v>0</v>
      </c>
      <c r="K119" s="44">
        <f t="shared" si="21"/>
        <v>0</v>
      </c>
      <c r="L119" s="44">
        <f t="shared" si="21"/>
        <v>0</v>
      </c>
      <c r="M119" s="44">
        <f t="shared" si="21"/>
        <v>0</v>
      </c>
      <c r="N119" s="44">
        <f t="shared" si="18"/>
        <v>0</v>
      </c>
      <c r="O119" s="41">
        <f>INDEX(References!$C$2:$C$38,MATCH(C119,References!$A$2:$A$38,0))</f>
        <v>12127</v>
      </c>
      <c r="P119" s="42">
        <v>0</v>
      </c>
      <c r="Q119" s="43">
        <f t="shared" si="19"/>
        <v>0</v>
      </c>
    </row>
    <row r="120" spans="2:17" x14ac:dyDescent="0.2">
      <c r="B120" s="237"/>
      <c r="C120" t="s">
        <v>29</v>
      </c>
      <c r="D120" s="44">
        <f t="shared" si="21"/>
        <v>0</v>
      </c>
      <c r="E120" s="44">
        <f t="shared" si="21"/>
        <v>0</v>
      </c>
      <c r="F120" s="44">
        <f t="shared" si="21"/>
        <v>0</v>
      </c>
      <c r="G120" s="44">
        <f t="shared" si="21"/>
        <v>0</v>
      </c>
      <c r="H120" s="44">
        <f t="shared" si="21"/>
        <v>0</v>
      </c>
      <c r="I120" s="44">
        <f t="shared" si="21"/>
        <v>0</v>
      </c>
      <c r="J120" s="44">
        <f t="shared" si="21"/>
        <v>0</v>
      </c>
      <c r="K120" s="44">
        <f t="shared" si="21"/>
        <v>0</v>
      </c>
      <c r="L120" s="44">
        <f t="shared" si="21"/>
        <v>0</v>
      </c>
      <c r="M120" s="44">
        <f t="shared" si="21"/>
        <v>0</v>
      </c>
      <c r="N120" s="44">
        <f t="shared" si="18"/>
        <v>0</v>
      </c>
      <c r="O120" s="41">
        <f>INDEX(References!$C$2:$C$38,MATCH(C120,References!$A$2:$A$38,0))</f>
        <v>35663</v>
      </c>
      <c r="P120" s="42">
        <v>0</v>
      </c>
      <c r="Q120" s="43">
        <f t="shared" si="19"/>
        <v>0</v>
      </c>
    </row>
    <row r="121" spans="2:17" x14ac:dyDescent="0.2">
      <c r="B121" s="237"/>
      <c r="C121" t="s">
        <v>31</v>
      </c>
      <c r="D121" s="44">
        <f t="shared" si="21"/>
        <v>0</v>
      </c>
      <c r="E121" s="44">
        <f t="shared" si="21"/>
        <v>0</v>
      </c>
      <c r="F121" s="44">
        <f t="shared" si="21"/>
        <v>0</v>
      </c>
      <c r="G121" s="44">
        <f t="shared" si="21"/>
        <v>0</v>
      </c>
      <c r="H121" s="44">
        <f t="shared" si="21"/>
        <v>0</v>
      </c>
      <c r="I121" s="44">
        <f t="shared" si="21"/>
        <v>0</v>
      </c>
      <c r="J121" s="44">
        <f t="shared" si="21"/>
        <v>0</v>
      </c>
      <c r="K121" s="44">
        <f t="shared" si="21"/>
        <v>0</v>
      </c>
      <c r="L121" s="44">
        <f t="shared" si="21"/>
        <v>0</v>
      </c>
      <c r="M121" s="44">
        <f t="shared" si="21"/>
        <v>0</v>
      </c>
      <c r="N121" s="44">
        <f t="shared" si="18"/>
        <v>0</v>
      </c>
      <c r="O121" s="41">
        <f>INDEX(References!$C$2:$C$38,MATCH(C121,References!$A$2:$A$38,0))</f>
        <v>24750</v>
      </c>
      <c r="P121" s="42">
        <v>0</v>
      </c>
      <c r="Q121" s="43">
        <f t="shared" si="19"/>
        <v>0</v>
      </c>
    </row>
    <row r="122" spans="2:17" x14ac:dyDescent="0.2">
      <c r="B122" s="237"/>
      <c r="C122" t="s">
        <v>32</v>
      </c>
      <c r="D122" s="44">
        <f t="shared" si="21"/>
        <v>0</v>
      </c>
      <c r="E122" s="44">
        <f t="shared" si="21"/>
        <v>0</v>
      </c>
      <c r="F122" s="44">
        <f t="shared" si="21"/>
        <v>0</v>
      </c>
      <c r="G122" s="44">
        <f t="shared" si="21"/>
        <v>0</v>
      </c>
      <c r="H122" s="44">
        <f t="shared" si="21"/>
        <v>0</v>
      </c>
      <c r="I122" s="44">
        <f t="shared" si="21"/>
        <v>0</v>
      </c>
      <c r="J122" s="44">
        <f t="shared" si="21"/>
        <v>0</v>
      </c>
      <c r="K122" s="44">
        <f t="shared" si="21"/>
        <v>0</v>
      </c>
      <c r="L122" s="44">
        <f t="shared" si="21"/>
        <v>0</v>
      </c>
      <c r="M122" s="44">
        <f t="shared" si="21"/>
        <v>0</v>
      </c>
      <c r="N122" s="44">
        <f t="shared" si="18"/>
        <v>0</v>
      </c>
      <c r="O122" s="41">
        <f>INDEX(References!$C$2:$C$38,MATCH(C122,References!$A$2:$A$38,0))</f>
        <v>7193</v>
      </c>
      <c r="P122" s="42">
        <v>0</v>
      </c>
      <c r="Q122" s="43">
        <f t="shared" si="19"/>
        <v>0</v>
      </c>
    </row>
    <row r="123" spans="2:17" x14ac:dyDescent="0.2">
      <c r="B123" s="237"/>
      <c r="C123" t="s">
        <v>33</v>
      </c>
      <c r="D123" s="44">
        <f t="shared" si="21"/>
        <v>0</v>
      </c>
      <c r="E123" s="44">
        <f t="shared" si="21"/>
        <v>0</v>
      </c>
      <c r="F123" s="44">
        <f t="shared" si="21"/>
        <v>0</v>
      </c>
      <c r="G123" s="44">
        <f t="shared" si="21"/>
        <v>0</v>
      </c>
      <c r="H123" s="44">
        <f t="shared" si="21"/>
        <v>0</v>
      </c>
      <c r="I123" s="44">
        <f t="shared" si="21"/>
        <v>0</v>
      </c>
      <c r="J123" s="44">
        <f t="shared" si="21"/>
        <v>0</v>
      </c>
      <c r="K123" s="44">
        <f t="shared" si="21"/>
        <v>0</v>
      </c>
      <c r="L123" s="44">
        <f t="shared" si="21"/>
        <v>0</v>
      </c>
      <c r="M123" s="44">
        <f t="shared" si="21"/>
        <v>0</v>
      </c>
      <c r="N123" s="44">
        <f t="shared" si="18"/>
        <v>0</v>
      </c>
      <c r="O123" s="41">
        <f>INDEX(References!$C$2:$C$38,MATCH(C123,References!$A$2:$A$38,0))</f>
        <v>1809</v>
      </c>
      <c r="P123" s="42">
        <v>0</v>
      </c>
      <c r="Q123" s="43">
        <f t="shared" si="19"/>
        <v>0</v>
      </c>
    </row>
    <row r="124" spans="2:17" x14ac:dyDescent="0.2">
      <c r="B124" s="237"/>
      <c r="C124" t="s">
        <v>34</v>
      </c>
      <c r="D124" s="44">
        <f t="shared" ref="D124:N133" si="22">$Q124*D$2</f>
        <v>338994.85000000003</v>
      </c>
      <c r="E124" s="44">
        <f t="shared" si="22"/>
        <v>273239.75</v>
      </c>
      <c r="F124" s="44">
        <f t="shared" si="22"/>
        <v>359452.85000000003</v>
      </c>
      <c r="G124" s="44">
        <f t="shared" si="22"/>
        <v>210408.6</v>
      </c>
      <c r="H124" s="44">
        <f t="shared" si="22"/>
        <v>156349.30000000002</v>
      </c>
      <c r="I124" s="44">
        <f t="shared" si="22"/>
        <v>146844.04999999999</v>
      </c>
      <c r="J124" s="44">
        <f t="shared" si="22"/>
        <v>89860.800000000003</v>
      </c>
      <c r="K124" s="44">
        <f t="shared" si="22"/>
        <v>32877.550000000003</v>
      </c>
      <c r="L124" s="44">
        <f t="shared" si="22"/>
        <v>32877.550000000003</v>
      </c>
      <c r="M124" s="44">
        <f t="shared" si="22"/>
        <v>10229</v>
      </c>
      <c r="N124" s="44">
        <f t="shared" si="18"/>
        <v>1651134.3000000005</v>
      </c>
      <c r="O124" s="41">
        <f>INDEX(References!$C$2:$C$38,MATCH(C124,References!$A$2:$A$38,0))</f>
        <v>965</v>
      </c>
      <c r="P124" s="42">
        <v>1</v>
      </c>
      <c r="Q124" s="43">
        <f t="shared" si="19"/>
        <v>965</v>
      </c>
    </row>
    <row r="125" spans="2:17" x14ac:dyDescent="0.2">
      <c r="B125" s="237"/>
      <c r="C125" t="s">
        <v>35</v>
      </c>
      <c r="D125" s="44">
        <f t="shared" si="22"/>
        <v>837124.07000000007</v>
      </c>
      <c r="E125" s="44">
        <f t="shared" si="22"/>
        <v>674746.45</v>
      </c>
      <c r="F125" s="44">
        <f t="shared" si="22"/>
        <v>887643.67</v>
      </c>
      <c r="G125" s="44">
        <f t="shared" si="22"/>
        <v>519589.32</v>
      </c>
      <c r="H125" s="44">
        <f t="shared" si="22"/>
        <v>386093.66000000003</v>
      </c>
      <c r="I125" s="44">
        <f t="shared" si="22"/>
        <v>362621.11</v>
      </c>
      <c r="J125" s="44">
        <f t="shared" si="22"/>
        <v>221904.96000000002</v>
      </c>
      <c r="K125" s="44">
        <f t="shared" si="22"/>
        <v>81188.81</v>
      </c>
      <c r="L125" s="44">
        <f t="shared" si="22"/>
        <v>81188.81</v>
      </c>
      <c r="M125" s="44">
        <f t="shared" si="22"/>
        <v>25259.8</v>
      </c>
      <c r="N125" s="44">
        <f t="shared" si="18"/>
        <v>4077360.6599999997</v>
      </c>
      <c r="O125" s="41">
        <f>INDEX(References!$C$2:$C$38,MATCH(C125,References!$A$2:$A$38,0))</f>
        <v>2383</v>
      </c>
      <c r="P125" s="42">
        <v>1</v>
      </c>
      <c r="Q125" s="43">
        <f t="shared" si="19"/>
        <v>2383</v>
      </c>
    </row>
    <row r="126" spans="2:17" x14ac:dyDescent="0.2">
      <c r="B126" s="237"/>
      <c r="C126" t="s">
        <v>36</v>
      </c>
      <c r="D126" s="44">
        <f t="shared" si="22"/>
        <v>867686.3</v>
      </c>
      <c r="E126" s="44">
        <f t="shared" si="22"/>
        <v>699380.5</v>
      </c>
      <c r="F126" s="44">
        <f t="shared" si="22"/>
        <v>920050.3</v>
      </c>
      <c r="G126" s="44">
        <f t="shared" si="22"/>
        <v>538558.79999999993</v>
      </c>
      <c r="H126" s="44">
        <f t="shared" si="22"/>
        <v>400189.4</v>
      </c>
      <c r="I126" s="44">
        <f t="shared" si="22"/>
        <v>375859.89999999997</v>
      </c>
      <c r="J126" s="44">
        <f t="shared" si="22"/>
        <v>230006.40000000002</v>
      </c>
      <c r="K126" s="44">
        <f t="shared" si="22"/>
        <v>84152.9</v>
      </c>
      <c r="L126" s="44">
        <f t="shared" si="22"/>
        <v>84152.9</v>
      </c>
      <c r="M126" s="44">
        <f t="shared" si="22"/>
        <v>26182</v>
      </c>
      <c r="N126" s="44">
        <f t="shared" si="18"/>
        <v>4226219.3999999994</v>
      </c>
      <c r="O126" s="41">
        <f>INDEX(References!$C$2:$C$38,MATCH(C126,References!$A$2:$A$38,0))</f>
        <v>2470</v>
      </c>
      <c r="P126" s="42">
        <v>1</v>
      </c>
      <c r="Q126" s="43">
        <f t="shared" si="19"/>
        <v>2470</v>
      </c>
    </row>
    <row r="127" spans="2:17" x14ac:dyDescent="0.2">
      <c r="B127" s="237"/>
      <c r="C127" t="s">
        <v>37</v>
      </c>
      <c r="D127" s="44">
        <f t="shared" si="22"/>
        <v>1943687.57</v>
      </c>
      <c r="E127" s="44">
        <f t="shared" si="22"/>
        <v>1566668.95</v>
      </c>
      <c r="F127" s="44">
        <f t="shared" si="22"/>
        <v>2060987.1700000002</v>
      </c>
      <c r="G127" s="44">
        <f t="shared" si="22"/>
        <v>1206415.32</v>
      </c>
      <c r="H127" s="44">
        <f t="shared" si="22"/>
        <v>896456.66</v>
      </c>
      <c r="I127" s="44">
        <f t="shared" si="22"/>
        <v>841956.61</v>
      </c>
      <c r="J127" s="44">
        <f t="shared" si="22"/>
        <v>515232.96</v>
      </c>
      <c r="K127" s="44">
        <f t="shared" si="22"/>
        <v>188509.31</v>
      </c>
      <c r="L127" s="44">
        <f t="shared" si="22"/>
        <v>188509.31</v>
      </c>
      <c r="M127" s="44">
        <f t="shared" si="22"/>
        <v>58649.799999999996</v>
      </c>
      <c r="N127" s="44">
        <f t="shared" si="18"/>
        <v>9467073.6600000039</v>
      </c>
      <c r="O127" s="41">
        <f>INDEX(References!$C$2:$C$38,MATCH(C127,References!$A$2:$A$38,0))</f>
        <v>5533</v>
      </c>
      <c r="P127" s="42">
        <v>1</v>
      </c>
      <c r="Q127" s="43">
        <f t="shared" si="19"/>
        <v>5533</v>
      </c>
    </row>
    <row r="128" spans="2:17" x14ac:dyDescent="0.2">
      <c r="B128" s="237"/>
      <c r="C128" t="s">
        <v>38</v>
      </c>
      <c r="D128" s="44">
        <f t="shared" si="22"/>
        <v>1480336.06</v>
      </c>
      <c r="E128" s="44">
        <f t="shared" si="22"/>
        <v>1193194.0999999999</v>
      </c>
      <c r="F128" s="44">
        <f t="shared" si="22"/>
        <v>1569672.86</v>
      </c>
      <c r="G128" s="44">
        <f t="shared" si="22"/>
        <v>918820.55999999994</v>
      </c>
      <c r="H128" s="44">
        <f t="shared" si="22"/>
        <v>682752.28</v>
      </c>
      <c r="I128" s="44">
        <f t="shared" si="22"/>
        <v>641244.38</v>
      </c>
      <c r="J128" s="44">
        <f t="shared" si="22"/>
        <v>392407.68</v>
      </c>
      <c r="K128" s="44">
        <f t="shared" si="22"/>
        <v>143570.98000000001</v>
      </c>
      <c r="L128" s="44">
        <f t="shared" si="22"/>
        <v>143570.98000000001</v>
      </c>
      <c r="M128" s="44">
        <f t="shared" si="22"/>
        <v>44668.4</v>
      </c>
      <c r="N128" s="44">
        <f t="shared" si="18"/>
        <v>7210238.2800000012</v>
      </c>
      <c r="O128" s="41">
        <f>INDEX(References!$C$2:$C$38,MATCH(C128,References!$A$2:$A$38,0))</f>
        <v>4214</v>
      </c>
      <c r="P128" s="42">
        <v>1</v>
      </c>
      <c r="Q128" s="43">
        <f t="shared" si="19"/>
        <v>4214</v>
      </c>
    </row>
    <row r="129" spans="2:17" x14ac:dyDescent="0.2">
      <c r="B129" s="237"/>
      <c r="C129" t="s">
        <v>39</v>
      </c>
      <c r="D129" s="44">
        <f t="shared" si="22"/>
        <v>271898.46000000002</v>
      </c>
      <c r="E129" s="44">
        <f t="shared" si="22"/>
        <v>219158.09999999998</v>
      </c>
      <c r="F129" s="44">
        <f t="shared" si="22"/>
        <v>288307.26</v>
      </c>
      <c r="G129" s="44">
        <f t="shared" si="22"/>
        <v>168762.96</v>
      </c>
      <c r="H129" s="44">
        <f t="shared" si="22"/>
        <v>125403.48000000001</v>
      </c>
      <c r="I129" s="44">
        <f t="shared" si="22"/>
        <v>117779.57999999999</v>
      </c>
      <c r="J129" s="44">
        <f t="shared" si="22"/>
        <v>72074.880000000005</v>
      </c>
      <c r="K129" s="44">
        <f t="shared" si="22"/>
        <v>26370.18</v>
      </c>
      <c r="L129" s="44">
        <f t="shared" si="22"/>
        <v>26370.18</v>
      </c>
      <c r="M129" s="44">
        <f t="shared" si="22"/>
        <v>8204.4</v>
      </c>
      <c r="N129" s="44">
        <f t="shared" si="18"/>
        <v>1324329.48</v>
      </c>
      <c r="O129" s="41">
        <f>INDEX(References!$C$2:$C$38,MATCH(C129,References!$A$2:$A$38,0))</f>
        <v>774</v>
      </c>
      <c r="P129" s="42">
        <v>1</v>
      </c>
      <c r="Q129" s="43">
        <f t="shared" si="19"/>
        <v>774</v>
      </c>
    </row>
    <row r="130" spans="2:17" x14ac:dyDescent="0.2">
      <c r="B130" s="237"/>
      <c r="C130" t="s">
        <v>40</v>
      </c>
      <c r="D130" s="44">
        <f t="shared" si="22"/>
        <v>1832679.9300000002</v>
      </c>
      <c r="E130" s="44">
        <f t="shared" si="22"/>
        <v>1477193.5499999998</v>
      </c>
      <c r="F130" s="44">
        <f t="shared" si="22"/>
        <v>1943280.33</v>
      </c>
      <c r="G130" s="44">
        <f t="shared" si="22"/>
        <v>1137514.68</v>
      </c>
      <c r="H130" s="44">
        <f t="shared" si="22"/>
        <v>845258.34000000008</v>
      </c>
      <c r="I130" s="44">
        <f t="shared" si="22"/>
        <v>793870.8899999999</v>
      </c>
      <c r="J130" s="44">
        <f t="shared" si="22"/>
        <v>485807.04000000004</v>
      </c>
      <c r="K130" s="44">
        <f t="shared" si="22"/>
        <v>177743.19</v>
      </c>
      <c r="L130" s="44">
        <f t="shared" si="22"/>
        <v>177743.19</v>
      </c>
      <c r="M130" s="44">
        <f t="shared" si="22"/>
        <v>55300.2</v>
      </c>
      <c r="N130" s="44">
        <f t="shared" si="18"/>
        <v>8926391.339999998</v>
      </c>
      <c r="O130" s="41">
        <f>INDEX(References!$C$2:$C$38,MATCH(C130,References!$A$2:$A$38,0))</f>
        <v>5217</v>
      </c>
      <c r="P130" s="42">
        <v>1</v>
      </c>
      <c r="Q130" s="43">
        <f t="shared" si="19"/>
        <v>5217</v>
      </c>
    </row>
    <row r="131" spans="2:17" x14ac:dyDescent="0.2">
      <c r="B131" s="236" t="s">
        <v>109</v>
      </c>
      <c r="C131" t="s">
        <v>110</v>
      </c>
      <c r="D131" s="44">
        <f t="shared" si="22"/>
        <v>4070045.9400000004</v>
      </c>
      <c r="E131" s="44">
        <f t="shared" si="22"/>
        <v>3280575.9</v>
      </c>
      <c r="F131" s="44">
        <f t="shared" si="22"/>
        <v>4315669.1399999997</v>
      </c>
      <c r="G131" s="44">
        <f t="shared" si="22"/>
        <v>2526211.44</v>
      </c>
      <c r="H131" s="44">
        <f t="shared" si="22"/>
        <v>1877163.7200000002</v>
      </c>
      <c r="I131" s="44">
        <f t="shared" si="22"/>
        <v>1763041.6199999999</v>
      </c>
      <c r="J131" s="44">
        <f t="shared" si="22"/>
        <v>1078888.32</v>
      </c>
      <c r="K131" s="44">
        <f t="shared" si="22"/>
        <v>394735.02</v>
      </c>
      <c r="L131" s="44">
        <f t="shared" si="22"/>
        <v>394735.02</v>
      </c>
      <c r="M131" s="44">
        <f t="shared" si="22"/>
        <v>122811.59999999999</v>
      </c>
      <c r="N131" s="44">
        <f t="shared" si="22"/>
        <v>19823877.719999999</v>
      </c>
      <c r="O131" s="41">
        <v>11586</v>
      </c>
      <c r="P131" s="42" t="s">
        <v>124</v>
      </c>
      <c r="Q131" s="43">
        <v>11586</v>
      </c>
    </row>
    <row r="132" spans="2:17" x14ac:dyDescent="0.2">
      <c r="B132" s="236"/>
      <c r="C132" t="s">
        <v>111</v>
      </c>
      <c r="D132" s="44">
        <f t="shared" si="22"/>
        <v>2234204.4</v>
      </c>
      <c r="E132" s="44">
        <f t="shared" si="22"/>
        <v>1800833.9999999998</v>
      </c>
      <c r="F132" s="44">
        <f t="shared" si="22"/>
        <v>2369036.4</v>
      </c>
      <c r="G132" s="44">
        <f t="shared" si="22"/>
        <v>1386734.4</v>
      </c>
      <c r="H132" s="44">
        <f t="shared" si="22"/>
        <v>1030447.2000000001</v>
      </c>
      <c r="I132" s="44">
        <f t="shared" si="22"/>
        <v>967801.2</v>
      </c>
      <c r="J132" s="44">
        <f t="shared" si="22"/>
        <v>592243.20000000007</v>
      </c>
      <c r="K132" s="44">
        <f t="shared" si="22"/>
        <v>216685.2</v>
      </c>
      <c r="L132" s="44">
        <f t="shared" si="22"/>
        <v>216685.2</v>
      </c>
      <c r="M132" s="44">
        <f t="shared" si="22"/>
        <v>67416</v>
      </c>
      <c r="N132" s="44">
        <f t="shared" si="22"/>
        <v>10882087.199999999</v>
      </c>
      <c r="O132" s="41">
        <v>6360</v>
      </c>
      <c r="P132" s="42" t="s">
        <v>124</v>
      </c>
      <c r="Q132" s="43">
        <v>6360</v>
      </c>
    </row>
    <row r="133" spans="2:17" x14ac:dyDescent="0.2">
      <c r="B133" s="236"/>
      <c r="C133" t="s">
        <v>112</v>
      </c>
      <c r="D133" s="44">
        <f t="shared" si="22"/>
        <v>16936744.77</v>
      </c>
      <c r="E133" s="44">
        <f t="shared" si="22"/>
        <v>13651510.949999999</v>
      </c>
      <c r="F133" s="44">
        <f t="shared" si="22"/>
        <v>17958860.370000001</v>
      </c>
      <c r="G133" s="44">
        <f t="shared" si="22"/>
        <v>10512362.52</v>
      </c>
      <c r="H133" s="44">
        <f t="shared" si="22"/>
        <v>7811470.2600000007</v>
      </c>
      <c r="I133" s="44">
        <f t="shared" si="22"/>
        <v>7336572.209999999</v>
      </c>
      <c r="J133" s="44">
        <f t="shared" si="22"/>
        <v>4489594.5600000005</v>
      </c>
      <c r="K133" s="44">
        <f t="shared" si="22"/>
        <v>1642616.91</v>
      </c>
      <c r="L133" s="44">
        <f t="shared" si="22"/>
        <v>1642616.91</v>
      </c>
      <c r="M133" s="44">
        <f t="shared" si="22"/>
        <v>511057.8</v>
      </c>
      <c r="N133" s="44">
        <f t="shared" si="22"/>
        <v>82493407.260000005</v>
      </c>
      <c r="O133" s="41">
        <v>48213</v>
      </c>
      <c r="P133" s="42" t="s">
        <v>124</v>
      </c>
      <c r="Q133" s="43">
        <v>48213</v>
      </c>
    </row>
    <row r="134" spans="2:17" x14ac:dyDescent="0.2">
      <c r="C134" s="16" t="s">
        <v>125</v>
      </c>
      <c r="D134" s="15">
        <f>SUM(D92:D133)</f>
        <v>58222492.669653565</v>
      </c>
      <c r="E134" s="15">
        <f t="shared" ref="E134:N134" si="23">SUM(E92:E133)</f>
        <v>46929029.575030334</v>
      </c>
      <c r="F134" s="15">
        <f t="shared" si="23"/>
        <v>61736161.844969273</v>
      </c>
      <c r="G134" s="15">
        <f t="shared" si="23"/>
        <v>36137755.989897981</v>
      </c>
      <c r="H134" s="15">
        <f t="shared" si="23"/>
        <v>26853050.933238264</v>
      </c>
      <c r="I134" s="15">
        <f t="shared" si="23"/>
        <v>25220520.679612808</v>
      </c>
      <c r="J134" s="15">
        <f t="shared" si="23"/>
        <v>15433626.113462212</v>
      </c>
      <c r="K134" s="15">
        <f t="shared" si="23"/>
        <v>5646731.5473116133</v>
      </c>
      <c r="L134" s="15">
        <f t="shared" si="23"/>
        <v>5646731.5473116133</v>
      </c>
      <c r="M134" s="15">
        <f t="shared" si="23"/>
        <v>1756834.5876578551</v>
      </c>
      <c r="N134" s="15">
        <f t="shared" si="23"/>
        <v>283582935.48814553</v>
      </c>
      <c r="O134" s="46">
        <f>SUM(O94:O133)</f>
        <v>354762.11204319383</v>
      </c>
      <c r="P134" s="47"/>
      <c r="Q134" s="46">
        <f>SUM(Q92:Q133)</f>
        <v>165739.11204319383</v>
      </c>
    </row>
    <row r="135" spans="2:17" x14ac:dyDescent="0.2">
      <c r="C135" s="55" t="s">
        <v>122</v>
      </c>
      <c r="D135" s="48">
        <f>D94+D100</f>
        <v>15208788.619653562</v>
      </c>
      <c r="E135" s="48">
        <f t="shared" ref="E135:N135" si="24">E94+E100</f>
        <v>12258727.825030332</v>
      </c>
      <c r="F135" s="48">
        <f t="shared" si="24"/>
        <v>16126623.79496927</v>
      </c>
      <c r="G135" s="48">
        <f t="shared" si="24"/>
        <v>9439848.1898979824</v>
      </c>
      <c r="H135" s="48">
        <f t="shared" si="24"/>
        <v>7014512.0332382647</v>
      </c>
      <c r="I135" s="48">
        <f t="shared" si="24"/>
        <v>6588065.0296128048</v>
      </c>
      <c r="J135" s="48">
        <f t="shared" si="24"/>
        <v>4031547.7134622098</v>
      </c>
      <c r="K135" s="48">
        <f t="shared" si="24"/>
        <v>1475030.3973116139</v>
      </c>
      <c r="L135" s="48">
        <f t="shared" si="24"/>
        <v>1475030.3973116139</v>
      </c>
      <c r="M135" s="48">
        <f t="shared" si="24"/>
        <v>458917.5876578546</v>
      </c>
      <c r="N135" s="48">
        <f t="shared" si="24"/>
        <v>74077091.588145509</v>
      </c>
      <c r="O135" s="49">
        <f>SUM(O94+O100)</f>
        <v>43294.112043193833</v>
      </c>
      <c r="P135" s="50"/>
      <c r="Q135" s="49">
        <v>43294</v>
      </c>
    </row>
    <row r="136" spans="2:17" x14ac:dyDescent="0.2">
      <c r="C136" s="16" t="s">
        <v>126</v>
      </c>
      <c r="D136" s="57">
        <f>SUM(D94:D130)</f>
        <v>34981497.559653565</v>
      </c>
      <c r="E136" s="57">
        <f t="shared" ref="E136:N136" si="25">SUM(E94:E130)</f>
        <v>28196108.725030337</v>
      </c>
      <c r="F136" s="57">
        <f t="shared" si="25"/>
        <v>37092595.934969269</v>
      </c>
      <c r="G136" s="57">
        <f t="shared" si="25"/>
        <v>21712447.629897982</v>
      </c>
      <c r="H136" s="57">
        <f t="shared" si="25"/>
        <v>16133969.753238264</v>
      </c>
      <c r="I136" s="57">
        <f t="shared" si="25"/>
        <v>15153105.649612807</v>
      </c>
      <c r="J136" s="57">
        <f t="shared" si="25"/>
        <v>9272900.0334622115</v>
      </c>
      <c r="K136" s="57">
        <f t="shared" si="25"/>
        <v>3392694.4173116134</v>
      </c>
      <c r="L136" s="57">
        <f t="shared" si="25"/>
        <v>3392694.4173116134</v>
      </c>
      <c r="M136" s="57">
        <f t="shared" si="25"/>
        <v>1055549.187657855</v>
      </c>
      <c r="N136" s="57">
        <f t="shared" si="25"/>
        <v>170383563.30814552</v>
      </c>
      <c r="O136" s="49">
        <f>SUM(O94:O130)</f>
        <v>288603.11204319383</v>
      </c>
      <c r="Q136" s="49">
        <f>SUM(Q94:Q130)</f>
        <v>99580.112043193833</v>
      </c>
    </row>
  </sheetData>
  <autoFilter ref="B95:B130" xr:uid="{C04D856F-AF1F-4609-9B6B-B08F2510E52A}"/>
  <sortState xmlns:xlrd2="http://schemas.microsoft.com/office/spreadsheetml/2017/richdata2" ref="A5:N46">
    <sortCondition ref="B5:B46"/>
  </sortState>
  <mergeCells count="11">
    <mergeCell ref="B131:B133"/>
    <mergeCell ref="B5:B11"/>
    <mergeCell ref="B52:B58"/>
    <mergeCell ref="B95:B101"/>
    <mergeCell ref="B112:B130"/>
    <mergeCell ref="B59:B66"/>
    <mergeCell ref="B69:B89"/>
    <mergeCell ref="B12:B19"/>
    <mergeCell ref="B22:B42"/>
    <mergeCell ref="B102:B109"/>
    <mergeCell ref="B43:B4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3"/>
  <sheetViews>
    <sheetView topLeftCell="B1" workbookViewId="0">
      <selection activeCell="D52" sqref="D52"/>
    </sheetView>
  </sheetViews>
  <sheetFormatPr defaultColWidth="12.5703125" defaultRowHeight="15.75" customHeight="1" x14ac:dyDescent="0.2"/>
  <cols>
    <col min="2" max="2" width="27.140625" customWidth="1"/>
    <col min="3" max="3" width="21.42578125" customWidth="1"/>
    <col min="4" max="4" width="18.140625" bestFit="1" customWidth="1"/>
    <col min="5" max="6" width="17.42578125" bestFit="1" customWidth="1"/>
    <col min="8" max="8" width="16" bestFit="1" customWidth="1"/>
    <col min="9" max="9" width="19.5703125" bestFit="1" customWidth="1"/>
    <col min="10" max="10" width="18.85546875" bestFit="1" customWidth="1"/>
    <col min="11" max="11" width="17.42578125" customWidth="1"/>
    <col min="12" max="12" width="18.140625" customWidth="1"/>
    <col min="13" max="13" width="15.140625" bestFit="1" customWidth="1"/>
    <col min="14" max="14" width="20.42578125" bestFit="1" customWidth="1"/>
    <col min="15" max="16" width="14" bestFit="1" customWidth="1"/>
    <col min="17" max="17" width="16.85546875" customWidth="1"/>
    <col min="18" max="18" width="21.85546875" customWidth="1"/>
  </cols>
  <sheetData>
    <row r="1" spans="1:18" ht="15.75" customHeight="1" x14ac:dyDescent="0.2">
      <c r="H1" s="238" t="s">
        <v>84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</row>
    <row r="2" spans="1:18" ht="25.5" x14ac:dyDescent="0.2">
      <c r="A2" t="s">
        <v>86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94</v>
      </c>
      <c r="B3" s="1" t="s">
        <v>95</v>
      </c>
      <c r="C3" s="1"/>
      <c r="D3" s="1">
        <v>41914</v>
      </c>
      <c r="E3" s="1"/>
      <c r="F3" s="1" t="s">
        <v>96</v>
      </c>
      <c r="G3" s="13"/>
      <c r="H3" s="15">
        <f t="shared" ref="H3:R3" si="0">IF($F3="Tidal", $D3*$F$52, 0)</f>
        <v>14723969.060000001</v>
      </c>
      <c r="I3" s="15">
        <f t="shared" si="0"/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87</v>
      </c>
      <c r="B4" s="2" t="s">
        <v>5</v>
      </c>
      <c r="C4" s="2">
        <v>80</v>
      </c>
      <c r="D4" s="2">
        <v>16543</v>
      </c>
      <c r="E4" s="2" t="s">
        <v>6</v>
      </c>
      <c r="F4" s="2" t="s">
        <v>7</v>
      </c>
      <c r="G4" t="s">
        <v>5</v>
      </c>
      <c r="H4" s="15">
        <f t="shared" ref="H4:H41" si="1">IF($F4="MW", $D4*$F$52, 0)</f>
        <v>5811390.4700000007</v>
      </c>
      <c r="I4" s="15">
        <f t="shared" ref="I4:I41" si="2">IF($F4="MW", $D4*$F$53, 0)</f>
        <v>4684150.4499999993</v>
      </c>
      <c r="J4" s="15">
        <f t="shared" ref="J4:J41" si="3">IF($F4="MW", $D4*$F$54, 0)</f>
        <v>6162102.0700000003</v>
      </c>
      <c r="K4" s="15">
        <f t="shared" ref="K4:K41" si="4">IF($F4="MW", $D4*$F$55, 0)</f>
        <v>3607035.7199999997</v>
      </c>
      <c r="L4" s="15">
        <f t="shared" ref="L4:L41" si="5">IF($F4="MW", $D4*$F$56, 0)</f>
        <v>2680296.8600000003</v>
      </c>
      <c r="M4" s="15">
        <f t="shared" ref="M4:M41" si="6">IF($F4="MW", $D4*$F$57, 0)</f>
        <v>2517348.3099999996</v>
      </c>
      <c r="N4" s="15">
        <f t="shared" ref="N4:N41" si="7">IF($F4="MW", $D4*$F$58, 0)</f>
        <v>1540484.1600000001</v>
      </c>
      <c r="O4" s="15">
        <f t="shared" ref="O4:O41" si="8">IF($F4="MW", $D4*$F$59, 0)</f>
        <v>563620.01</v>
      </c>
      <c r="P4" s="15">
        <f t="shared" ref="P4:P41" si="9">IF($F4="MW", $D4*$F$60, 0)</f>
        <v>563620.01</v>
      </c>
      <c r="Q4" s="15">
        <f t="shared" ref="Q4:Q41" si="10">IF($F4="MW", $D4*$F$61, 0)</f>
        <v>175355.8</v>
      </c>
      <c r="R4" s="15">
        <f t="shared" ref="R4:R41" si="11">IF($F4="MW", $D4*$F$62, 0)</f>
        <v>28305403.859999999</v>
      </c>
    </row>
    <row r="5" spans="1:18" ht="12.75" x14ac:dyDescent="0.2">
      <c r="A5" t="s">
        <v>87</v>
      </c>
      <c r="B5" s="2" t="s">
        <v>8</v>
      </c>
      <c r="C5" s="2">
        <v>76</v>
      </c>
      <c r="D5" s="2">
        <v>11798</v>
      </c>
      <c r="E5" s="2" t="s">
        <v>9</v>
      </c>
      <c r="F5" s="2" t="s">
        <v>7</v>
      </c>
      <c r="G5" t="s">
        <v>8</v>
      </c>
      <c r="H5" s="15">
        <f t="shared" si="1"/>
        <v>4144519.4200000004</v>
      </c>
      <c r="I5" s="15">
        <f t="shared" si="2"/>
        <v>3340603.6999999997</v>
      </c>
      <c r="J5" s="15">
        <f t="shared" si="3"/>
        <v>4394637.0200000005</v>
      </c>
      <c r="K5" s="15">
        <f t="shared" si="4"/>
        <v>2572435.92</v>
      </c>
      <c r="L5" s="15">
        <f t="shared" si="5"/>
        <v>1911511.9600000002</v>
      </c>
      <c r="M5" s="15">
        <f t="shared" si="6"/>
        <v>1795301.66</v>
      </c>
      <c r="N5" s="15">
        <f t="shared" si="7"/>
        <v>1098629.76</v>
      </c>
      <c r="O5" s="15">
        <f t="shared" si="8"/>
        <v>401957.86</v>
      </c>
      <c r="P5" s="15">
        <f t="shared" si="9"/>
        <v>401957.86</v>
      </c>
      <c r="Q5" s="15">
        <f t="shared" si="10"/>
        <v>125058.8</v>
      </c>
      <c r="R5" s="15">
        <f t="shared" si="11"/>
        <v>20186613.960000001</v>
      </c>
    </row>
    <row r="6" spans="1:18" ht="12.75" x14ac:dyDescent="0.2">
      <c r="A6" t="s">
        <v>87</v>
      </c>
      <c r="B6" s="2" t="s">
        <v>10</v>
      </c>
      <c r="C6" s="2">
        <v>62</v>
      </c>
      <c r="D6" s="2">
        <v>8799</v>
      </c>
      <c r="E6" s="2" t="s">
        <v>9</v>
      </c>
      <c r="F6" s="2" t="s">
        <v>7</v>
      </c>
      <c r="G6" t="s">
        <v>10</v>
      </c>
      <c r="H6" s="15">
        <f t="shared" si="1"/>
        <v>3091000.71</v>
      </c>
      <c r="I6" s="15">
        <f t="shared" si="2"/>
        <v>2491436.8499999996</v>
      </c>
      <c r="J6" s="15">
        <f t="shared" si="3"/>
        <v>3277539.5100000002</v>
      </c>
      <c r="K6" s="15">
        <f t="shared" si="4"/>
        <v>1918533.96</v>
      </c>
      <c r="L6" s="15">
        <f t="shared" si="5"/>
        <v>1425613.98</v>
      </c>
      <c r="M6" s="15">
        <f t="shared" si="6"/>
        <v>1338943.8299999998</v>
      </c>
      <c r="N6" s="15">
        <f t="shared" si="7"/>
        <v>819362.88</v>
      </c>
      <c r="O6" s="15">
        <f t="shared" si="8"/>
        <v>299781.93</v>
      </c>
      <c r="P6" s="15">
        <f t="shared" si="9"/>
        <v>299781.93</v>
      </c>
      <c r="Q6" s="15">
        <f t="shared" si="10"/>
        <v>93269.4</v>
      </c>
      <c r="R6" s="15">
        <f t="shared" si="11"/>
        <v>15055264.98</v>
      </c>
    </row>
    <row r="7" spans="1:18" ht="12.75" x14ac:dyDescent="0.2">
      <c r="A7" t="s">
        <v>87</v>
      </c>
      <c r="B7" s="2" t="s">
        <v>12</v>
      </c>
      <c r="C7" s="2">
        <v>61</v>
      </c>
      <c r="D7" s="2">
        <v>9111</v>
      </c>
      <c r="E7" s="2" t="s">
        <v>13</v>
      </c>
      <c r="F7" s="2" t="s">
        <v>7</v>
      </c>
      <c r="G7" t="s">
        <v>12</v>
      </c>
      <c r="H7" s="15">
        <f t="shared" si="1"/>
        <v>3200603.1900000004</v>
      </c>
      <c r="I7" s="15">
        <f t="shared" si="2"/>
        <v>2579779.65</v>
      </c>
      <c r="J7" s="15">
        <f t="shared" si="3"/>
        <v>3393756.39</v>
      </c>
      <c r="K7" s="15">
        <f t="shared" si="4"/>
        <v>1986562.44</v>
      </c>
      <c r="L7" s="15">
        <f t="shared" si="5"/>
        <v>1476164.2200000002</v>
      </c>
      <c r="M7" s="15">
        <f t="shared" si="6"/>
        <v>1386420.8699999999</v>
      </c>
      <c r="N7" s="15">
        <f t="shared" si="7"/>
        <v>848416.32000000007</v>
      </c>
      <c r="O7" s="15">
        <f t="shared" si="8"/>
        <v>310411.77</v>
      </c>
      <c r="P7" s="15">
        <f t="shared" si="9"/>
        <v>310411.77</v>
      </c>
      <c r="Q7" s="15">
        <f t="shared" si="10"/>
        <v>96576.599999999991</v>
      </c>
      <c r="R7" s="15">
        <f t="shared" si="11"/>
        <v>15589103.220000001</v>
      </c>
    </row>
    <row r="8" spans="1:18" ht="12.75" x14ac:dyDescent="0.2">
      <c r="A8" t="s">
        <v>88</v>
      </c>
      <c r="B8" s="2" t="s">
        <v>15</v>
      </c>
      <c r="C8" s="2">
        <v>116</v>
      </c>
      <c r="D8" s="2">
        <v>12907</v>
      </c>
      <c r="E8" s="2" t="s">
        <v>16</v>
      </c>
      <c r="F8" s="2" t="s">
        <v>7</v>
      </c>
      <c r="G8" t="s">
        <v>15</v>
      </c>
      <c r="H8" s="15">
        <f t="shared" si="1"/>
        <v>4534100.03</v>
      </c>
      <c r="I8" s="15">
        <f t="shared" si="2"/>
        <v>3654617.05</v>
      </c>
      <c r="J8" s="15">
        <f t="shared" si="3"/>
        <v>4807728.43</v>
      </c>
      <c r="K8" s="15">
        <f t="shared" si="4"/>
        <v>2814242.28</v>
      </c>
      <c r="L8" s="15">
        <f t="shared" si="5"/>
        <v>2091192.1400000001</v>
      </c>
      <c r="M8" s="15">
        <f t="shared" si="6"/>
        <v>1964058.19</v>
      </c>
      <c r="N8" s="15">
        <f t="shared" si="7"/>
        <v>1201899.8400000001</v>
      </c>
      <c r="O8" s="15">
        <f t="shared" si="8"/>
        <v>439741.49</v>
      </c>
      <c r="P8" s="15">
        <f t="shared" si="9"/>
        <v>439741.49</v>
      </c>
      <c r="Q8" s="15">
        <f t="shared" si="10"/>
        <v>136814.19999999998</v>
      </c>
      <c r="R8" s="15">
        <f t="shared" si="11"/>
        <v>22084135.140000001</v>
      </c>
    </row>
    <row r="9" spans="1:18" ht="12.75" x14ac:dyDescent="0.2">
      <c r="A9" t="s">
        <v>89</v>
      </c>
      <c r="B9" s="2" t="s">
        <v>18</v>
      </c>
      <c r="C9" s="2">
        <v>57</v>
      </c>
      <c r="D9" s="2">
        <v>5936</v>
      </c>
      <c r="E9" s="2" t="s">
        <v>16</v>
      </c>
      <c r="F9" s="2" t="s">
        <v>7</v>
      </c>
      <c r="G9" t="s">
        <v>18</v>
      </c>
      <c r="H9" s="15">
        <f t="shared" si="1"/>
        <v>2085257.4400000002</v>
      </c>
      <c r="I9" s="15">
        <f t="shared" si="2"/>
        <v>1680778.4</v>
      </c>
      <c r="J9" s="15">
        <f t="shared" si="3"/>
        <v>2211100.64</v>
      </c>
      <c r="K9" s="15">
        <f t="shared" si="4"/>
        <v>1294285.44</v>
      </c>
      <c r="L9" s="15">
        <f t="shared" si="5"/>
        <v>961750.72000000009</v>
      </c>
      <c r="M9" s="15">
        <f t="shared" si="6"/>
        <v>903281.11999999988</v>
      </c>
      <c r="N9" s="15">
        <f t="shared" si="7"/>
        <v>552760.32000000007</v>
      </c>
      <c r="O9" s="15">
        <f t="shared" si="8"/>
        <v>202239.52</v>
      </c>
      <c r="P9" s="15">
        <f t="shared" si="9"/>
        <v>202239.52</v>
      </c>
      <c r="Q9" s="15">
        <f t="shared" si="10"/>
        <v>62921.599999999999</v>
      </c>
      <c r="R9" s="15">
        <f t="shared" si="11"/>
        <v>10156614.720000001</v>
      </c>
    </row>
    <row r="10" spans="1:18" ht="12.75" x14ac:dyDescent="0.2">
      <c r="A10" t="s">
        <v>89</v>
      </c>
      <c r="B10" s="2" t="s">
        <v>19</v>
      </c>
      <c r="C10" s="2">
        <v>49</v>
      </c>
      <c r="D10" s="2">
        <v>3094</v>
      </c>
      <c r="E10" s="2" t="s">
        <v>16</v>
      </c>
      <c r="F10" s="2" t="s">
        <v>7</v>
      </c>
      <c r="G10" t="s">
        <v>19</v>
      </c>
      <c r="H10" s="15">
        <f t="shared" si="1"/>
        <v>1086891.26</v>
      </c>
      <c r="I10" s="15">
        <f t="shared" si="2"/>
        <v>876066.1</v>
      </c>
      <c r="J10" s="15">
        <f t="shared" si="3"/>
        <v>1152484.06</v>
      </c>
      <c r="K10" s="15">
        <f t="shared" si="4"/>
        <v>674615.76</v>
      </c>
      <c r="L10" s="15">
        <f t="shared" si="5"/>
        <v>501289.88</v>
      </c>
      <c r="M10" s="15">
        <f t="shared" si="6"/>
        <v>470813.98</v>
      </c>
      <c r="N10" s="15">
        <f t="shared" si="7"/>
        <v>288113.28000000003</v>
      </c>
      <c r="O10" s="15">
        <f t="shared" si="8"/>
        <v>105412.58</v>
      </c>
      <c r="P10" s="15">
        <f t="shared" si="9"/>
        <v>105412.58</v>
      </c>
      <c r="Q10" s="15">
        <f t="shared" si="10"/>
        <v>32796.400000000001</v>
      </c>
      <c r="R10" s="15">
        <f t="shared" si="11"/>
        <v>5293895.88</v>
      </c>
    </row>
    <row r="11" spans="1:18" ht="12.75" x14ac:dyDescent="0.2">
      <c r="A11" t="s">
        <v>89</v>
      </c>
      <c r="B11" s="2" t="s">
        <v>20</v>
      </c>
      <c r="C11" s="2">
        <v>41</v>
      </c>
      <c r="D11" s="2">
        <v>1165</v>
      </c>
      <c r="E11" s="2" t="s">
        <v>13</v>
      </c>
      <c r="F11" s="2" t="s">
        <v>7</v>
      </c>
      <c r="G11" t="s">
        <v>20</v>
      </c>
      <c r="H11" s="15">
        <f t="shared" si="1"/>
        <v>409252.85000000003</v>
      </c>
      <c r="I11" s="15">
        <f t="shared" si="2"/>
        <v>329869.75</v>
      </c>
      <c r="J11" s="15">
        <f t="shared" si="3"/>
        <v>433950.85000000003</v>
      </c>
      <c r="K11" s="15">
        <f t="shared" si="4"/>
        <v>254016.59999999998</v>
      </c>
      <c r="L11" s="15">
        <f t="shared" si="5"/>
        <v>188753.30000000002</v>
      </c>
      <c r="M11" s="15">
        <f t="shared" si="6"/>
        <v>177278.05</v>
      </c>
      <c r="N11" s="15">
        <f t="shared" si="7"/>
        <v>108484.8</v>
      </c>
      <c r="O11" s="15">
        <f t="shared" si="8"/>
        <v>39691.550000000003</v>
      </c>
      <c r="P11" s="15">
        <f t="shared" si="9"/>
        <v>39691.550000000003</v>
      </c>
      <c r="Q11" s="15">
        <f t="shared" si="10"/>
        <v>12349</v>
      </c>
      <c r="R11" s="15">
        <f t="shared" si="11"/>
        <v>1993338.3</v>
      </c>
    </row>
    <row r="12" spans="1:18" ht="12.75" x14ac:dyDescent="0.2">
      <c r="A12" t="s">
        <v>89</v>
      </c>
      <c r="B12" s="2" t="s">
        <v>21</v>
      </c>
      <c r="C12" s="2">
        <v>50</v>
      </c>
      <c r="D12" s="2">
        <v>3625</v>
      </c>
      <c r="E12" s="2" t="s">
        <v>13</v>
      </c>
      <c r="F12" s="2" t="s">
        <v>7</v>
      </c>
      <c r="G12" t="s">
        <v>21</v>
      </c>
      <c r="H12" s="15">
        <f t="shared" si="1"/>
        <v>1273426.25</v>
      </c>
      <c r="I12" s="15">
        <f t="shared" si="2"/>
        <v>1026418.7499999999</v>
      </c>
      <c r="J12" s="15">
        <f t="shared" si="3"/>
        <v>1350276.25</v>
      </c>
      <c r="K12" s="15">
        <f t="shared" si="4"/>
        <v>790395</v>
      </c>
      <c r="L12" s="15">
        <f t="shared" si="5"/>
        <v>587322.5</v>
      </c>
      <c r="M12" s="15">
        <f t="shared" si="6"/>
        <v>551616.25</v>
      </c>
      <c r="N12" s="15">
        <f t="shared" si="7"/>
        <v>337560</v>
      </c>
      <c r="O12" s="15">
        <f t="shared" si="8"/>
        <v>123503.75</v>
      </c>
      <c r="P12" s="15">
        <f t="shared" si="9"/>
        <v>123503.75</v>
      </c>
      <c r="Q12" s="15">
        <f t="shared" si="10"/>
        <v>38425</v>
      </c>
      <c r="R12" s="15">
        <f t="shared" si="11"/>
        <v>6202447.5</v>
      </c>
    </row>
    <row r="13" spans="1:18" ht="12.75" x14ac:dyDescent="0.2">
      <c r="A13" t="s">
        <v>89</v>
      </c>
      <c r="B13" s="2" t="s">
        <v>22</v>
      </c>
      <c r="C13" s="2">
        <v>46</v>
      </c>
      <c r="D13" s="2">
        <v>3216</v>
      </c>
      <c r="E13" s="2" t="s">
        <v>9</v>
      </c>
      <c r="F13" s="2" t="s">
        <v>7</v>
      </c>
      <c r="G13" t="s">
        <v>22</v>
      </c>
      <c r="H13" s="15">
        <f t="shared" si="1"/>
        <v>1129748.6400000001</v>
      </c>
      <c r="I13" s="15">
        <f t="shared" si="2"/>
        <v>910610.39999999991</v>
      </c>
      <c r="J13" s="15">
        <f t="shared" si="3"/>
        <v>1197927.8400000001</v>
      </c>
      <c r="K13" s="15">
        <f t="shared" si="4"/>
        <v>701216.64</v>
      </c>
      <c r="L13" s="15">
        <f t="shared" si="5"/>
        <v>521056.32</v>
      </c>
      <c r="M13" s="15">
        <f t="shared" si="6"/>
        <v>489378.72</v>
      </c>
      <c r="N13" s="15">
        <f t="shared" si="7"/>
        <v>299473.92000000004</v>
      </c>
      <c r="O13" s="15">
        <f t="shared" si="8"/>
        <v>109569.12</v>
      </c>
      <c r="P13" s="15">
        <f t="shared" si="9"/>
        <v>109569.12</v>
      </c>
      <c r="Q13" s="15">
        <f t="shared" si="10"/>
        <v>34089.599999999999</v>
      </c>
      <c r="R13" s="15">
        <f t="shared" si="11"/>
        <v>5502640.3200000003</v>
      </c>
    </row>
    <row r="14" spans="1:18" ht="12.75" x14ac:dyDescent="0.2">
      <c r="A14" t="s">
        <v>90</v>
      </c>
      <c r="B14" s="2" t="s">
        <v>23</v>
      </c>
      <c r="C14" s="2">
        <v>58</v>
      </c>
      <c r="D14" s="2">
        <v>10358</v>
      </c>
      <c r="E14" s="2" t="s">
        <v>9</v>
      </c>
      <c r="F14" s="2" t="s">
        <v>7</v>
      </c>
      <c r="G14" t="s">
        <v>23</v>
      </c>
      <c r="H14" s="15">
        <f t="shared" si="1"/>
        <v>3638661.8200000003</v>
      </c>
      <c r="I14" s="15">
        <f t="shared" si="2"/>
        <v>2932867.6999999997</v>
      </c>
      <c r="J14" s="15">
        <f t="shared" si="3"/>
        <v>3858251.42</v>
      </c>
      <c r="K14" s="15">
        <f t="shared" si="4"/>
        <v>2258458.3199999998</v>
      </c>
      <c r="L14" s="15">
        <f t="shared" si="5"/>
        <v>1678203.1600000001</v>
      </c>
      <c r="M14" s="15">
        <f t="shared" si="6"/>
        <v>1576176.8599999999</v>
      </c>
      <c r="N14" s="15">
        <f t="shared" si="7"/>
        <v>964536.96000000008</v>
      </c>
      <c r="O14" s="15">
        <f t="shared" si="8"/>
        <v>352897.06</v>
      </c>
      <c r="P14" s="15">
        <f t="shared" si="9"/>
        <v>352897.06</v>
      </c>
      <c r="Q14" s="15">
        <f t="shared" si="10"/>
        <v>109794.8</v>
      </c>
      <c r="R14" s="15">
        <f t="shared" si="11"/>
        <v>17722745.16</v>
      </c>
    </row>
    <row r="15" spans="1:18" ht="12.75" x14ac:dyDescent="0.2">
      <c r="A15" t="s">
        <v>89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89</v>
      </c>
      <c r="B16" s="2" t="s">
        <v>25</v>
      </c>
      <c r="C16" s="2">
        <v>33</v>
      </c>
      <c r="D16" s="2">
        <v>2105</v>
      </c>
      <c r="E16" s="2" t="s">
        <v>9</v>
      </c>
      <c r="F16" s="2" t="s">
        <v>7</v>
      </c>
      <c r="G16" t="s">
        <v>25</v>
      </c>
      <c r="H16" s="15">
        <f t="shared" si="1"/>
        <v>739465.45000000007</v>
      </c>
      <c r="I16" s="15">
        <f t="shared" si="2"/>
        <v>596030.75</v>
      </c>
      <c r="J16" s="15">
        <f t="shared" si="3"/>
        <v>784091.45000000007</v>
      </c>
      <c r="K16" s="15">
        <f t="shared" si="4"/>
        <v>458974.2</v>
      </c>
      <c r="L16" s="15">
        <f t="shared" si="5"/>
        <v>341052.10000000003</v>
      </c>
      <c r="M16" s="15">
        <f t="shared" si="6"/>
        <v>320317.84999999998</v>
      </c>
      <c r="N16" s="15">
        <f t="shared" si="7"/>
        <v>196017.6</v>
      </c>
      <c r="O16" s="15">
        <f t="shared" si="8"/>
        <v>71717.350000000006</v>
      </c>
      <c r="P16" s="15">
        <f t="shared" si="9"/>
        <v>71717.350000000006</v>
      </c>
      <c r="Q16" s="15">
        <f t="shared" si="10"/>
        <v>22313</v>
      </c>
      <c r="R16" s="15">
        <f t="shared" si="11"/>
        <v>3601697.1</v>
      </c>
    </row>
    <row r="17" spans="1:18" ht="12.75" x14ac:dyDescent="0.2">
      <c r="A17" t="s">
        <v>89</v>
      </c>
      <c r="B17" s="2" t="s">
        <v>26</v>
      </c>
      <c r="C17" s="2">
        <v>34</v>
      </c>
      <c r="D17" s="2">
        <v>6060</v>
      </c>
      <c r="E17" s="2" t="s">
        <v>16</v>
      </c>
      <c r="F17" s="2" t="s">
        <v>7</v>
      </c>
      <c r="G17" t="s">
        <v>26</v>
      </c>
      <c r="H17" s="15">
        <f t="shared" si="1"/>
        <v>2128817.4</v>
      </c>
      <c r="I17" s="15">
        <f t="shared" si="2"/>
        <v>1715888.9999999998</v>
      </c>
      <c r="J17" s="15">
        <f t="shared" si="3"/>
        <v>2257289.4</v>
      </c>
      <c r="K17" s="15">
        <f t="shared" si="4"/>
        <v>1321322.3999999999</v>
      </c>
      <c r="L17" s="15">
        <f t="shared" si="5"/>
        <v>981841.20000000007</v>
      </c>
      <c r="M17" s="15">
        <f t="shared" si="6"/>
        <v>922150.2</v>
      </c>
      <c r="N17" s="15">
        <f t="shared" si="7"/>
        <v>564307.20000000007</v>
      </c>
      <c r="O17" s="15">
        <f t="shared" si="8"/>
        <v>206464.2</v>
      </c>
      <c r="P17" s="15">
        <f t="shared" si="9"/>
        <v>206464.2</v>
      </c>
      <c r="Q17" s="15">
        <f t="shared" si="10"/>
        <v>64236</v>
      </c>
      <c r="R17" s="15">
        <f t="shared" si="11"/>
        <v>10368781.199999999</v>
      </c>
    </row>
    <row r="18" spans="1:18" ht="12.75" x14ac:dyDescent="0.2">
      <c r="A18" t="s">
        <v>89</v>
      </c>
      <c r="B18" s="2" t="s">
        <v>27</v>
      </c>
      <c r="C18" s="2">
        <v>26</v>
      </c>
      <c r="D18" s="2">
        <v>12127</v>
      </c>
      <c r="E18" s="2" t="s">
        <v>9</v>
      </c>
      <c r="F18" s="2" t="s">
        <v>7</v>
      </c>
      <c r="G18" t="s">
        <v>27</v>
      </c>
      <c r="H18" s="15">
        <f t="shared" si="1"/>
        <v>4260093.83</v>
      </c>
      <c r="I18" s="15">
        <f t="shared" si="2"/>
        <v>3433760.05</v>
      </c>
      <c r="J18" s="15">
        <f t="shared" si="3"/>
        <v>4517186.2300000004</v>
      </c>
      <c r="K18" s="15">
        <f t="shared" si="4"/>
        <v>2644171.08</v>
      </c>
      <c r="L18" s="15">
        <f t="shared" si="5"/>
        <v>1964816.54</v>
      </c>
      <c r="M18" s="15">
        <f t="shared" si="6"/>
        <v>1845365.5899999999</v>
      </c>
      <c r="N18" s="15">
        <f t="shared" si="7"/>
        <v>1129266.24</v>
      </c>
      <c r="O18" s="15">
        <f t="shared" si="8"/>
        <v>413166.89</v>
      </c>
      <c r="P18" s="15">
        <f t="shared" si="9"/>
        <v>413166.89</v>
      </c>
      <c r="Q18" s="15">
        <f t="shared" si="10"/>
        <v>128546.2</v>
      </c>
      <c r="R18" s="15">
        <f t="shared" si="11"/>
        <v>20749539.539999999</v>
      </c>
    </row>
    <row r="19" spans="1:18" ht="12.75" x14ac:dyDescent="0.2">
      <c r="A19" t="s">
        <v>89</v>
      </c>
      <c r="B19" s="2" t="s">
        <v>28</v>
      </c>
      <c r="C19" s="2">
        <v>25</v>
      </c>
      <c r="D19" s="2">
        <v>1401</v>
      </c>
      <c r="E19" s="2" t="s">
        <v>9</v>
      </c>
      <c r="F19" s="2" t="s">
        <v>7</v>
      </c>
      <c r="G19" t="s">
        <v>28</v>
      </c>
      <c r="H19" s="15">
        <f t="shared" si="1"/>
        <v>492157.29000000004</v>
      </c>
      <c r="I19" s="15">
        <f t="shared" si="2"/>
        <v>396693.14999999997</v>
      </c>
      <c r="J19" s="15">
        <f t="shared" si="3"/>
        <v>521858.49</v>
      </c>
      <c r="K19" s="15">
        <f t="shared" si="4"/>
        <v>305474.03999999998</v>
      </c>
      <c r="L19" s="15">
        <f t="shared" si="5"/>
        <v>226990.02000000002</v>
      </c>
      <c r="M19" s="15">
        <f t="shared" si="6"/>
        <v>213190.16999999998</v>
      </c>
      <c r="N19" s="15">
        <f t="shared" si="7"/>
        <v>130461.12000000001</v>
      </c>
      <c r="O19" s="15">
        <f t="shared" si="8"/>
        <v>47732.07</v>
      </c>
      <c r="P19" s="15">
        <f t="shared" si="9"/>
        <v>47732.07</v>
      </c>
      <c r="Q19" s="15">
        <f t="shared" si="10"/>
        <v>14850.6</v>
      </c>
      <c r="R19" s="15">
        <f t="shared" si="11"/>
        <v>2397139.02</v>
      </c>
    </row>
    <row r="20" spans="1:18" ht="12.75" x14ac:dyDescent="0.2">
      <c r="A20" t="s">
        <v>89</v>
      </c>
      <c r="B20" s="2" t="s">
        <v>29</v>
      </c>
      <c r="C20" s="2" t="s">
        <v>30</v>
      </c>
      <c r="D20" s="2">
        <v>35663</v>
      </c>
      <c r="E20" s="2" t="s">
        <v>9</v>
      </c>
      <c r="F20" s="2" t="s">
        <v>7</v>
      </c>
      <c r="G20" t="s">
        <v>29</v>
      </c>
      <c r="H20" s="15">
        <f t="shared" si="1"/>
        <v>12528055.270000001</v>
      </c>
      <c r="I20" s="15">
        <f t="shared" si="2"/>
        <v>10097978.449999999</v>
      </c>
      <c r="J20" s="15">
        <f t="shared" si="3"/>
        <v>13284110.870000001</v>
      </c>
      <c r="K20" s="15">
        <f t="shared" si="4"/>
        <v>7775960.5199999996</v>
      </c>
      <c r="L20" s="15">
        <f t="shared" si="5"/>
        <v>5778119.2600000007</v>
      </c>
      <c r="M20" s="15">
        <f t="shared" si="6"/>
        <v>5426838.71</v>
      </c>
      <c r="N20" s="15">
        <f t="shared" si="7"/>
        <v>3320938.56</v>
      </c>
      <c r="O20" s="15">
        <f t="shared" si="8"/>
        <v>1215038.4099999999</v>
      </c>
      <c r="P20" s="15">
        <f t="shared" si="9"/>
        <v>1215038.4099999999</v>
      </c>
      <c r="Q20" s="15">
        <f t="shared" si="10"/>
        <v>378027.8</v>
      </c>
      <c r="R20" s="15">
        <f t="shared" si="11"/>
        <v>61020106.259999998</v>
      </c>
    </row>
    <row r="21" spans="1:18" ht="12.75" x14ac:dyDescent="0.2">
      <c r="A21" t="s">
        <v>89</v>
      </c>
      <c r="B21" s="2" t="s">
        <v>31</v>
      </c>
      <c r="C21" s="2">
        <v>9</v>
      </c>
      <c r="D21" s="2">
        <v>24750</v>
      </c>
      <c r="E21" s="2" t="s">
        <v>9</v>
      </c>
      <c r="F21" s="2" t="s">
        <v>7</v>
      </c>
      <c r="G21" t="s">
        <v>31</v>
      </c>
      <c r="H21" s="15">
        <f t="shared" si="1"/>
        <v>8694427.5</v>
      </c>
      <c r="I21" s="15">
        <f t="shared" si="2"/>
        <v>7007962.4999999991</v>
      </c>
      <c r="J21" s="15">
        <f t="shared" si="3"/>
        <v>9219127.5</v>
      </c>
      <c r="K21" s="15">
        <f t="shared" si="4"/>
        <v>5396490</v>
      </c>
      <c r="L21" s="15">
        <f t="shared" si="5"/>
        <v>4009995.0000000005</v>
      </c>
      <c r="M21" s="15">
        <f t="shared" si="6"/>
        <v>3766207.4999999995</v>
      </c>
      <c r="N21" s="15">
        <f t="shared" si="7"/>
        <v>2304720</v>
      </c>
      <c r="O21" s="15">
        <f t="shared" si="8"/>
        <v>843232.5</v>
      </c>
      <c r="P21" s="15">
        <f t="shared" si="9"/>
        <v>843232.5</v>
      </c>
      <c r="Q21" s="15">
        <f t="shared" si="10"/>
        <v>262350</v>
      </c>
      <c r="R21" s="15">
        <f t="shared" si="11"/>
        <v>42347745</v>
      </c>
    </row>
    <row r="22" spans="1:18" ht="12.75" x14ac:dyDescent="0.2">
      <c r="A22" t="s">
        <v>89</v>
      </c>
      <c r="B22" s="2" t="s">
        <v>32</v>
      </c>
      <c r="C22" s="2">
        <v>10</v>
      </c>
      <c r="D22" s="2">
        <v>7193</v>
      </c>
      <c r="E22" s="2" t="s">
        <v>9</v>
      </c>
      <c r="F22" s="2" t="s">
        <v>7</v>
      </c>
      <c r="G22" t="s">
        <v>32</v>
      </c>
      <c r="H22" s="15">
        <f t="shared" si="1"/>
        <v>2526828.9700000002</v>
      </c>
      <c r="I22" s="15">
        <f t="shared" si="2"/>
        <v>2036697.9499999997</v>
      </c>
      <c r="J22" s="15">
        <f t="shared" si="3"/>
        <v>2679320.5700000003</v>
      </c>
      <c r="K22" s="15">
        <f t="shared" si="4"/>
        <v>1568361.72</v>
      </c>
      <c r="L22" s="15">
        <f t="shared" si="5"/>
        <v>1165409.8600000001</v>
      </c>
      <c r="M22" s="15">
        <f t="shared" si="6"/>
        <v>1094558.8099999998</v>
      </c>
      <c r="N22" s="15">
        <f t="shared" si="7"/>
        <v>669812.16</v>
      </c>
      <c r="O22" s="15">
        <f t="shared" si="8"/>
        <v>245065.51</v>
      </c>
      <c r="P22" s="15">
        <f t="shared" si="9"/>
        <v>245065.51</v>
      </c>
      <c r="Q22" s="15">
        <f t="shared" si="10"/>
        <v>76245.8</v>
      </c>
      <c r="R22" s="15">
        <f t="shared" si="11"/>
        <v>12307366.859999999</v>
      </c>
    </row>
    <row r="23" spans="1:18" ht="12.75" x14ac:dyDescent="0.2">
      <c r="A23" t="s">
        <v>89</v>
      </c>
      <c r="B23" s="2" t="s">
        <v>33</v>
      </c>
      <c r="C23" s="2">
        <v>18</v>
      </c>
      <c r="D23" s="2">
        <v>1809</v>
      </c>
      <c r="E23" s="2" t="s">
        <v>9</v>
      </c>
      <c r="F23" s="2" t="s">
        <v>7</v>
      </c>
      <c r="G23" t="s">
        <v>33</v>
      </c>
      <c r="H23" s="15">
        <f t="shared" si="1"/>
        <v>635483.61</v>
      </c>
      <c r="I23" s="15">
        <f t="shared" si="2"/>
        <v>512218.35</v>
      </c>
      <c r="J23" s="15">
        <f t="shared" si="3"/>
        <v>673834.41</v>
      </c>
      <c r="K23" s="15">
        <f t="shared" si="4"/>
        <v>394434.36</v>
      </c>
      <c r="L23" s="15">
        <f t="shared" si="5"/>
        <v>293094.18</v>
      </c>
      <c r="M23" s="15">
        <f t="shared" si="6"/>
        <v>275275.52999999997</v>
      </c>
      <c r="N23" s="15">
        <f t="shared" si="7"/>
        <v>168454.08000000002</v>
      </c>
      <c r="O23" s="15">
        <f t="shared" si="8"/>
        <v>61632.63</v>
      </c>
      <c r="P23" s="15">
        <f t="shared" si="9"/>
        <v>61632.63</v>
      </c>
      <c r="Q23" s="15">
        <f t="shared" si="10"/>
        <v>19175.399999999998</v>
      </c>
      <c r="R23" s="15">
        <f t="shared" si="11"/>
        <v>3095235.18</v>
      </c>
    </row>
    <row r="24" spans="1:18" ht="12.75" x14ac:dyDescent="0.2">
      <c r="A24" t="s">
        <v>89</v>
      </c>
      <c r="B24" s="2" t="s">
        <v>34</v>
      </c>
      <c r="C24" s="2">
        <v>6</v>
      </c>
      <c r="D24" s="2">
        <v>965</v>
      </c>
      <c r="E24" s="2" t="s">
        <v>9</v>
      </c>
      <c r="F24" s="2" t="s">
        <v>7</v>
      </c>
      <c r="G24" t="s">
        <v>34</v>
      </c>
      <c r="H24" s="15">
        <f t="shared" si="1"/>
        <v>338994.85000000003</v>
      </c>
      <c r="I24" s="15">
        <f t="shared" si="2"/>
        <v>273239.75</v>
      </c>
      <c r="J24" s="15">
        <f t="shared" si="3"/>
        <v>359452.85000000003</v>
      </c>
      <c r="K24" s="15">
        <f t="shared" si="4"/>
        <v>210408.6</v>
      </c>
      <c r="L24" s="15">
        <f t="shared" si="5"/>
        <v>156349.30000000002</v>
      </c>
      <c r="M24" s="15">
        <f t="shared" si="6"/>
        <v>146844.04999999999</v>
      </c>
      <c r="N24" s="15">
        <f t="shared" si="7"/>
        <v>89860.800000000003</v>
      </c>
      <c r="O24" s="15">
        <f t="shared" si="8"/>
        <v>32877.550000000003</v>
      </c>
      <c r="P24" s="15">
        <f t="shared" si="9"/>
        <v>32877.550000000003</v>
      </c>
      <c r="Q24" s="15">
        <f t="shared" si="10"/>
        <v>10229</v>
      </c>
      <c r="R24" s="15">
        <f t="shared" si="11"/>
        <v>1651134.3</v>
      </c>
    </row>
    <row r="25" spans="1:18" ht="12.75" x14ac:dyDescent="0.2">
      <c r="A25" t="s">
        <v>89</v>
      </c>
      <c r="B25" s="2" t="s">
        <v>35</v>
      </c>
      <c r="C25" s="2">
        <v>20</v>
      </c>
      <c r="D25" s="2">
        <v>2383</v>
      </c>
      <c r="E25" s="2" t="s">
        <v>9</v>
      </c>
      <c r="F25" s="2" t="s">
        <v>7</v>
      </c>
      <c r="G25" t="s">
        <v>35</v>
      </c>
      <c r="H25" s="15">
        <f t="shared" si="1"/>
        <v>837124.07000000007</v>
      </c>
      <c r="I25" s="15">
        <f t="shared" si="2"/>
        <v>674746.45</v>
      </c>
      <c r="J25" s="15">
        <f t="shared" si="3"/>
        <v>887643.67</v>
      </c>
      <c r="K25" s="15">
        <f t="shared" si="4"/>
        <v>519589.32</v>
      </c>
      <c r="L25" s="15">
        <f t="shared" si="5"/>
        <v>386093.66000000003</v>
      </c>
      <c r="M25" s="15">
        <f t="shared" si="6"/>
        <v>362621.11</v>
      </c>
      <c r="N25" s="15">
        <f t="shared" si="7"/>
        <v>221904.96000000002</v>
      </c>
      <c r="O25" s="15">
        <f t="shared" si="8"/>
        <v>81188.81</v>
      </c>
      <c r="P25" s="15">
        <f t="shared" si="9"/>
        <v>81188.81</v>
      </c>
      <c r="Q25" s="15">
        <f t="shared" si="10"/>
        <v>25259.8</v>
      </c>
      <c r="R25" s="15">
        <f t="shared" si="11"/>
        <v>4077360.66</v>
      </c>
    </row>
    <row r="26" spans="1:18" ht="12.75" x14ac:dyDescent="0.2">
      <c r="A26" t="s">
        <v>89</v>
      </c>
      <c r="B26" s="2" t="s">
        <v>36</v>
      </c>
      <c r="C26" s="2">
        <v>27</v>
      </c>
      <c r="D26" s="2">
        <v>2470</v>
      </c>
      <c r="E26" s="2" t="s">
        <v>9</v>
      </c>
      <c r="F26" s="2" t="s">
        <v>7</v>
      </c>
      <c r="G26" t="s">
        <v>36</v>
      </c>
      <c r="H26" s="15">
        <f t="shared" si="1"/>
        <v>867686.3</v>
      </c>
      <c r="I26" s="15">
        <f t="shared" si="2"/>
        <v>699380.5</v>
      </c>
      <c r="J26" s="15">
        <f t="shared" si="3"/>
        <v>920050.3</v>
      </c>
      <c r="K26" s="15">
        <f t="shared" si="4"/>
        <v>538558.79999999993</v>
      </c>
      <c r="L26" s="15">
        <f t="shared" si="5"/>
        <v>400189.4</v>
      </c>
      <c r="M26" s="15">
        <f t="shared" si="6"/>
        <v>375859.89999999997</v>
      </c>
      <c r="N26" s="15">
        <f t="shared" si="7"/>
        <v>230006.40000000002</v>
      </c>
      <c r="O26" s="15">
        <f t="shared" si="8"/>
        <v>84152.9</v>
      </c>
      <c r="P26" s="15">
        <f t="shared" si="9"/>
        <v>84152.9</v>
      </c>
      <c r="Q26" s="15">
        <f t="shared" si="10"/>
        <v>26182</v>
      </c>
      <c r="R26" s="15">
        <f t="shared" si="11"/>
        <v>4226219.4000000004</v>
      </c>
    </row>
    <row r="27" spans="1:18" ht="12.75" x14ac:dyDescent="0.2">
      <c r="A27" t="s">
        <v>89</v>
      </c>
      <c r="B27" s="2" t="s">
        <v>37</v>
      </c>
      <c r="C27" s="2">
        <v>32</v>
      </c>
      <c r="D27" s="2">
        <v>5533</v>
      </c>
      <c r="E27" s="2" t="s">
        <v>16</v>
      </c>
      <c r="F27" s="2" t="s">
        <v>7</v>
      </c>
      <c r="G27" t="s">
        <v>37</v>
      </c>
      <c r="H27" s="15">
        <f t="shared" si="1"/>
        <v>1943687.57</v>
      </c>
      <c r="I27" s="15">
        <f t="shared" si="2"/>
        <v>1566668.95</v>
      </c>
      <c r="J27" s="15">
        <f t="shared" si="3"/>
        <v>2060987.1700000002</v>
      </c>
      <c r="K27" s="15">
        <f t="shared" si="4"/>
        <v>1206415.32</v>
      </c>
      <c r="L27" s="15">
        <f t="shared" si="5"/>
        <v>896456.66</v>
      </c>
      <c r="M27" s="15">
        <f t="shared" si="6"/>
        <v>841956.61</v>
      </c>
      <c r="N27" s="15">
        <f t="shared" si="7"/>
        <v>515232.96</v>
      </c>
      <c r="O27" s="15">
        <f t="shared" si="8"/>
        <v>188509.31</v>
      </c>
      <c r="P27" s="15">
        <f t="shared" si="9"/>
        <v>188509.31</v>
      </c>
      <c r="Q27" s="15">
        <f t="shared" si="10"/>
        <v>58649.799999999996</v>
      </c>
      <c r="R27" s="15">
        <f t="shared" si="11"/>
        <v>9467073.6600000001</v>
      </c>
    </row>
    <row r="28" spans="1:18" ht="12.75" x14ac:dyDescent="0.2">
      <c r="A28" t="s">
        <v>89</v>
      </c>
      <c r="B28" s="2" t="s">
        <v>38</v>
      </c>
      <c r="C28" s="2">
        <v>35</v>
      </c>
      <c r="D28" s="2">
        <v>4214</v>
      </c>
      <c r="E28" s="2" t="s">
        <v>9</v>
      </c>
      <c r="F28" s="2" t="s">
        <v>7</v>
      </c>
      <c r="G28" t="s">
        <v>38</v>
      </c>
      <c r="H28" s="15">
        <f t="shared" si="1"/>
        <v>1480336.06</v>
      </c>
      <c r="I28" s="15">
        <f t="shared" si="2"/>
        <v>1193194.0999999999</v>
      </c>
      <c r="J28" s="15">
        <f t="shared" si="3"/>
        <v>1569672.86</v>
      </c>
      <c r="K28" s="15">
        <f t="shared" si="4"/>
        <v>918820.55999999994</v>
      </c>
      <c r="L28" s="15">
        <f t="shared" si="5"/>
        <v>682752.28</v>
      </c>
      <c r="M28" s="15">
        <f t="shared" si="6"/>
        <v>641244.38</v>
      </c>
      <c r="N28" s="15">
        <f t="shared" si="7"/>
        <v>392407.68</v>
      </c>
      <c r="O28" s="15">
        <f t="shared" si="8"/>
        <v>143570.98000000001</v>
      </c>
      <c r="P28" s="15">
        <f t="shared" si="9"/>
        <v>143570.98000000001</v>
      </c>
      <c r="Q28" s="15">
        <f t="shared" si="10"/>
        <v>44668.4</v>
      </c>
      <c r="R28" s="15">
        <f t="shared" si="11"/>
        <v>7210238.2800000003</v>
      </c>
    </row>
    <row r="29" spans="1:18" ht="12.75" x14ac:dyDescent="0.2">
      <c r="A29" t="s">
        <v>89</v>
      </c>
      <c r="B29" s="2" t="s">
        <v>39</v>
      </c>
      <c r="C29" s="2">
        <v>36</v>
      </c>
      <c r="D29" s="2">
        <v>774</v>
      </c>
      <c r="E29" s="2" t="s">
        <v>13</v>
      </c>
      <c r="F29" s="2" t="s">
        <v>7</v>
      </c>
      <c r="G29" t="s">
        <v>39</v>
      </c>
      <c r="H29" s="15">
        <f t="shared" si="1"/>
        <v>271898.46000000002</v>
      </c>
      <c r="I29" s="15">
        <f t="shared" si="2"/>
        <v>219158.09999999998</v>
      </c>
      <c r="J29" s="15">
        <f t="shared" si="3"/>
        <v>288307.26</v>
      </c>
      <c r="K29" s="15">
        <f t="shared" si="4"/>
        <v>168762.96</v>
      </c>
      <c r="L29" s="15">
        <f t="shared" si="5"/>
        <v>125403.48000000001</v>
      </c>
      <c r="M29" s="15">
        <f t="shared" si="6"/>
        <v>117779.57999999999</v>
      </c>
      <c r="N29" s="15">
        <f t="shared" si="7"/>
        <v>72074.880000000005</v>
      </c>
      <c r="O29" s="15">
        <f t="shared" si="8"/>
        <v>26370.18</v>
      </c>
      <c r="P29" s="15">
        <f t="shared" si="9"/>
        <v>26370.18</v>
      </c>
      <c r="Q29" s="15">
        <f t="shared" si="10"/>
        <v>8204.4</v>
      </c>
      <c r="R29" s="15">
        <f t="shared" si="11"/>
        <v>1324329.48</v>
      </c>
    </row>
    <row r="30" spans="1:18" ht="12.75" x14ac:dyDescent="0.2">
      <c r="A30" t="s">
        <v>89</v>
      </c>
      <c r="B30" s="2" t="s">
        <v>40</v>
      </c>
      <c r="C30" s="2">
        <v>44</v>
      </c>
      <c r="D30" s="2">
        <v>5217</v>
      </c>
      <c r="E30" s="2" t="s">
        <v>16</v>
      </c>
      <c r="F30" s="2" t="s">
        <v>7</v>
      </c>
      <c r="G30" t="s">
        <v>40</v>
      </c>
      <c r="H30" s="15">
        <f t="shared" si="1"/>
        <v>1832679.9300000002</v>
      </c>
      <c r="I30" s="15">
        <f t="shared" si="2"/>
        <v>1477193.5499999998</v>
      </c>
      <c r="J30" s="15">
        <f t="shared" si="3"/>
        <v>1943280.33</v>
      </c>
      <c r="K30" s="15">
        <f t="shared" si="4"/>
        <v>1137514.68</v>
      </c>
      <c r="L30" s="15">
        <f t="shared" si="5"/>
        <v>845258.34000000008</v>
      </c>
      <c r="M30" s="15">
        <f t="shared" si="6"/>
        <v>793870.8899999999</v>
      </c>
      <c r="N30" s="15">
        <f t="shared" si="7"/>
        <v>485807.04000000004</v>
      </c>
      <c r="O30" s="15">
        <f t="shared" si="8"/>
        <v>177743.19</v>
      </c>
      <c r="P30" s="15">
        <f t="shared" si="9"/>
        <v>177743.19</v>
      </c>
      <c r="Q30" s="15">
        <f t="shared" si="10"/>
        <v>55300.2</v>
      </c>
      <c r="R30" s="15">
        <f t="shared" si="11"/>
        <v>8926391.3399999999</v>
      </c>
    </row>
    <row r="31" spans="1:18" ht="12.75" x14ac:dyDescent="0.2">
      <c r="A31" s="19" t="s">
        <v>91</v>
      </c>
      <c r="B31" s="2" t="s">
        <v>97</v>
      </c>
      <c r="C31" s="2"/>
      <c r="D31" s="2">
        <v>1380</v>
      </c>
      <c r="E31" s="2" t="s">
        <v>98</v>
      </c>
      <c r="F31" s="2" t="s">
        <v>7</v>
      </c>
      <c r="G31" s="2" t="s">
        <v>97</v>
      </c>
      <c r="H31" s="15">
        <f t="shared" si="1"/>
        <v>484780.2</v>
      </c>
      <c r="I31" s="15">
        <f t="shared" si="2"/>
        <v>390746.99999999994</v>
      </c>
      <c r="J31" s="15">
        <f t="shared" si="3"/>
        <v>514036.2</v>
      </c>
      <c r="K31" s="15">
        <f t="shared" si="4"/>
        <v>300895.2</v>
      </c>
      <c r="L31" s="15">
        <f t="shared" si="5"/>
        <v>223587.6</v>
      </c>
      <c r="M31" s="15">
        <f t="shared" si="6"/>
        <v>209994.59999999998</v>
      </c>
      <c r="N31" s="15">
        <f t="shared" si="7"/>
        <v>128505.60000000001</v>
      </c>
      <c r="O31" s="15">
        <f t="shared" si="8"/>
        <v>47016.6</v>
      </c>
      <c r="P31" s="15">
        <f t="shared" si="9"/>
        <v>47016.6</v>
      </c>
      <c r="Q31" s="15">
        <f t="shared" si="10"/>
        <v>14628</v>
      </c>
      <c r="R31" s="15">
        <f t="shared" si="11"/>
        <v>2361207.6</v>
      </c>
    </row>
    <row r="32" spans="1:18" ht="12.75" x14ac:dyDescent="0.2">
      <c r="A32" t="s">
        <v>91</v>
      </c>
      <c r="B32" s="2" t="s">
        <v>41</v>
      </c>
      <c r="C32" s="2">
        <v>39</v>
      </c>
      <c r="D32" s="2">
        <v>3220</v>
      </c>
      <c r="E32" s="2" t="s">
        <v>9</v>
      </c>
      <c r="F32" s="2" t="s">
        <v>7</v>
      </c>
      <c r="G32" t="s">
        <v>41</v>
      </c>
      <c r="H32" s="15">
        <f t="shared" si="1"/>
        <v>1131153.8</v>
      </c>
      <c r="I32" s="15">
        <f t="shared" si="2"/>
        <v>911742.99999999988</v>
      </c>
      <c r="J32" s="15">
        <f t="shared" si="3"/>
        <v>1199417.8</v>
      </c>
      <c r="K32" s="15">
        <f t="shared" si="4"/>
        <v>702088.79999999993</v>
      </c>
      <c r="L32" s="15">
        <f t="shared" si="5"/>
        <v>521704.4</v>
      </c>
      <c r="M32" s="15">
        <f t="shared" si="6"/>
        <v>489987.39999999997</v>
      </c>
      <c r="N32" s="15">
        <f t="shared" si="7"/>
        <v>299846.40000000002</v>
      </c>
      <c r="O32" s="15">
        <f t="shared" si="8"/>
        <v>109705.4</v>
      </c>
      <c r="P32" s="15">
        <f t="shared" si="9"/>
        <v>109705.4</v>
      </c>
      <c r="Q32" s="15">
        <f t="shared" si="10"/>
        <v>34132</v>
      </c>
      <c r="R32" s="15">
        <f t="shared" si="11"/>
        <v>5509484.4000000004</v>
      </c>
    </row>
    <row r="33" spans="1:18" ht="12.75" x14ac:dyDescent="0.2">
      <c r="A33" t="s">
        <v>91</v>
      </c>
      <c r="B33" s="2" t="s">
        <v>42</v>
      </c>
      <c r="C33" s="2">
        <v>43</v>
      </c>
      <c r="D33" s="2">
        <v>3459</v>
      </c>
      <c r="E33" s="2" t="s">
        <v>13</v>
      </c>
      <c r="F33" s="2" t="s">
        <v>7</v>
      </c>
      <c r="G33" t="s">
        <v>42</v>
      </c>
      <c r="H33" s="15">
        <f t="shared" si="1"/>
        <v>1215112.1100000001</v>
      </c>
      <c r="I33" s="15">
        <f t="shared" si="2"/>
        <v>979415.85</v>
      </c>
      <c r="J33" s="15">
        <f t="shared" si="3"/>
        <v>1288442.9099999999</v>
      </c>
      <c r="K33" s="15">
        <f t="shared" si="4"/>
        <v>754200.36</v>
      </c>
      <c r="L33" s="15">
        <f t="shared" si="5"/>
        <v>560427.18000000005</v>
      </c>
      <c r="M33" s="15">
        <f t="shared" si="6"/>
        <v>526356.02999999991</v>
      </c>
      <c r="N33" s="15">
        <f t="shared" si="7"/>
        <v>322102.08</v>
      </c>
      <c r="O33" s="15">
        <f t="shared" si="8"/>
        <v>117848.13</v>
      </c>
      <c r="P33" s="15">
        <f t="shared" si="9"/>
        <v>117848.13</v>
      </c>
      <c r="Q33" s="15">
        <f t="shared" si="10"/>
        <v>36665.4</v>
      </c>
      <c r="R33" s="15">
        <f t="shared" si="11"/>
        <v>5918418.1799999997</v>
      </c>
    </row>
    <row r="34" spans="1:18" ht="12.75" x14ac:dyDescent="0.2">
      <c r="A34" t="s">
        <v>91</v>
      </c>
      <c r="B34" s="2" t="s">
        <v>43</v>
      </c>
      <c r="C34" s="2">
        <v>53</v>
      </c>
      <c r="D34" s="2">
        <v>5436</v>
      </c>
      <c r="E34" s="2" t="s">
        <v>16</v>
      </c>
      <c r="F34" s="2" t="s">
        <v>7</v>
      </c>
      <c r="G34" t="s">
        <v>43</v>
      </c>
      <c r="H34" s="15">
        <f t="shared" si="1"/>
        <v>1909612.4400000002</v>
      </c>
      <c r="I34" s="15">
        <f t="shared" si="2"/>
        <v>1539203.4</v>
      </c>
      <c r="J34" s="15">
        <f t="shared" si="3"/>
        <v>2024855.6400000001</v>
      </c>
      <c r="K34" s="15">
        <f t="shared" si="4"/>
        <v>1185265.44</v>
      </c>
      <c r="L34" s="15">
        <f t="shared" si="5"/>
        <v>880740.72000000009</v>
      </c>
      <c r="M34" s="15">
        <f t="shared" si="6"/>
        <v>827196.11999999988</v>
      </c>
      <c r="N34" s="15">
        <f t="shared" si="7"/>
        <v>506200.32000000001</v>
      </c>
      <c r="O34" s="15">
        <f t="shared" si="8"/>
        <v>185204.52</v>
      </c>
      <c r="P34" s="15">
        <f t="shared" si="9"/>
        <v>185204.52</v>
      </c>
      <c r="Q34" s="15">
        <f t="shared" si="10"/>
        <v>57621.599999999999</v>
      </c>
      <c r="R34" s="15">
        <f t="shared" si="11"/>
        <v>9301104.7200000007</v>
      </c>
    </row>
    <row r="35" spans="1:18" ht="12.75" x14ac:dyDescent="0.2">
      <c r="A35" t="s">
        <v>91</v>
      </c>
      <c r="B35" s="2" t="s">
        <v>44</v>
      </c>
      <c r="C35" s="2">
        <v>52</v>
      </c>
      <c r="D35" s="2">
        <v>2135</v>
      </c>
      <c r="E35" s="2" t="s">
        <v>16</v>
      </c>
      <c r="F35" s="2" t="s">
        <v>7</v>
      </c>
      <c r="G35" t="s">
        <v>44</v>
      </c>
      <c r="H35" s="15">
        <f t="shared" si="1"/>
        <v>750004.15</v>
      </c>
      <c r="I35" s="15">
        <f t="shared" si="2"/>
        <v>604525.25</v>
      </c>
      <c r="J35" s="15">
        <f t="shared" si="3"/>
        <v>795266.15</v>
      </c>
      <c r="K35" s="15">
        <f t="shared" si="4"/>
        <v>465515.39999999997</v>
      </c>
      <c r="L35" s="15">
        <f t="shared" si="5"/>
        <v>345912.7</v>
      </c>
      <c r="M35" s="15">
        <f t="shared" si="6"/>
        <v>324882.94999999995</v>
      </c>
      <c r="N35" s="15">
        <f t="shared" si="7"/>
        <v>198811.2</v>
      </c>
      <c r="O35" s="15">
        <f t="shared" si="8"/>
        <v>72739.45</v>
      </c>
      <c r="P35" s="15">
        <f t="shared" si="9"/>
        <v>72739.45</v>
      </c>
      <c r="Q35" s="15">
        <f t="shared" si="10"/>
        <v>22631</v>
      </c>
      <c r="R35" s="15">
        <f t="shared" si="11"/>
        <v>3653027.7</v>
      </c>
    </row>
    <row r="36" spans="1:18" ht="12.75" x14ac:dyDescent="0.2">
      <c r="A36" t="s">
        <v>91</v>
      </c>
      <c r="B36" s="2" t="s">
        <v>45</v>
      </c>
      <c r="C36" s="2">
        <v>54</v>
      </c>
      <c r="D36" s="2">
        <v>10178</v>
      </c>
      <c r="E36" s="2" t="s">
        <v>16</v>
      </c>
      <c r="F36" s="2" t="s">
        <v>7</v>
      </c>
      <c r="G36" t="s">
        <v>45</v>
      </c>
      <c r="H36" s="15">
        <f t="shared" si="1"/>
        <v>3575429.62</v>
      </c>
      <c r="I36" s="15">
        <f t="shared" si="2"/>
        <v>2881900.6999999997</v>
      </c>
      <c r="J36" s="15">
        <f t="shared" si="3"/>
        <v>3791203.22</v>
      </c>
      <c r="K36" s="15">
        <f t="shared" si="4"/>
        <v>2219211.12</v>
      </c>
      <c r="L36" s="15">
        <f t="shared" si="5"/>
        <v>1649039.56</v>
      </c>
      <c r="M36" s="15">
        <f t="shared" si="6"/>
        <v>1548786.2599999998</v>
      </c>
      <c r="N36" s="15">
        <f t="shared" si="7"/>
        <v>947775.3600000001</v>
      </c>
      <c r="O36" s="15">
        <f t="shared" si="8"/>
        <v>346764.46</v>
      </c>
      <c r="P36" s="15">
        <f t="shared" si="9"/>
        <v>346764.46</v>
      </c>
      <c r="Q36" s="15">
        <f t="shared" si="10"/>
        <v>107886.8</v>
      </c>
      <c r="R36" s="15">
        <f t="shared" si="11"/>
        <v>17414761.559999999</v>
      </c>
    </row>
    <row r="37" spans="1:18" ht="12.75" x14ac:dyDescent="0.2">
      <c r="A37" t="s">
        <v>91</v>
      </c>
      <c r="B37" s="2" t="s">
        <v>46</v>
      </c>
      <c r="C37" s="2">
        <v>55</v>
      </c>
      <c r="D37" s="2">
        <v>3559</v>
      </c>
      <c r="E37" s="2" t="s">
        <v>16</v>
      </c>
      <c r="F37" s="2" t="s">
        <v>7</v>
      </c>
      <c r="G37" t="s">
        <v>46</v>
      </c>
      <c r="H37" s="15">
        <f t="shared" si="1"/>
        <v>1250241.1100000001</v>
      </c>
      <c r="I37" s="15">
        <f t="shared" si="2"/>
        <v>1007730.85</v>
      </c>
      <c r="J37" s="15">
        <f t="shared" si="3"/>
        <v>1325691.9099999999</v>
      </c>
      <c r="K37" s="15">
        <f t="shared" si="4"/>
        <v>776004.36</v>
      </c>
      <c r="L37" s="15">
        <f t="shared" si="5"/>
        <v>576629.18000000005</v>
      </c>
      <c r="M37" s="15">
        <f t="shared" si="6"/>
        <v>541573.02999999991</v>
      </c>
      <c r="N37" s="15">
        <f t="shared" si="7"/>
        <v>331414.08</v>
      </c>
      <c r="O37" s="15">
        <f t="shared" si="8"/>
        <v>121255.13</v>
      </c>
      <c r="P37" s="15">
        <f t="shared" si="9"/>
        <v>121255.13</v>
      </c>
      <c r="Q37" s="15">
        <f t="shared" si="10"/>
        <v>37725.4</v>
      </c>
      <c r="R37" s="15">
        <f t="shared" si="11"/>
        <v>6089520.1799999997</v>
      </c>
    </row>
    <row r="38" spans="1:18" ht="12.75" x14ac:dyDescent="0.2">
      <c r="A38" t="s">
        <v>87</v>
      </c>
      <c r="B38" s="2" t="s">
        <v>47</v>
      </c>
      <c r="C38" s="2">
        <v>63</v>
      </c>
      <c r="D38" s="2">
        <v>208</v>
      </c>
      <c r="E38" s="2" t="s">
        <v>9</v>
      </c>
      <c r="F38" s="2" t="s">
        <v>7</v>
      </c>
      <c r="G38" t="s">
        <v>47</v>
      </c>
      <c r="H38" s="15">
        <f t="shared" si="1"/>
        <v>73068.320000000007</v>
      </c>
      <c r="I38" s="15">
        <f t="shared" si="2"/>
        <v>58895.199999999997</v>
      </c>
      <c r="J38" s="15">
        <f t="shared" si="3"/>
        <v>77477.919999999998</v>
      </c>
      <c r="K38" s="15">
        <f t="shared" si="4"/>
        <v>45352.32</v>
      </c>
      <c r="L38" s="15">
        <f t="shared" si="5"/>
        <v>33700.160000000003</v>
      </c>
      <c r="M38" s="15">
        <f t="shared" si="6"/>
        <v>31651.359999999997</v>
      </c>
      <c r="N38" s="15">
        <f t="shared" si="7"/>
        <v>19368.96</v>
      </c>
      <c r="O38" s="15">
        <f t="shared" si="8"/>
        <v>7086.56</v>
      </c>
      <c r="P38" s="15">
        <f t="shared" si="9"/>
        <v>7086.56</v>
      </c>
      <c r="Q38" s="15">
        <f t="shared" si="10"/>
        <v>2204.7999999999997</v>
      </c>
      <c r="R38" s="15">
        <f t="shared" si="11"/>
        <v>355892.16</v>
      </c>
    </row>
    <row r="39" spans="1:18" ht="12.75" x14ac:dyDescent="0.2">
      <c r="A39" t="s">
        <v>87</v>
      </c>
      <c r="B39" s="2" t="s">
        <v>48</v>
      </c>
      <c r="C39" s="2">
        <v>87</v>
      </c>
      <c r="D39" s="2">
        <v>2514</v>
      </c>
      <c r="E39" s="2" t="s">
        <v>9</v>
      </c>
      <c r="F39" s="2" t="s">
        <v>7</v>
      </c>
      <c r="G39" t="s">
        <v>48</v>
      </c>
      <c r="H39" s="15">
        <f t="shared" si="1"/>
        <v>883143.06</v>
      </c>
      <c r="I39" s="15">
        <f t="shared" si="2"/>
        <v>711839.1</v>
      </c>
      <c r="J39" s="15">
        <f t="shared" si="3"/>
        <v>936439.86</v>
      </c>
      <c r="K39" s="15">
        <f t="shared" si="4"/>
        <v>548152.55999999994</v>
      </c>
      <c r="L39" s="15">
        <f t="shared" si="5"/>
        <v>407318.28</v>
      </c>
      <c r="M39" s="15">
        <f t="shared" si="6"/>
        <v>382555.37999999995</v>
      </c>
      <c r="N39" s="15">
        <f t="shared" si="7"/>
        <v>234103.68000000002</v>
      </c>
      <c r="O39" s="15">
        <f t="shared" si="8"/>
        <v>85651.98</v>
      </c>
      <c r="P39" s="15">
        <f t="shared" si="9"/>
        <v>85651.98</v>
      </c>
      <c r="Q39" s="15">
        <f t="shared" si="10"/>
        <v>26648.399999999998</v>
      </c>
      <c r="R39" s="15">
        <f t="shared" si="11"/>
        <v>4301504.28</v>
      </c>
    </row>
    <row r="40" spans="1:18" ht="12.75" x14ac:dyDescent="0.2">
      <c r="A40" t="s">
        <v>87</v>
      </c>
      <c r="B40" s="2" t="s">
        <v>49</v>
      </c>
      <c r="C40" s="2">
        <v>89</v>
      </c>
      <c r="D40" s="2">
        <v>9211</v>
      </c>
      <c r="E40" s="2" t="s">
        <v>9</v>
      </c>
      <c r="F40" s="2" t="s">
        <v>7</v>
      </c>
      <c r="G40" t="s">
        <v>49</v>
      </c>
      <c r="H40" s="15">
        <f t="shared" si="1"/>
        <v>3235732.1900000004</v>
      </c>
      <c r="I40" s="15">
        <f t="shared" si="2"/>
        <v>2608094.65</v>
      </c>
      <c r="J40" s="15">
        <f t="shared" si="3"/>
        <v>3431005.39</v>
      </c>
      <c r="K40" s="15">
        <f t="shared" si="4"/>
        <v>2008366.44</v>
      </c>
      <c r="L40" s="15">
        <f t="shared" si="5"/>
        <v>1492366.2200000002</v>
      </c>
      <c r="M40" s="15">
        <f t="shared" si="6"/>
        <v>1401637.8699999999</v>
      </c>
      <c r="N40" s="15">
        <f t="shared" si="7"/>
        <v>857728.32000000007</v>
      </c>
      <c r="O40" s="15">
        <f t="shared" si="8"/>
        <v>313818.77</v>
      </c>
      <c r="P40" s="15">
        <f t="shared" si="9"/>
        <v>313818.77</v>
      </c>
      <c r="Q40" s="15">
        <f t="shared" si="10"/>
        <v>97636.599999999991</v>
      </c>
      <c r="R40" s="15">
        <f t="shared" si="11"/>
        <v>15760205.220000001</v>
      </c>
    </row>
    <row r="41" spans="1:18" ht="12.75" x14ac:dyDescent="0.2">
      <c r="A41" t="s">
        <v>87</v>
      </c>
      <c r="B41" s="2" t="s">
        <v>50</v>
      </c>
      <c r="C41" s="2">
        <v>60</v>
      </c>
      <c r="D41" s="2">
        <v>2936</v>
      </c>
      <c r="E41" s="2" t="s">
        <v>9</v>
      </c>
      <c r="F41" s="2" t="s">
        <v>7</v>
      </c>
      <c r="G41" t="s">
        <v>50</v>
      </c>
      <c r="H41" s="15">
        <f t="shared" si="1"/>
        <v>1031387.4400000001</v>
      </c>
      <c r="I41" s="15">
        <f t="shared" si="2"/>
        <v>831328.39999999991</v>
      </c>
      <c r="J41" s="15">
        <f t="shared" si="3"/>
        <v>1093630.6400000001</v>
      </c>
      <c r="K41" s="15">
        <f t="shared" si="4"/>
        <v>640165.43999999994</v>
      </c>
      <c r="L41" s="15">
        <f t="shared" si="5"/>
        <v>475690.72000000003</v>
      </c>
      <c r="M41" s="15">
        <f t="shared" si="6"/>
        <v>446771.11999999994</v>
      </c>
      <c r="N41" s="15">
        <f t="shared" si="7"/>
        <v>273400.32000000001</v>
      </c>
      <c r="O41" s="15">
        <f t="shared" si="8"/>
        <v>100029.52</v>
      </c>
      <c r="P41" s="15">
        <f t="shared" si="9"/>
        <v>100029.52</v>
      </c>
      <c r="Q41" s="15">
        <f t="shared" si="10"/>
        <v>31121.599999999999</v>
      </c>
      <c r="R41" s="15">
        <f t="shared" si="11"/>
        <v>5023554.72</v>
      </c>
    </row>
    <row r="42" spans="1:18" ht="12.75" x14ac:dyDescent="0.2">
      <c r="A42" s="19" t="s">
        <v>109</v>
      </c>
      <c r="B42" s="3" t="s">
        <v>113</v>
      </c>
      <c r="D42" s="24">
        <v>347591</v>
      </c>
      <c r="E42" s="3"/>
      <c r="F42" s="3" t="s">
        <v>110</v>
      </c>
      <c r="H42" s="15">
        <f>IF($F42="Meadows", $D42*$F$52, 0)</f>
        <v>122105242.39</v>
      </c>
      <c r="I42" s="15">
        <f t="shared" ref="I42:R42" si="12">IF($F42="Meadows", $D42*$F$52, 0)</f>
        <v>122105242.39</v>
      </c>
      <c r="J42" s="15">
        <f t="shared" si="12"/>
        <v>122105242.39</v>
      </c>
      <c r="K42" s="15">
        <f t="shared" si="12"/>
        <v>122105242.39</v>
      </c>
      <c r="L42" s="15">
        <f t="shared" si="12"/>
        <v>122105242.39</v>
      </c>
      <c r="M42" s="15">
        <f t="shared" si="12"/>
        <v>122105242.39</v>
      </c>
      <c r="N42" s="15">
        <f t="shared" si="12"/>
        <v>122105242.39</v>
      </c>
      <c r="O42" s="15">
        <f t="shared" si="12"/>
        <v>122105242.39</v>
      </c>
      <c r="P42" s="15">
        <f t="shared" si="12"/>
        <v>122105242.39</v>
      </c>
      <c r="Q42" s="15">
        <f t="shared" si="12"/>
        <v>122105242.39</v>
      </c>
      <c r="R42" s="15">
        <f t="shared" si="12"/>
        <v>122105242.39</v>
      </c>
    </row>
    <row r="43" spans="1:18" ht="12.75" x14ac:dyDescent="0.2">
      <c r="A43" s="19" t="s">
        <v>109</v>
      </c>
      <c r="B43" s="3" t="s">
        <v>113</v>
      </c>
      <c r="D43" s="24">
        <v>303372</v>
      </c>
      <c r="E43" s="3"/>
      <c r="F43" s="3" t="s">
        <v>111</v>
      </c>
      <c r="G43" s="4">
        <v>0</v>
      </c>
      <c r="H43" s="15">
        <f>IF($F43="Floodplain", $D43*$F$52, 0)</f>
        <v>106571549.88000001</v>
      </c>
      <c r="I43" s="15">
        <f t="shared" ref="I43:R43" si="13">IF($F43="Floodplain", $D43*$F$52, 0)</f>
        <v>106571549.88000001</v>
      </c>
      <c r="J43" s="15">
        <f t="shared" si="13"/>
        <v>106571549.88000001</v>
      </c>
      <c r="K43" s="15">
        <f t="shared" si="13"/>
        <v>106571549.88000001</v>
      </c>
      <c r="L43" s="15">
        <f t="shared" si="13"/>
        <v>106571549.88000001</v>
      </c>
      <c r="M43" s="15">
        <f t="shared" si="13"/>
        <v>106571549.88000001</v>
      </c>
      <c r="N43" s="15">
        <f t="shared" si="13"/>
        <v>106571549.88000001</v>
      </c>
      <c r="O43" s="15">
        <f t="shared" si="13"/>
        <v>106571549.88000001</v>
      </c>
      <c r="P43" s="15">
        <f t="shared" si="13"/>
        <v>106571549.88000001</v>
      </c>
      <c r="Q43" s="15">
        <f t="shared" si="13"/>
        <v>106571549.88000001</v>
      </c>
      <c r="R43" s="15">
        <f t="shared" si="13"/>
        <v>106571549.88000001</v>
      </c>
    </row>
    <row r="44" spans="1:18" ht="12.75" x14ac:dyDescent="0.2">
      <c r="A44" s="19" t="s">
        <v>109</v>
      </c>
      <c r="B44" s="3" t="s">
        <v>113</v>
      </c>
      <c r="D44" s="24">
        <v>207004</v>
      </c>
      <c r="E44" s="3"/>
      <c r="F44" s="3" t="s">
        <v>112</v>
      </c>
      <c r="G44" s="4"/>
      <c r="H44" s="15">
        <f>IF($F44="Wetland", $D44*$F$52, 0)</f>
        <v>72718435.160000011</v>
      </c>
      <c r="I44" s="15">
        <f t="shared" ref="I44:R44" si="14">IF($F44="Wetland", $D44*$F$52, 0)</f>
        <v>72718435.160000011</v>
      </c>
      <c r="J44" s="15">
        <f t="shared" si="14"/>
        <v>72718435.160000011</v>
      </c>
      <c r="K44" s="15">
        <f t="shared" si="14"/>
        <v>72718435.160000011</v>
      </c>
      <c r="L44" s="15">
        <f t="shared" si="14"/>
        <v>72718435.160000011</v>
      </c>
      <c r="M44" s="15">
        <f t="shared" si="14"/>
        <v>72718435.160000011</v>
      </c>
      <c r="N44" s="15">
        <f t="shared" si="14"/>
        <v>72718435.160000011</v>
      </c>
      <c r="O44" s="15">
        <f t="shared" si="14"/>
        <v>72718435.160000011</v>
      </c>
      <c r="P44" s="15">
        <f t="shared" si="14"/>
        <v>72718435.160000011</v>
      </c>
      <c r="Q44" s="15">
        <f t="shared" si="14"/>
        <v>72718435.160000011</v>
      </c>
      <c r="R44" s="15">
        <f t="shared" si="14"/>
        <v>72718435.160000011</v>
      </c>
    </row>
    <row r="45" spans="1:18" ht="12.75" x14ac:dyDescent="0.2">
      <c r="D45" s="4">
        <f>SUM(D4:D41)</f>
        <v>250195</v>
      </c>
      <c r="G45" s="16" t="s">
        <v>85</v>
      </c>
      <c r="H45" s="15">
        <f t="shared" ref="H45:R45" si="15">SUM(H4:H41)</f>
        <v>87891001.549999997</v>
      </c>
      <c r="I45" s="15">
        <f t="shared" si="15"/>
        <v>70842714.250000015</v>
      </c>
      <c r="J45" s="15">
        <f t="shared" si="15"/>
        <v>93195135.549999997</v>
      </c>
      <c r="K45" s="15">
        <f t="shared" si="15"/>
        <v>54552517.799999982</v>
      </c>
      <c r="L45" s="15">
        <f t="shared" si="15"/>
        <v>40536593.899999999</v>
      </c>
      <c r="M45" s="15">
        <f t="shared" si="15"/>
        <v>38072173.149999999</v>
      </c>
      <c r="N45" s="15">
        <f t="shared" si="15"/>
        <v>23298158.399999991</v>
      </c>
      <c r="O45" s="15">
        <f t="shared" si="15"/>
        <v>8524143.6499999985</v>
      </c>
      <c r="P45" s="15">
        <f t="shared" si="15"/>
        <v>8524143.6499999985</v>
      </c>
      <c r="Q45" s="15">
        <f t="shared" si="15"/>
        <v>2652067</v>
      </c>
      <c r="R45" s="15">
        <f t="shared" si="15"/>
        <v>428088648.9000001</v>
      </c>
    </row>
    <row r="46" spans="1:18" ht="15.75" customHeight="1" x14ac:dyDescent="0.2">
      <c r="C46" s="19" t="s">
        <v>101</v>
      </c>
      <c r="D46">
        <f>SUM(D4:D8,D14,D38:D41)</f>
        <v>84385</v>
      </c>
      <c r="F46" s="4" t="s">
        <v>51</v>
      </c>
    </row>
    <row r="47" spans="1:18" ht="15.75" customHeight="1" x14ac:dyDescent="0.2">
      <c r="C47" s="19" t="s">
        <v>99</v>
      </c>
      <c r="D47">
        <f>SUM(D31:D37)</f>
        <v>29367</v>
      </c>
      <c r="F47" s="4" t="s">
        <v>52</v>
      </c>
    </row>
    <row r="48" spans="1:18" ht="15.75" customHeight="1" x14ac:dyDescent="0.2">
      <c r="A48" s="1" t="s">
        <v>11</v>
      </c>
      <c r="C48" s="19" t="s">
        <v>102</v>
      </c>
      <c r="D48">
        <f>SUM(D10:D13,D15:D30)</f>
        <v>130507</v>
      </c>
    </row>
    <row r="49" spans="1:6" ht="15.75" customHeight="1" x14ac:dyDescent="0.2">
      <c r="A49" s="2" t="s">
        <v>14</v>
      </c>
    </row>
    <row r="50" spans="1:6" ht="15.75" customHeight="1" x14ac:dyDescent="0.2">
      <c r="A50" s="3" t="s">
        <v>17</v>
      </c>
    </row>
    <row r="51" spans="1:6" ht="15.75" customHeight="1" x14ac:dyDescent="0.2">
      <c r="D51" s="9" t="s">
        <v>137</v>
      </c>
      <c r="E51" s="9" t="s">
        <v>71</v>
      </c>
      <c r="F51" s="9" t="s">
        <v>83</v>
      </c>
    </row>
    <row r="52" spans="1:6" ht="15.75" customHeight="1" x14ac:dyDescent="0.2">
      <c r="D52" s="10" t="s">
        <v>72</v>
      </c>
      <c r="E52" s="10">
        <v>187.77</v>
      </c>
      <c r="F52" s="10">
        <v>351.29</v>
      </c>
    </row>
    <row r="53" spans="1:6" ht="15.75" customHeight="1" x14ac:dyDescent="0.2">
      <c r="D53" s="10" t="s">
        <v>73</v>
      </c>
      <c r="E53" s="10">
        <v>151.35</v>
      </c>
      <c r="F53" s="10">
        <v>283.14999999999998</v>
      </c>
    </row>
    <row r="54" spans="1:6" ht="15.75" customHeight="1" x14ac:dyDescent="0.2">
      <c r="D54" s="10" t="s">
        <v>74</v>
      </c>
      <c r="E54" s="10">
        <v>199.11</v>
      </c>
      <c r="F54" s="10">
        <v>372.49</v>
      </c>
    </row>
    <row r="55" spans="1:6" ht="15.75" customHeight="1" x14ac:dyDescent="0.2">
      <c r="D55" s="10" t="s">
        <v>75</v>
      </c>
      <c r="E55" s="10">
        <v>116.55</v>
      </c>
      <c r="F55" s="10">
        <v>218.04</v>
      </c>
    </row>
    <row r="56" spans="1:6" ht="15.75" customHeight="1" x14ac:dyDescent="0.2">
      <c r="D56" s="10" t="s">
        <v>76</v>
      </c>
      <c r="E56" s="10">
        <v>86.6</v>
      </c>
      <c r="F56" s="10">
        <v>162.02000000000001</v>
      </c>
    </row>
    <row r="57" spans="1:6" ht="15.75" customHeight="1" x14ac:dyDescent="0.2">
      <c r="D57" s="10" t="s">
        <v>77</v>
      </c>
      <c r="E57" s="10">
        <v>81.34</v>
      </c>
      <c r="F57" s="10">
        <v>152.16999999999999</v>
      </c>
    </row>
    <row r="58" spans="1:6" ht="15.75" customHeight="1" x14ac:dyDescent="0.2">
      <c r="D58" s="10" t="s">
        <v>78</v>
      </c>
      <c r="E58" s="10">
        <v>49.78</v>
      </c>
      <c r="F58" s="10">
        <v>93.12</v>
      </c>
    </row>
    <row r="59" spans="1:6" ht="15.75" customHeight="1" x14ac:dyDescent="0.2">
      <c r="D59" s="10" t="s">
        <v>79</v>
      </c>
      <c r="E59" s="10">
        <v>18.21</v>
      </c>
      <c r="F59" s="10">
        <v>34.07</v>
      </c>
    </row>
    <row r="60" spans="1:6" ht="15.75" customHeight="1" x14ac:dyDescent="0.2">
      <c r="D60" s="10" t="s">
        <v>80</v>
      </c>
      <c r="E60" s="10">
        <v>18.21</v>
      </c>
      <c r="F60" s="10">
        <v>34.07</v>
      </c>
    </row>
    <row r="61" spans="1:6" ht="15.75" customHeight="1" x14ac:dyDescent="0.2">
      <c r="D61" s="10" t="s">
        <v>81</v>
      </c>
      <c r="E61" s="10">
        <v>5.67</v>
      </c>
      <c r="F61" s="10">
        <v>10.6</v>
      </c>
    </row>
    <row r="62" spans="1:6" ht="15.75" customHeight="1" x14ac:dyDescent="0.2">
      <c r="D62" s="11" t="s">
        <v>82</v>
      </c>
      <c r="E62" s="11">
        <v>914.59</v>
      </c>
      <c r="F62" s="12">
        <v>1711.02</v>
      </c>
    </row>
    <row r="68" spans="3:9" ht="15.75" customHeight="1" x14ac:dyDescent="0.2">
      <c r="G68" s="22"/>
      <c r="H68" s="22"/>
      <c r="I68" s="22"/>
    </row>
    <row r="69" spans="3:9" ht="15.75" customHeight="1" x14ac:dyDescent="0.2">
      <c r="G69" s="22"/>
      <c r="H69" s="22"/>
      <c r="I69" s="22"/>
    </row>
    <row r="70" spans="3:9" ht="15.75" customHeight="1" x14ac:dyDescent="0.2">
      <c r="C70" s="22"/>
    </row>
    <row r="71" spans="3:9" ht="15.75" customHeight="1" x14ac:dyDescent="0.2">
      <c r="C71" s="22"/>
    </row>
    <row r="72" spans="3:9" ht="15.75" customHeight="1" x14ac:dyDescent="0.2">
      <c r="C72" s="22"/>
    </row>
    <row r="73" spans="3:9" ht="15.75" customHeight="1" x14ac:dyDescent="0.2">
      <c r="C73" s="22"/>
    </row>
    <row r="74" spans="3:9" ht="15.75" customHeight="1" x14ac:dyDescent="0.2">
      <c r="C74" s="22"/>
    </row>
    <row r="75" spans="3:9" ht="15.75" customHeight="1" x14ac:dyDescent="0.2">
      <c r="C75" s="22"/>
    </row>
    <row r="76" spans="3:9" ht="15.75" customHeight="1" x14ac:dyDescent="0.2">
      <c r="C76" s="22"/>
    </row>
    <row r="77" spans="3:9" ht="15.75" customHeight="1" x14ac:dyDescent="0.2">
      <c r="C77" s="22"/>
    </row>
    <row r="78" spans="3:9" ht="15.75" customHeight="1" x14ac:dyDescent="0.2">
      <c r="C78" s="23"/>
    </row>
    <row r="79" spans="3:9" ht="15.75" customHeight="1" x14ac:dyDescent="0.2">
      <c r="C79" s="23"/>
    </row>
    <row r="80" spans="3:9" ht="15.75" customHeight="1" x14ac:dyDescent="0.2">
      <c r="C80" s="23"/>
    </row>
    <row r="81" spans="3:3" ht="15.75" customHeight="1" x14ac:dyDescent="0.2">
      <c r="C81" s="23"/>
    </row>
    <row r="82" spans="3:3" ht="15.75" customHeight="1" x14ac:dyDescent="0.2">
      <c r="C82" s="23"/>
    </row>
    <row r="83" spans="3:3" ht="15.75" customHeight="1" x14ac:dyDescent="0.2">
      <c r="C83" s="23"/>
    </row>
  </sheetData>
  <mergeCells count="1">
    <mergeCell ref="H1:R1"/>
  </mergeCells>
  <conditionalFormatting sqref="H3:R45">
    <cfRule type="top10" dxfId="4" priority="4" percent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62"/>
  <sheetViews>
    <sheetView workbookViewId="0">
      <selection activeCell="A41" sqref="A41:XFD41"/>
    </sheetView>
  </sheetViews>
  <sheetFormatPr defaultColWidth="12.5703125" defaultRowHeight="15.75" customHeight="1" x14ac:dyDescent="0.2"/>
  <cols>
    <col min="8" max="8" width="30.5703125" customWidth="1"/>
    <col min="9" max="13" width="15" bestFit="1" customWidth="1"/>
    <col min="14" max="17" width="14" bestFit="1" customWidth="1"/>
    <col min="18" max="18" width="16" bestFit="1" customWidth="1"/>
  </cols>
  <sheetData>
    <row r="1" spans="1:18" ht="15.75" customHeight="1" x14ac:dyDescent="0.2">
      <c r="H1" s="238" t="s">
        <v>84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</row>
    <row r="2" spans="1:18" ht="25.5" x14ac:dyDescent="0.2">
      <c r="A2" t="s">
        <v>86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53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94</v>
      </c>
      <c r="B3" s="1" t="s">
        <v>95</v>
      </c>
      <c r="C3" s="1"/>
      <c r="D3" s="1">
        <v>41914</v>
      </c>
      <c r="E3" s="1"/>
      <c r="F3" s="1" t="s">
        <v>96</v>
      </c>
      <c r="G3" s="13"/>
      <c r="H3" s="15">
        <f t="shared" ref="H3:R3" si="0">IF($F3="Tidal", $D3*$F$52, 0)</f>
        <v>14723969.060000001</v>
      </c>
      <c r="I3" s="15">
        <f t="shared" si="0"/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87</v>
      </c>
      <c r="B4" s="3" t="s">
        <v>5</v>
      </c>
      <c r="C4" s="3">
        <v>80</v>
      </c>
      <c r="D4" s="3">
        <v>16543</v>
      </c>
      <c r="E4" s="3" t="s">
        <v>6</v>
      </c>
      <c r="F4" s="3" t="s">
        <v>54</v>
      </c>
      <c r="G4" t="s">
        <v>5</v>
      </c>
      <c r="H4" s="15">
        <f t="shared" ref="H4:H41" si="1">IF($F4="MW", $D4*$F$52, 0)</f>
        <v>0</v>
      </c>
      <c r="I4" s="15">
        <f t="shared" ref="I4:I41" si="2">IF($F4="MW", $D4*$F$53, 0)</f>
        <v>0</v>
      </c>
      <c r="J4" s="15">
        <f t="shared" ref="J4:J41" si="3">IF($F4="MW", $D4*$F$54, 0)</f>
        <v>0</v>
      </c>
      <c r="K4" s="15">
        <f t="shared" ref="K4:K41" si="4">IF($F4="MW", $D4*$F$55, 0)</f>
        <v>0</v>
      </c>
      <c r="L4" s="15">
        <f t="shared" ref="L4:L41" si="5">IF($F4="MW", $D4*$F$56, 0)</f>
        <v>0</v>
      </c>
      <c r="M4" s="15">
        <f t="shared" ref="M4:M41" si="6">IF($F4="MW", $D4*$F$57, 0)</f>
        <v>0</v>
      </c>
      <c r="N4" s="15">
        <f t="shared" ref="N4:N41" si="7">IF($F4="MW", $D4*$F$58, 0)</f>
        <v>0</v>
      </c>
      <c r="O4" s="15">
        <f t="shared" ref="O4:O41" si="8">IF($F4="MW", $D4*$F$59, 0)</f>
        <v>0</v>
      </c>
      <c r="P4" s="15">
        <f t="shared" ref="P4:P41" si="9">IF($F4="MW", $D4*$F$60, 0)</f>
        <v>0</v>
      </c>
      <c r="Q4" s="15">
        <f t="shared" ref="Q4:Q41" si="10">IF($F4="MW", $D4*$F$61, 0)</f>
        <v>0</v>
      </c>
      <c r="R4" s="15">
        <f t="shared" ref="R4:R41" si="11">IF($F4="MW", $D4*$F$62, 0)</f>
        <v>0</v>
      </c>
    </row>
    <row r="5" spans="1:18" ht="12.75" x14ac:dyDescent="0.2">
      <c r="A5" t="s">
        <v>87</v>
      </c>
      <c r="B5" s="3" t="s">
        <v>8</v>
      </c>
      <c r="C5" s="3">
        <v>76</v>
      </c>
      <c r="D5" s="3">
        <v>11798</v>
      </c>
      <c r="E5" s="3" t="s">
        <v>9</v>
      </c>
      <c r="F5" s="3" t="s">
        <v>54</v>
      </c>
      <c r="G5" t="s">
        <v>8</v>
      </c>
      <c r="H5" s="15">
        <f t="shared" si="1"/>
        <v>0</v>
      </c>
      <c r="I5" s="15">
        <f t="shared" si="2"/>
        <v>0</v>
      </c>
      <c r="J5" s="15">
        <f t="shared" si="3"/>
        <v>0</v>
      </c>
      <c r="K5" s="15">
        <f t="shared" si="4"/>
        <v>0</v>
      </c>
      <c r="L5" s="15">
        <f t="shared" si="5"/>
        <v>0</v>
      </c>
      <c r="M5" s="15">
        <f t="shared" si="6"/>
        <v>0</v>
      </c>
      <c r="N5" s="15">
        <f t="shared" si="7"/>
        <v>0</v>
      </c>
      <c r="O5" s="15">
        <f t="shared" si="8"/>
        <v>0</v>
      </c>
      <c r="P5" s="15">
        <f t="shared" si="9"/>
        <v>0</v>
      </c>
      <c r="Q5" s="15">
        <f t="shared" si="10"/>
        <v>0</v>
      </c>
      <c r="R5" s="15">
        <f t="shared" si="11"/>
        <v>0</v>
      </c>
    </row>
    <row r="6" spans="1:18" ht="12.75" x14ac:dyDescent="0.2">
      <c r="A6" t="s">
        <v>87</v>
      </c>
      <c r="B6" s="3" t="s">
        <v>10</v>
      </c>
      <c r="C6" s="3">
        <v>62</v>
      </c>
      <c r="D6" s="3">
        <v>8799</v>
      </c>
      <c r="E6" s="3" t="s">
        <v>9</v>
      </c>
      <c r="F6" s="3" t="s">
        <v>54</v>
      </c>
      <c r="G6" t="s">
        <v>10</v>
      </c>
      <c r="H6" s="15">
        <f t="shared" si="1"/>
        <v>0</v>
      </c>
      <c r="I6" s="15">
        <f t="shared" si="2"/>
        <v>0</v>
      </c>
      <c r="J6" s="15">
        <f t="shared" si="3"/>
        <v>0</v>
      </c>
      <c r="K6" s="15">
        <f t="shared" si="4"/>
        <v>0</v>
      </c>
      <c r="L6" s="15">
        <f t="shared" si="5"/>
        <v>0</v>
      </c>
      <c r="M6" s="15">
        <f t="shared" si="6"/>
        <v>0</v>
      </c>
      <c r="N6" s="15">
        <f t="shared" si="7"/>
        <v>0</v>
      </c>
      <c r="O6" s="15">
        <f t="shared" si="8"/>
        <v>0</v>
      </c>
      <c r="P6" s="15">
        <f t="shared" si="9"/>
        <v>0</v>
      </c>
      <c r="Q6" s="15">
        <f t="shared" si="10"/>
        <v>0</v>
      </c>
      <c r="R6" s="15">
        <f t="shared" si="11"/>
        <v>0</v>
      </c>
    </row>
    <row r="7" spans="1:18" ht="12.75" x14ac:dyDescent="0.2">
      <c r="A7" t="s">
        <v>87</v>
      </c>
      <c r="B7" s="3" t="s">
        <v>12</v>
      </c>
      <c r="C7" s="3">
        <v>61</v>
      </c>
      <c r="D7" s="3">
        <v>9111</v>
      </c>
      <c r="E7" s="3" t="s">
        <v>13</v>
      </c>
      <c r="F7" s="3" t="s">
        <v>54</v>
      </c>
      <c r="G7" t="s">
        <v>12</v>
      </c>
      <c r="H7" s="15">
        <f t="shared" si="1"/>
        <v>0</v>
      </c>
      <c r="I7" s="15">
        <f t="shared" si="2"/>
        <v>0</v>
      </c>
      <c r="J7" s="15">
        <f t="shared" si="3"/>
        <v>0</v>
      </c>
      <c r="K7" s="15">
        <f t="shared" si="4"/>
        <v>0</v>
      </c>
      <c r="L7" s="15">
        <f t="shared" si="5"/>
        <v>0</v>
      </c>
      <c r="M7" s="15">
        <f t="shared" si="6"/>
        <v>0</v>
      </c>
      <c r="N7" s="15">
        <f t="shared" si="7"/>
        <v>0</v>
      </c>
      <c r="O7" s="15">
        <f t="shared" si="8"/>
        <v>0</v>
      </c>
      <c r="P7" s="15">
        <f t="shared" si="9"/>
        <v>0</v>
      </c>
      <c r="Q7" s="15">
        <f t="shared" si="10"/>
        <v>0</v>
      </c>
      <c r="R7" s="15">
        <f t="shared" si="11"/>
        <v>0</v>
      </c>
    </row>
    <row r="8" spans="1:18" ht="12.75" x14ac:dyDescent="0.2">
      <c r="A8" t="s">
        <v>88</v>
      </c>
      <c r="B8" s="2" t="s">
        <v>15</v>
      </c>
      <c r="C8" s="2">
        <v>116</v>
      </c>
      <c r="D8" s="2">
        <v>12907</v>
      </c>
      <c r="E8" s="2" t="s">
        <v>16</v>
      </c>
      <c r="F8" s="2" t="s">
        <v>7</v>
      </c>
      <c r="G8" t="s">
        <v>15</v>
      </c>
      <c r="H8" s="15">
        <f t="shared" si="1"/>
        <v>4534100.03</v>
      </c>
      <c r="I8" s="15">
        <f t="shared" si="2"/>
        <v>3654617.05</v>
      </c>
      <c r="J8" s="15">
        <f t="shared" si="3"/>
        <v>4807728.43</v>
      </c>
      <c r="K8" s="15">
        <f t="shared" si="4"/>
        <v>2814242.28</v>
      </c>
      <c r="L8" s="15">
        <f t="shared" si="5"/>
        <v>2091192.1400000001</v>
      </c>
      <c r="M8" s="15">
        <f t="shared" si="6"/>
        <v>1964058.19</v>
      </c>
      <c r="N8" s="15">
        <f t="shared" si="7"/>
        <v>1201899.8400000001</v>
      </c>
      <c r="O8" s="15">
        <f t="shared" si="8"/>
        <v>439741.49</v>
      </c>
      <c r="P8" s="15">
        <f t="shared" si="9"/>
        <v>439741.49</v>
      </c>
      <c r="Q8" s="15">
        <f t="shared" si="10"/>
        <v>136814.19999999998</v>
      </c>
      <c r="R8" s="15">
        <f t="shared" si="11"/>
        <v>22084135.140000001</v>
      </c>
    </row>
    <row r="9" spans="1:18" ht="12.75" x14ac:dyDescent="0.2">
      <c r="A9" t="s">
        <v>89</v>
      </c>
      <c r="B9" s="3" t="s">
        <v>18</v>
      </c>
      <c r="C9" s="3">
        <v>57</v>
      </c>
      <c r="D9" s="3">
        <v>5936</v>
      </c>
      <c r="E9" s="3" t="s">
        <v>16</v>
      </c>
      <c r="F9" s="3" t="s">
        <v>54</v>
      </c>
      <c r="G9" t="s">
        <v>18</v>
      </c>
      <c r="H9" s="15">
        <f t="shared" si="1"/>
        <v>0</v>
      </c>
      <c r="I9" s="15">
        <f t="shared" si="2"/>
        <v>0</v>
      </c>
      <c r="J9" s="15">
        <f t="shared" si="3"/>
        <v>0</v>
      </c>
      <c r="K9" s="15">
        <f t="shared" si="4"/>
        <v>0</v>
      </c>
      <c r="L9" s="15">
        <f t="shared" si="5"/>
        <v>0</v>
      </c>
      <c r="M9" s="15">
        <f t="shared" si="6"/>
        <v>0</v>
      </c>
      <c r="N9" s="15">
        <f t="shared" si="7"/>
        <v>0</v>
      </c>
      <c r="O9" s="15">
        <f t="shared" si="8"/>
        <v>0</v>
      </c>
      <c r="P9" s="15">
        <f t="shared" si="9"/>
        <v>0</v>
      </c>
      <c r="Q9" s="15">
        <f t="shared" si="10"/>
        <v>0</v>
      </c>
      <c r="R9" s="15">
        <f t="shared" si="11"/>
        <v>0</v>
      </c>
    </row>
    <row r="10" spans="1:18" ht="12.75" x14ac:dyDescent="0.2">
      <c r="A10" t="s">
        <v>89</v>
      </c>
      <c r="B10" s="2" t="s">
        <v>19</v>
      </c>
      <c r="C10" s="2">
        <v>49</v>
      </c>
      <c r="D10" s="2">
        <v>3094</v>
      </c>
      <c r="E10" s="2" t="s">
        <v>16</v>
      </c>
      <c r="F10" s="2" t="s">
        <v>7</v>
      </c>
      <c r="G10" t="s">
        <v>19</v>
      </c>
      <c r="H10" s="15">
        <f t="shared" si="1"/>
        <v>1086891.26</v>
      </c>
      <c r="I10" s="15">
        <f t="shared" si="2"/>
        <v>876066.1</v>
      </c>
      <c r="J10" s="15">
        <f t="shared" si="3"/>
        <v>1152484.06</v>
      </c>
      <c r="K10" s="15">
        <f t="shared" si="4"/>
        <v>674615.76</v>
      </c>
      <c r="L10" s="15">
        <f t="shared" si="5"/>
        <v>501289.88</v>
      </c>
      <c r="M10" s="15">
        <f t="shared" si="6"/>
        <v>470813.98</v>
      </c>
      <c r="N10" s="15">
        <f t="shared" si="7"/>
        <v>288113.28000000003</v>
      </c>
      <c r="O10" s="15">
        <f t="shared" si="8"/>
        <v>105412.58</v>
      </c>
      <c r="P10" s="15">
        <f t="shared" si="9"/>
        <v>105412.58</v>
      </c>
      <c r="Q10" s="15">
        <f t="shared" si="10"/>
        <v>32796.400000000001</v>
      </c>
      <c r="R10" s="15">
        <f t="shared" si="11"/>
        <v>5293895.88</v>
      </c>
    </row>
    <row r="11" spans="1:18" ht="12.75" x14ac:dyDescent="0.2">
      <c r="A11" t="s">
        <v>89</v>
      </c>
      <c r="B11" s="3" t="s">
        <v>20</v>
      </c>
      <c r="C11" s="3">
        <v>41</v>
      </c>
      <c r="D11" s="3">
        <v>1165</v>
      </c>
      <c r="E11" s="3" t="s">
        <v>13</v>
      </c>
      <c r="F11" s="3" t="s">
        <v>54</v>
      </c>
      <c r="G11" t="s">
        <v>20</v>
      </c>
      <c r="H11" s="15">
        <f t="shared" si="1"/>
        <v>0</v>
      </c>
      <c r="I11" s="15">
        <f t="shared" si="2"/>
        <v>0</v>
      </c>
      <c r="J11" s="15">
        <f t="shared" si="3"/>
        <v>0</v>
      </c>
      <c r="K11" s="15">
        <f t="shared" si="4"/>
        <v>0</v>
      </c>
      <c r="L11" s="15">
        <f t="shared" si="5"/>
        <v>0</v>
      </c>
      <c r="M11" s="15">
        <f t="shared" si="6"/>
        <v>0</v>
      </c>
      <c r="N11" s="15">
        <f t="shared" si="7"/>
        <v>0</v>
      </c>
      <c r="O11" s="15">
        <f t="shared" si="8"/>
        <v>0</v>
      </c>
      <c r="P11" s="15">
        <f t="shared" si="9"/>
        <v>0</v>
      </c>
      <c r="Q11" s="15">
        <f t="shared" si="10"/>
        <v>0</v>
      </c>
      <c r="R11" s="15">
        <f t="shared" si="11"/>
        <v>0</v>
      </c>
    </row>
    <row r="12" spans="1:18" ht="12.75" x14ac:dyDescent="0.2">
      <c r="A12" t="s">
        <v>89</v>
      </c>
      <c r="B12" s="3" t="s">
        <v>21</v>
      </c>
      <c r="C12" s="3">
        <v>50</v>
      </c>
      <c r="D12" s="3">
        <v>3625</v>
      </c>
      <c r="E12" s="3" t="s">
        <v>13</v>
      </c>
      <c r="F12" s="3" t="s">
        <v>54</v>
      </c>
      <c r="G12" t="s">
        <v>21</v>
      </c>
      <c r="H12" s="15">
        <f t="shared" si="1"/>
        <v>0</v>
      </c>
      <c r="I12" s="15">
        <f t="shared" si="2"/>
        <v>0</v>
      </c>
      <c r="J12" s="15">
        <f t="shared" si="3"/>
        <v>0</v>
      </c>
      <c r="K12" s="15">
        <f t="shared" si="4"/>
        <v>0</v>
      </c>
      <c r="L12" s="15">
        <f t="shared" si="5"/>
        <v>0</v>
      </c>
      <c r="M12" s="15">
        <f t="shared" si="6"/>
        <v>0</v>
      </c>
      <c r="N12" s="15">
        <f t="shared" si="7"/>
        <v>0</v>
      </c>
      <c r="O12" s="15">
        <f t="shared" si="8"/>
        <v>0</v>
      </c>
      <c r="P12" s="15">
        <f t="shared" si="9"/>
        <v>0</v>
      </c>
      <c r="Q12" s="15">
        <f t="shared" si="10"/>
        <v>0</v>
      </c>
      <c r="R12" s="15">
        <f t="shared" si="11"/>
        <v>0</v>
      </c>
    </row>
    <row r="13" spans="1:18" ht="12.75" x14ac:dyDescent="0.2">
      <c r="A13" t="s">
        <v>89</v>
      </c>
      <c r="B13" s="3" t="s">
        <v>22</v>
      </c>
      <c r="C13" s="3">
        <v>46</v>
      </c>
      <c r="D13" s="3">
        <v>3216</v>
      </c>
      <c r="E13" s="3" t="s">
        <v>9</v>
      </c>
      <c r="F13" s="3" t="s">
        <v>54</v>
      </c>
      <c r="G13" t="s">
        <v>22</v>
      </c>
      <c r="H13" s="15">
        <f t="shared" si="1"/>
        <v>0</v>
      </c>
      <c r="I13" s="15">
        <f t="shared" si="2"/>
        <v>0</v>
      </c>
      <c r="J13" s="15">
        <f t="shared" si="3"/>
        <v>0</v>
      </c>
      <c r="K13" s="15">
        <f t="shared" si="4"/>
        <v>0</v>
      </c>
      <c r="L13" s="15">
        <f t="shared" si="5"/>
        <v>0</v>
      </c>
      <c r="M13" s="15">
        <f t="shared" si="6"/>
        <v>0</v>
      </c>
      <c r="N13" s="15">
        <f t="shared" si="7"/>
        <v>0</v>
      </c>
      <c r="O13" s="15">
        <f t="shared" si="8"/>
        <v>0</v>
      </c>
      <c r="P13" s="15">
        <f t="shared" si="9"/>
        <v>0</v>
      </c>
      <c r="Q13" s="15">
        <f t="shared" si="10"/>
        <v>0</v>
      </c>
      <c r="R13" s="15">
        <f t="shared" si="11"/>
        <v>0</v>
      </c>
    </row>
    <row r="14" spans="1:18" ht="12.75" x14ac:dyDescent="0.2">
      <c r="A14" t="s">
        <v>90</v>
      </c>
      <c r="B14" s="3" t="s">
        <v>23</v>
      </c>
      <c r="C14" s="3">
        <v>58</v>
      </c>
      <c r="D14" s="3">
        <v>10358</v>
      </c>
      <c r="E14" s="3" t="s">
        <v>9</v>
      </c>
      <c r="F14" s="3" t="s">
        <v>54</v>
      </c>
      <c r="G14" t="s">
        <v>23</v>
      </c>
      <c r="H14" s="15">
        <f t="shared" si="1"/>
        <v>0</v>
      </c>
      <c r="I14" s="15">
        <f t="shared" si="2"/>
        <v>0</v>
      </c>
      <c r="J14" s="15">
        <f t="shared" si="3"/>
        <v>0</v>
      </c>
      <c r="K14" s="15">
        <f t="shared" si="4"/>
        <v>0</v>
      </c>
      <c r="L14" s="15">
        <f t="shared" si="5"/>
        <v>0</v>
      </c>
      <c r="M14" s="15">
        <f t="shared" si="6"/>
        <v>0</v>
      </c>
      <c r="N14" s="15">
        <f t="shared" si="7"/>
        <v>0</v>
      </c>
      <c r="O14" s="15">
        <f t="shared" si="8"/>
        <v>0</v>
      </c>
      <c r="P14" s="15">
        <f t="shared" si="9"/>
        <v>0</v>
      </c>
      <c r="Q14" s="15">
        <f t="shared" si="10"/>
        <v>0</v>
      </c>
      <c r="R14" s="15">
        <f t="shared" si="11"/>
        <v>0</v>
      </c>
    </row>
    <row r="15" spans="1:18" ht="12.75" x14ac:dyDescent="0.2">
      <c r="A15" t="s">
        <v>89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89</v>
      </c>
      <c r="B16" s="2" t="s">
        <v>25</v>
      </c>
      <c r="C16" s="2">
        <v>33</v>
      </c>
      <c r="D16" s="2">
        <v>2105</v>
      </c>
      <c r="E16" s="2" t="s">
        <v>9</v>
      </c>
      <c r="F16" s="2" t="s">
        <v>7</v>
      </c>
      <c r="G16" t="s">
        <v>25</v>
      </c>
      <c r="H16" s="15">
        <f t="shared" si="1"/>
        <v>739465.45000000007</v>
      </c>
      <c r="I16" s="15">
        <f t="shared" si="2"/>
        <v>596030.75</v>
      </c>
      <c r="J16" s="15">
        <f t="shared" si="3"/>
        <v>784091.45000000007</v>
      </c>
      <c r="K16" s="15">
        <f t="shared" si="4"/>
        <v>458974.2</v>
      </c>
      <c r="L16" s="15">
        <f t="shared" si="5"/>
        <v>341052.10000000003</v>
      </c>
      <c r="M16" s="15">
        <f t="shared" si="6"/>
        <v>320317.84999999998</v>
      </c>
      <c r="N16" s="15">
        <f t="shared" si="7"/>
        <v>196017.6</v>
      </c>
      <c r="O16" s="15">
        <f t="shared" si="8"/>
        <v>71717.350000000006</v>
      </c>
      <c r="P16" s="15">
        <f t="shared" si="9"/>
        <v>71717.350000000006</v>
      </c>
      <c r="Q16" s="15">
        <f t="shared" si="10"/>
        <v>22313</v>
      </c>
      <c r="R16" s="15">
        <f t="shared" si="11"/>
        <v>3601697.1</v>
      </c>
    </row>
    <row r="17" spans="1:18" ht="12.75" x14ac:dyDescent="0.2">
      <c r="A17" t="s">
        <v>89</v>
      </c>
      <c r="B17" s="2" t="s">
        <v>26</v>
      </c>
      <c r="C17" s="2">
        <v>34</v>
      </c>
      <c r="D17" s="2">
        <v>6060</v>
      </c>
      <c r="E17" s="2" t="s">
        <v>16</v>
      </c>
      <c r="F17" s="2" t="s">
        <v>7</v>
      </c>
      <c r="G17" t="s">
        <v>26</v>
      </c>
      <c r="H17" s="15">
        <f t="shared" si="1"/>
        <v>2128817.4</v>
      </c>
      <c r="I17" s="15">
        <f t="shared" si="2"/>
        <v>1715888.9999999998</v>
      </c>
      <c r="J17" s="15">
        <f t="shared" si="3"/>
        <v>2257289.4</v>
      </c>
      <c r="K17" s="15">
        <f t="shared" si="4"/>
        <v>1321322.3999999999</v>
      </c>
      <c r="L17" s="15">
        <f t="shared" si="5"/>
        <v>981841.20000000007</v>
      </c>
      <c r="M17" s="15">
        <f t="shared" si="6"/>
        <v>922150.2</v>
      </c>
      <c r="N17" s="15">
        <f t="shared" si="7"/>
        <v>564307.20000000007</v>
      </c>
      <c r="O17" s="15">
        <f t="shared" si="8"/>
        <v>206464.2</v>
      </c>
      <c r="P17" s="15">
        <f t="shared" si="9"/>
        <v>206464.2</v>
      </c>
      <c r="Q17" s="15">
        <f t="shared" si="10"/>
        <v>64236</v>
      </c>
      <c r="R17" s="15">
        <f t="shared" si="11"/>
        <v>10368781.199999999</v>
      </c>
    </row>
    <row r="18" spans="1:18" ht="12.75" x14ac:dyDescent="0.2">
      <c r="A18" t="s">
        <v>89</v>
      </c>
      <c r="B18" s="2" t="s">
        <v>27</v>
      </c>
      <c r="C18" s="2">
        <v>26</v>
      </c>
      <c r="D18" s="2">
        <v>12127</v>
      </c>
      <c r="E18" s="2" t="s">
        <v>9</v>
      </c>
      <c r="F18" s="2" t="s">
        <v>7</v>
      </c>
      <c r="G18" t="s">
        <v>27</v>
      </c>
      <c r="H18" s="15">
        <f t="shared" si="1"/>
        <v>4260093.83</v>
      </c>
      <c r="I18" s="15">
        <f t="shared" si="2"/>
        <v>3433760.05</v>
      </c>
      <c r="J18" s="15">
        <f t="shared" si="3"/>
        <v>4517186.2300000004</v>
      </c>
      <c r="K18" s="15">
        <f t="shared" si="4"/>
        <v>2644171.08</v>
      </c>
      <c r="L18" s="15">
        <f t="shared" si="5"/>
        <v>1964816.54</v>
      </c>
      <c r="M18" s="15">
        <f t="shared" si="6"/>
        <v>1845365.5899999999</v>
      </c>
      <c r="N18" s="15">
        <f t="shared" si="7"/>
        <v>1129266.24</v>
      </c>
      <c r="O18" s="15">
        <f t="shared" si="8"/>
        <v>413166.89</v>
      </c>
      <c r="P18" s="15">
        <f t="shared" si="9"/>
        <v>413166.89</v>
      </c>
      <c r="Q18" s="15">
        <f t="shared" si="10"/>
        <v>128546.2</v>
      </c>
      <c r="R18" s="15">
        <f t="shared" si="11"/>
        <v>20749539.539999999</v>
      </c>
    </row>
    <row r="19" spans="1:18" ht="12.75" x14ac:dyDescent="0.2">
      <c r="A19" t="s">
        <v>89</v>
      </c>
      <c r="B19" s="2" t="s">
        <v>28</v>
      </c>
      <c r="C19" s="2">
        <v>25</v>
      </c>
      <c r="D19" s="2">
        <v>1401</v>
      </c>
      <c r="E19" s="2" t="s">
        <v>9</v>
      </c>
      <c r="F19" s="2" t="s">
        <v>7</v>
      </c>
      <c r="G19" t="s">
        <v>28</v>
      </c>
      <c r="H19" s="15">
        <f t="shared" si="1"/>
        <v>492157.29000000004</v>
      </c>
      <c r="I19" s="15">
        <f t="shared" si="2"/>
        <v>396693.14999999997</v>
      </c>
      <c r="J19" s="15">
        <f t="shared" si="3"/>
        <v>521858.49</v>
      </c>
      <c r="K19" s="15">
        <f t="shared" si="4"/>
        <v>305474.03999999998</v>
      </c>
      <c r="L19" s="15">
        <f t="shared" si="5"/>
        <v>226990.02000000002</v>
      </c>
      <c r="M19" s="15">
        <f t="shared" si="6"/>
        <v>213190.16999999998</v>
      </c>
      <c r="N19" s="15">
        <f t="shared" si="7"/>
        <v>130461.12000000001</v>
      </c>
      <c r="O19" s="15">
        <f t="shared" si="8"/>
        <v>47732.07</v>
      </c>
      <c r="P19" s="15">
        <f t="shared" si="9"/>
        <v>47732.07</v>
      </c>
      <c r="Q19" s="15">
        <f t="shared" si="10"/>
        <v>14850.6</v>
      </c>
      <c r="R19" s="15">
        <f t="shared" si="11"/>
        <v>2397139.02</v>
      </c>
    </row>
    <row r="20" spans="1:18" ht="12.75" x14ac:dyDescent="0.2">
      <c r="A20" t="s">
        <v>89</v>
      </c>
      <c r="B20" s="3" t="s">
        <v>29</v>
      </c>
      <c r="C20" s="3" t="s">
        <v>30</v>
      </c>
      <c r="D20" s="3">
        <v>35663</v>
      </c>
      <c r="E20" s="3" t="s">
        <v>9</v>
      </c>
      <c r="F20" s="3" t="s">
        <v>54</v>
      </c>
      <c r="G20" t="s">
        <v>29</v>
      </c>
      <c r="H20" s="15">
        <f t="shared" si="1"/>
        <v>0</v>
      </c>
      <c r="I20" s="15">
        <f t="shared" si="2"/>
        <v>0</v>
      </c>
      <c r="J20" s="15">
        <f t="shared" si="3"/>
        <v>0</v>
      </c>
      <c r="K20" s="15">
        <f t="shared" si="4"/>
        <v>0</v>
      </c>
      <c r="L20" s="15">
        <f t="shared" si="5"/>
        <v>0</v>
      </c>
      <c r="M20" s="15">
        <f t="shared" si="6"/>
        <v>0</v>
      </c>
      <c r="N20" s="15">
        <f t="shared" si="7"/>
        <v>0</v>
      </c>
      <c r="O20" s="15">
        <f t="shared" si="8"/>
        <v>0</v>
      </c>
      <c r="P20" s="15">
        <f t="shared" si="9"/>
        <v>0</v>
      </c>
      <c r="Q20" s="15">
        <f t="shared" si="10"/>
        <v>0</v>
      </c>
      <c r="R20" s="15">
        <f t="shared" si="11"/>
        <v>0</v>
      </c>
    </row>
    <row r="21" spans="1:18" ht="12.75" x14ac:dyDescent="0.2">
      <c r="A21" t="s">
        <v>89</v>
      </c>
      <c r="B21" s="3" t="s">
        <v>31</v>
      </c>
      <c r="C21" s="3">
        <v>9</v>
      </c>
      <c r="D21" s="3">
        <v>24750</v>
      </c>
      <c r="E21" s="3" t="s">
        <v>9</v>
      </c>
      <c r="F21" s="3" t="s">
        <v>54</v>
      </c>
      <c r="G21" t="s">
        <v>31</v>
      </c>
      <c r="H21" s="15">
        <f t="shared" si="1"/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  <c r="L21" s="15">
        <f t="shared" si="5"/>
        <v>0</v>
      </c>
      <c r="M21" s="15">
        <f t="shared" si="6"/>
        <v>0</v>
      </c>
      <c r="N21" s="15">
        <f t="shared" si="7"/>
        <v>0</v>
      </c>
      <c r="O21" s="15">
        <f t="shared" si="8"/>
        <v>0</v>
      </c>
      <c r="P21" s="15">
        <f t="shared" si="9"/>
        <v>0</v>
      </c>
      <c r="Q21" s="15">
        <f t="shared" si="10"/>
        <v>0</v>
      </c>
      <c r="R21" s="15">
        <f t="shared" si="11"/>
        <v>0</v>
      </c>
    </row>
    <row r="22" spans="1:18" ht="12.75" x14ac:dyDescent="0.2">
      <c r="A22" t="s">
        <v>89</v>
      </c>
      <c r="B22" s="2" t="s">
        <v>32</v>
      </c>
      <c r="C22" s="2">
        <v>10</v>
      </c>
      <c r="D22" s="2">
        <v>7193</v>
      </c>
      <c r="E22" s="2" t="s">
        <v>9</v>
      </c>
      <c r="F22" s="2" t="s">
        <v>7</v>
      </c>
      <c r="G22" t="s">
        <v>32</v>
      </c>
      <c r="H22" s="15">
        <f t="shared" si="1"/>
        <v>2526828.9700000002</v>
      </c>
      <c r="I22" s="15">
        <f t="shared" si="2"/>
        <v>2036697.9499999997</v>
      </c>
      <c r="J22" s="15">
        <f t="shared" si="3"/>
        <v>2679320.5700000003</v>
      </c>
      <c r="K22" s="15">
        <f t="shared" si="4"/>
        <v>1568361.72</v>
      </c>
      <c r="L22" s="15">
        <f t="shared" si="5"/>
        <v>1165409.8600000001</v>
      </c>
      <c r="M22" s="15">
        <f t="shared" si="6"/>
        <v>1094558.8099999998</v>
      </c>
      <c r="N22" s="15">
        <f t="shared" si="7"/>
        <v>669812.16</v>
      </c>
      <c r="O22" s="15">
        <f t="shared" si="8"/>
        <v>245065.51</v>
      </c>
      <c r="P22" s="15">
        <f t="shared" si="9"/>
        <v>245065.51</v>
      </c>
      <c r="Q22" s="15">
        <f t="shared" si="10"/>
        <v>76245.8</v>
      </c>
      <c r="R22" s="15">
        <f t="shared" si="11"/>
        <v>12307366.859999999</v>
      </c>
    </row>
    <row r="23" spans="1:18" ht="12.75" x14ac:dyDescent="0.2">
      <c r="A23" t="s">
        <v>89</v>
      </c>
      <c r="B23" s="2" t="s">
        <v>33</v>
      </c>
      <c r="C23" s="2">
        <v>18</v>
      </c>
      <c r="D23" s="2">
        <v>1809</v>
      </c>
      <c r="E23" s="2" t="s">
        <v>9</v>
      </c>
      <c r="F23" s="2" t="s">
        <v>7</v>
      </c>
      <c r="G23" t="s">
        <v>33</v>
      </c>
      <c r="H23" s="15">
        <f t="shared" si="1"/>
        <v>635483.61</v>
      </c>
      <c r="I23" s="15">
        <f t="shared" si="2"/>
        <v>512218.35</v>
      </c>
      <c r="J23" s="15">
        <f t="shared" si="3"/>
        <v>673834.41</v>
      </c>
      <c r="K23" s="15">
        <f t="shared" si="4"/>
        <v>394434.36</v>
      </c>
      <c r="L23" s="15">
        <f t="shared" si="5"/>
        <v>293094.18</v>
      </c>
      <c r="M23" s="15">
        <f t="shared" si="6"/>
        <v>275275.52999999997</v>
      </c>
      <c r="N23" s="15">
        <f t="shared" si="7"/>
        <v>168454.08000000002</v>
      </c>
      <c r="O23" s="15">
        <f t="shared" si="8"/>
        <v>61632.63</v>
      </c>
      <c r="P23" s="15">
        <f t="shared" si="9"/>
        <v>61632.63</v>
      </c>
      <c r="Q23" s="15">
        <f t="shared" si="10"/>
        <v>19175.399999999998</v>
      </c>
      <c r="R23" s="15">
        <f t="shared" si="11"/>
        <v>3095235.18</v>
      </c>
    </row>
    <row r="24" spans="1:18" ht="12.75" x14ac:dyDescent="0.2">
      <c r="A24" t="s">
        <v>89</v>
      </c>
      <c r="B24" s="2" t="s">
        <v>34</v>
      </c>
      <c r="C24" s="2">
        <v>6</v>
      </c>
      <c r="D24" s="2">
        <v>965</v>
      </c>
      <c r="E24" s="2" t="s">
        <v>9</v>
      </c>
      <c r="F24" s="2" t="s">
        <v>7</v>
      </c>
      <c r="G24" t="s">
        <v>34</v>
      </c>
      <c r="H24" s="15">
        <f t="shared" si="1"/>
        <v>338994.85000000003</v>
      </c>
      <c r="I24" s="15">
        <f t="shared" si="2"/>
        <v>273239.75</v>
      </c>
      <c r="J24" s="15">
        <f t="shared" si="3"/>
        <v>359452.85000000003</v>
      </c>
      <c r="K24" s="15">
        <f t="shared" si="4"/>
        <v>210408.6</v>
      </c>
      <c r="L24" s="15">
        <f t="shared" si="5"/>
        <v>156349.30000000002</v>
      </c>
      <c r="M24" s="15">
        <f t="shared" si="6"/>
        <v>146844.04999999999</v>
      </c>
      <c r="N24" s="15">
        <f t="shared" si="7"/>
        <v>89860.800000000003</v>
      </c>
      <c r="O24" s="15">
        <f t="shared" si="8"/>
        <v>32877.550000000003</v>
      </c>
      <c r="P24" s="15">
        <f t="shared" si="9"/>
        <v>32877.550000000003</v>
      </c>
      <c r="Q24" s="15">
        <f t="shared" si="10"/>
        <v>10229</v>
      </c>
      <c r="R24" s="15">
        <f t="shared" si="11"/>
        <v>1651134.3</v>
      </c>
    </row>
    <row r="25" spans="1:18" ht="12.75" x14ac:dyDescent="0.2">
      <c r="A25" t="s">
        <v>89</v>
      </c>
      <c r="B25" s="2" t="s">
        <v>35</v>
      </c>
      <c r="C25" s="2">
        <v>20</v>
      </c>
      <c r="D25" s="2">
        <v>2383</v>
      </c>
      <c r="E25" s="2" t="s">
        <v>9</v>
      </c>
      <c r="F25" s="2" t="s">
        <v>7</v>
      </c>
      <c r="G25" t="s">
        <v>35</v>
      </c>
      <c r="H25" s="15">
        <f t="shared" si="1"/>
        <v>837124.07000000007</v>
      </c>
      <c r="I25" s="15">
        <f t="shared" si="2"/>
        <v>674746.45</v>
      </c>
      <c r="J25" s="15">
        <f t="shared" si="3"/>
        <v>887643.67</v>
      </c>
      <c r="K25" s="15">
        <f t="shared" si="4"/>
        <v>519589.32</v>
      </c>
      <c r="L25" s="15">
        <f t="shared" si="5"/>
        <v>386093.66000000003</v>
      </c>
      <c r="M25" s="15">
        <f t="shared" si="6"/>
        <v>362621.11</v>
      </c>
      <c r="N25" s="15">
        <f t="shared" si="7"/>
        <v>221904.96000000002</v>
      </c>
      <c r="O25" s="15">
        <f t="shared" si="8"/>
        <v>81188.81</v>
      </c>
      <c r="P25" s="15">
        <f t="shared" si="9"/>
        <v>81188.81</v>
      </c>
      <c r="Q25" s="15">
        <f t="shared" si="10"/>
        <v>25259.8</v>
      </c>
      <c r="R25" s="15">
        <f t="shared" si="11"/>
        <v>4077360.66</v>
      </c>
    </row>
    <row r="26" spans="1:18" ht="12.75" x14ac:dyDescent="0.2">
      <c r="A26" t="s">
        <v>89</v>
      </c>
      <c r="B26" s="2" t="s">
        <v>36</v>
      </c>
      <c r="C26" s="2">
        <v>27</v>
      </c>
      <c r="D26" s="2">
        <v>2470</v>
      </c>
      <c r="E26" s="2" t="s">
        <v>9</v>
      </c>
      <c r="F26" s="2" t="s">
        <v>7</v>
      </c>
      <c r="G26" t="s">
        <v>36</v>
      </c>
      <c r="H26" s="15">
        <f t="shared" si="1"/>
        <v>867686.3</v>
      </c>
      <c r="I26" s="15">
        <f t="shared" si="2"/>
        <v>699380.5</v>
      </c>
      <c r="J26" s="15">
        <f t="shared" si="3"/>
        <v>920050.3</v>
      </c>
      <c r="K26" s="15">
        <f t="shared" si="4"/>
        <v>538558.79999999993</v>
      </c>
      <c r="L26" s="15">
        <f t="shared" si="5"/>
        <v>400189.4</v>
      </c>
      <c r="M26" s="15">
        <f t="shared" si="6"/>
        <v>375859.89999999997</v>
      </c>
      <c r="N26" s="15">
        <f t="shared" si="7"/>
        <v>230006.40000000002</v>
      </c>
      <c r="O26" s="15">
        <f t="shared" si="8"/>
        <v>84152.9</v>
      </c>
      <c r="P26" s="15">
        <f t="shared" si="9"/>
        <v>84152.9</v>
      </c>
      <c r="Q26" s="15">
        <f t="shared" si="10"/>
        <v>26182</v>
      </c>
      <c r="R26" s="15">
        <f t="shared" si="11"/>
        <v>4226219.4000000004</v>
      </c>
    </row>
    <row r="27" spans="1:18" ht="12.75" x14ac:dyDescent="0.2">
      <c r="A27" t="s">
        <v>89</v>
      </c>
      <c r="B27" s="2" t="s">
        <v>37</v>
      </c>
      <c r="C27" s="2">
        <v>32</v>
      </c>
      <c r="D27" s="2">
        <v>5533</v>
      </c>
      <c r="E27" s="2" t="s">
        <v>16</v>
      </c>
      <c r="F27" s="2" t="s">
        <v>7</v>
      </c>
      <c r="G27" t="s">
        <v>37</v>
      </c>
      <c r="H27" s="15">
        <f t="shared" si="1"/>
        <v>1943687.57</v>
      </c>
      <c r="I27" s="15">
        <f t="shared" si="2"/>
        <v>1566668.95</v>
      </c>
      <c r="J27" s="15">
        <f t="shared" si="3"/>
        <v>2060987.1700000002</v>
      </c>
      <c r="K27" s="15">
        <f t="shared" si="4"/>
        <v>1206415.32</v>
      </c>
      <c r="L27" s="15">
        <f t="shared" si="5"/>
        <v>896456.66</v>
      </c>
      <c r="M27" s="15">
        <f t="shared" si="6"/>
        <v>841956.61</v>
      </c>
      <c r="N27" s="15">
        <f t="shared" si="7"/>
        <v>515232.96</v>
      </c>
      <c r="O27" s="15">
        <f t="shared" si="8"/>
        <v>188509.31</v>
      </c>
      <c r="P27" s="15">
        <f t="shared" si="9"/>
        <v>188509.31</v>
      </c>
      <c r="Q27" s="15">
        <f t="shared" si="10"/>
        <v>58649.799999999996</v>
      </c>
      <c r="R27" s="15">
        <f t="shared" si="11"/>
        <v>9467073.6600000001</v>
      </c>
    </row>
    <row r="28" spans="1:18" ht="12.75" x14ac:dyDescent="0.2">
      <c r="A28" t="s">
        <v>89</v>
      </c>
      <c r="B28" s="2" t="s">
        <v>38</v>
      </c>
      <c r="C28" s="2">
        <v>35</v>
      </c>
      <c r="D28" s="2">
        <v>4214</v>
      </c>
      <c r="E28" s="2" t="s">
        <v>9</v>
      </c>
      <c r="F28" s="2" t="s">
        <v>7</v>
      </c>
      <c r="G28" t="s">
        <v>38</v>
      </c>
      <c r="H28" s="15">
        <f t="shared" si="1"/>
        <v>1480336.06</v>
      </c>
      <c r="I28" s="15">
        <f t="shared" si="2"/>
        <v>1193194.0999999999</v>
      </c>
      <c r="J28" s="15">
        <f t="shared" si="3"/>
        <v>1569672.86</v>
      </c>
      <c r="K28" s="15">
        <f t="shared" si="4"/>
        <v>918820.55999999994</v>
      </c>
      <c r="L28" s="15">
        <f t="shared" si="5"/>
        <v>682752.28</v>
      </c>
      <c r="M28" s="15">
        <f t="shared" si="6"/>
        <v>641244.38</v>
      </c>
      <c r="N28" s="15">
        <f t="shared" si="7"/>
        <v>392407.68</v>
      </c>
      <c r="O28" s="15">
        <f t="shared" si="8"/>
        <v>143570.98000000001</v>
      </c>
      <c r="P28" s="15">
        <f t="shared" si="9"/>
        <v>143570.98000000001</v>
      </c>
      <c r="Q28" s="15">
        <f t="shared" si="10"/>
        <v>44668.4</v>
      </c>
      <c r="R28" s="15">
        <f t="shared" si="11"/>
        <v>7210238.2800000003</v>
      </c>
    </row>
    <row r="29" spans="1:18" ht="12.75" x14ac:dyDescent="0.2">
      <c r="A29" t="s">
        <v>89</v>
      </c>
      <c r="B29" s="2" t="s">
        <v>39</v>
      </c>
      <c r="C29" s="2">
        <v>36</v>
      </c>
      <c r="D29" s="2">
        <v>774</v>
      </c>
      <c r="E29" s="2" t="s">
        <v>13</v>
      </c>
      <c r="F29" s="2" t="s">
        <v>7</v>
      </c>
      <c r="G29" t="s">
        <v>39</v>
      </c>
      <c r="H29" s="15">
        <f t="shared" si="1"/>
        <v>271898.46000000002</v>
      </c>
      <c r="I29" s="15">
        <f t="shared" si="2"/>
        <v>219158.09999999998</v>
      </c>
      <c r="J29" s="15">
        <f t="shared" si="3"/>
        <v>288307.26</v>
      </c>
      <c r="K29" s="15">
        <f t="shared" si="4"/>
        <v>168762.96</v>
      </c>
      <c r="L29" s="15">
        <f t="shared" si="5"/>
        <v>125403.48000000001</v>
      </c>
      <c r="M29" s="15">
        <f t="shared" si="6"/>
        <v>117779.57999999999</v>
      </c>
      <c r="N29" s="15">
        <f t="shared" si="7"/>
        <v>72074.880000000005</v>
      </c>
      <c r="O29" s="15">
        <f t="shared" si="8"/>
        <v>26370.18</v>
      </c>
      <c r="P29" s="15">
        <f t="shared" si="9"/>
        <v>26370.18</v>
      </c>
      <c r="Q29" s="15">
        <f t="shared" si="10"/>
        <v>8204.4</v>
      </c>
      <c r="R29" s="15">
        <f t="shared" si="11"/>
        <v>1324329.48</v>
      </c>
    </row>
    <row r="30" spans="1:18" ht="12.75" x14ac:dyDescent="0.2">
      <c r="A30" t="s">
        <v>89</v>
      </c>
      <c r="B30" s="2" t="s">
        <v>40</v>
      </c>
      <c r="C30" s="2">
        <v>44</v>
      </c>
      <c r="D30" s="2">
        <v>5217</v>
      </c>
      <c r="E30" s="2" t="s">
        <v>16</v>
      </c>
      <c r="F30" s="2" t="s">
        <v>7</v>
      </c>
      <c r="G30" t="s">
        <v>40</v>
      </c>
      <c r="H30" s="15">
        <f t="shared" si="1"/>
        <v>1832679.9300000002</v>
      </c>
      <c r="I30" s="15">
        <f t="shared" si="2"/>
        <v>1477193.5499999998</v>
      </c>
      <c r="J30" s="15">
        <f t="shared" si="3"/>
        <v>1943280.33</v>
      </c>
      <c r="K30" s="15">
        <f t="shared" si="4"/>
        <v>1137514.68</v>
      </c>
      <c r="L30" s="15">
        <f t="shared" si="5"/>
        <v>845258.34000000008</v>
      </c>
      <c r="M30" s="15">
        <f t="shared" si="6"/>
        <v>793870.8899999999</v>
      </c>
      <c r="N30" s="15">
        <f t="shared" si="7"/>
        <v>485807.04000000004</v>
      </c>
      <c r="O30" s="15">
        <f t="shared" si="8"/>
        <v>177743.19</v>
      </c>
      <c r="P30" s="15">
        <f t="shared" si="9"/>
        <v>177743.19</v>
      </c>
      <c r="Q30" s="15">
        <f t="shared" si="10"/>
        <v>55300.2</v>
      </c>
      <c r="R30" s="15">
        <f t="shared" si="11"/>
        <v>8926391.3399999999</v>
      </c>
    </row>
    <row r="31" spans="1:18" ht="12.75" x14ac:dyDescent="0.2">
      <c r="A31" s="19" t="s">
        <v>91</v>
      </c>
      <c r="B31" s="2" t="s">
        <v>97</v>
      </c>
      <c r="C31" s="2"/>
      <c r="D31" s="2">
        <v>1380</v>
      </c>
      <c r="E31" s="2" t="s">
        <v>98</v>
      </c>
      <c r="F31" s="2" t="s">
        <v>7</v>
      </c>
      <c r="G31" s="2" t="s">
        <v>97</v>
      </c>
      <c r="H31" s="15">
        <f t="shared" si="1"/>
        <v>484780.2</v>
      </c>
      <c r="I31" s="15">
        <f t="shared" si="2"/>
        <v>390746.99999999994</v>
      </c>
      <c r="J31" s="15">
        <f t="shared" si="3"/>
        <v>514036.2</v>
      </c>
      <c r="K31" s="15">
        <f t="shared" si="4"/>
        <v>300895.2</v>
      </c>
      <c r="L31" s="15">
        <f t="shared" si="5"/>
        <v>223587.6</v>
      </c>
      <c r="M31" s="15">
        <f t="shared" si="6"/>
        <v>209994.59999999998</v>
      </c>
      <c r="N31" s="15">
        <f t="shared" si="7"/>
        <v>128505.60000000001</v>
      </c>
      <c r="O31" s="15">
        <f t="shared" si="8"/>
        <v>47016.6</v>
      </c>
      <c r="P31" s="15">
        <f t="shared" si="9"/>
        <v>47016.6</v>
      </c>
      <c r="Q31" s="15">
        <f t="shared" si="10"/>
        <v>14628</v>
      </c>
      <c r="R31" s="15">
        <f t="shared" si="11"/>
        <v>2361207.6</v>
      </c>
    </row>
    <row r="32" spans="1:18" ht="12.75" x14ac:dyDescent="0.2">
      <c r="A32" t="s">
        <v>91</v>
      </c>
      <c r="B32" s="2" t="s">
        <v>41</v>
      </c>
      <c r="C32" s="2">
        <v>39</v>
      </c>
      <c r="D32" s="2">
        <v>3220</v>
      </c>
      <c r="E32" s="2" t="s">
        <v>9</v>
      </c>
      <c r="F32" s="2" t="s">
        <v>7</v>
      </c>
      <c r="G32" t="s">
        <v>41</v>
      </c>
      <c r="H32" s="15">
        <f t="shared" si="1"/>
        <v>1131153.8</v>
      </c>
      <c r="I32" s="15">
        <f t="shared" si="2"/>
        <v>911742.99999999988</v>
      </c>
      <c r="J32" s="15">
        <f t="shared" si="3"/>
        <v>1199417.8</v>
      </c>
      <c r="K32" s="15">
        <f t="shared" si="4"/>
        <v>702088.79999999993</v>
      </c>
      <c r="L32" s="15">
        <f t="shared" si="5"/>
        <v>521704.4</v>
      </c>
      <c r="M32" s="15">
        <f t="shared" si="6"/>
        <v>489987.39999999997</v>
      </c>
      <c r="N32" s="15">
        <f t="shared" si="7"/>
        <v>299846.40000000002</v>
      </c>
      <c r="O32" s="15">
        <f t="shared" si="8"/>
        <v>109705.4</v>
      </c>
      <c r="P32" s="15">
        <f t="shared" si="9"/>
        <v>109705.4</v>
      </c>
      <c r="Q32" s="15">
        <f t="shared" si="10"/>
        <v>34132</v>
      </c>
      <c r="R32" s="15">
        <f t="shared" si="11"/>
        <v>5509484.4000000004</v>
      </c>
    </row>
    <row r="33" spans="1:18" ht="12.75" x14ac:dyDescent="0.2">
      <c r="A33" t="s">
        <v>91</v>
      </c>
      <c r="B33" s="2" t="s">
        <v>42</v>
      </c>
      <c r="C33" s="2">
        <v>43</v>
      </c>
      <c r="D33" s="2">
        <v>3459</v>
      </c>
      <c r="E33" s="2" t="s">
        <v>13</v>
      </c>
      <c r="F33" s="2" t="s">
        <v>7</v>
      </c>
      <c r="G33" t="s">
        <v>42</v>
      </c>
      <c r="H33" s="15">
        <f t="shared" si="1"/>
        <v>1215112.1100000001</v>
      </c>
      <c r="I33" s="15">
        <f t="shared" si="2"/>
        <v>979415.85</v>
      </c>
      <c r="J33" s="15">
        <f t="shared" si="3"/>
        <v>1288442.9099999999</v>
      </c>
      <c r="K33" s="15">
        <f t="shared" si="4"/>
        <v>754200.36</v>
      </c>
      <c r="L33" s="15">
        <f t="shared" si="5"/>
        <v>560427.18000000005</v>
      </c>
      <c r="M33" s="15">
        <f t="shared" si="6"/>
        <v>526356.02999999991</v>
      </c>
      <c r="N33" s="15">
        <f t="shared" si="7"/>
        <v>322102.08</v>
      </c>
      <c r="O33" s="15">
        <f t="shared" si="8"/>
        <v>117848.13</v>
      </c>
      <c r="P33" s="15">
        <f t="shared" si="9"/>
        <v>117848.13</v>
      </c>
      <c r="Q33" s="15">
        <f t="shared" si="10"/>
        <v>36665.4</v>
      </c>
      <c r="R33" s="15">
        <f t="shared" si="11"/>
        <v>5918418.1799999997</v>
      </c>
    </row>
    <row r="34" spans="1:18" ht="12.75" x14ac:dyDescent="0.2">
      <c r="A34" t="s">
        <v>91</v>
      </c>
      <c r="B34" s="2" t="s">
        <v>43</v>
      </c>
      <c r="C34" s="2">
        <v>53</v>
      </c>
      <c r="D34" s="2">
        <v>5436</v>
      </c>
      <c r="E34" s="2" t="s">
        <v>16</v>
      </c>
      <c r="F34" s="2" t="s">
        <v>7</v>
      </c>
      <c r="G34" t="s">
        <v>43</v>
      </c>
      <c r="H34" s="15">
        <f t="shared" si="1"/>
        <v>1909612.4400000002</v>
      </c>
      <c r="I34" s="15">
        <f t="shared" si="2"/>
        <v>1539203.4</v>
      </c>
      <c r="J34" s="15">
        <f t="shared" si="3"/>
        <v>2024855.6400000001</v>
      </c>
      <c r="K34" s="15">
        <f t="shared" si="4"/>
        <v>1185265.44</v>
      </c>
      <c r="L34" s="15">
        <f t="shared" si="5"/>
        <v>880740.72000000009</v>
      </c>
      <c r="M34" s="15">
        <f t="shared" si="6"/>
        <v>827196.11999999988</v>
      </c>
      <c r="N34" s="15">
        <f t="shared" si="7"/>
        <v>506200.32000000001</v>
      </c>
      <c r="O34" s="15">
        <f t="shared" si="8"/>
        <v>185204.52</v>
      </c>
      <c r="P34" s="15">
        <f t="shared" si="9"/>
        <v>185204.52</v>
      </c>
      <c r="Q34" s="15">
        <f t="shared" si="10"/>
        <v>57621.599999999999</v>
      </c>
      <c r="R34" s="15">
        <f t="shared" si="11"/>
        <v>9301104.7200000007</v>
      </c>
    </row>
    <row r="35" spans="1:18" ht="12.75" x14ac:dyDescent="0.2">
      <c r="A35" t="s">
        <v>91</v>
      </c>
      <c r="B35" s="2" t="s">
        <v>44</v>
      </c>
      <c r="C35" s="2">
        <v>52</v>
      </c>
      <c r="D35" s="2">
        <v>2135</v>
      </c>
      <c r="E35" s="2" t="s">
        <v>16</v>
      </c>
      <c r="F35" s="2" t="s">
        <v>7</v>
      </c>
      <c r="G35" t="s">
        <v>44</v>
      </c>
      <c r="H35" s="15">
        <f t="shared" si="1"/>
        <v>750004.15</v>
      </c>
      <c r="I35" s="15">
        <f t="shared" si="2"/>
        <v>604525.25</v>
      </c>
      <c r="J35" s="15">
        <f t="shared" si="3"/>
        <v>795266.15</v>
      </c>
      <c r="K35" s="15">
        <f t="shared" si="4"/>
        <v>465515.39999999997</v>
      </c>
      <c r="L35" s="15">
        <f t="shared" si="5"/>
        <v>345912.7</v>
      </c>
      <c r="M35" s="15">
        <f t="shared" si="6"/>
        <v>324882.94999999995</v>
      </c>
      <c r="N35" s="15">
        <f t="shared" si="7"/>
        <v>198811.2</v>
      </c>
      <c r="O35" s="15">
        <f t="shared" si="8"/>
        <v>72739.45</v>
      </c>
      <c r="P35" s="15">
        <f t="shared" si="9"/>
        <v>72739.45</v>
      </c>
      <c r="Q35" s="15">
        <f t="shared" si="10"/>
        <v>22631</v>
      </c>
      <c r="R35" s="15">
        <f t="shared" si="11"/>
        <v>3653027.7</v>
      </c>
    </row>
    <row r="36" spans="1:18" ht="12.75" x14ac:dyDescent="0.2">
      <c r="A36" t="s">
        <v>91</v>
      </c>
      <c r="B36" s="2" t="s">
        <v>45</v>
      </c>
      <c r="C36" s="2">
        <v>54</v>
      </c>
      <c r="D36" s="2">
        <v>10178</v>
      </c>
      <c r="E36" s="2" t="s">
        <v>16</v>
      </c>
      <c r="F36" s="2" t="s">
        <v>7</v>
      </c>
      <c r="G36" t="s">
        <v>45</v>
      </c>
      <c r="H36" s="15">
        <f t="shared" si="1"/>
        <v>3575429.62</v>
      </c>
      <c r="I36" s="15">
        <f t="shared" si="2"/>
        <v>2881900.6999999997</v>
      </c>
      <c r="J36" s="15">
        <f t="shared" si="3"/>
        <v>3791203.22</v>
      </c>
      <c r="K36" s="15">
        <f t="shared" si="4"/>
        <v>2219211.12</v>
      </c>
      <c r="L36" s="15">
        <f t="shared" si="5"/>
        <v>1649039.56</v>
      </c>
      <c r="M36" s="15">
        <f t="shared" si="6"/>
        <v>1548786.2599999998</v>
      </c>
      <c r="N36" s="15">
        <f t="shared" si="7"/>
        <v>947775.3600000001</v>
      </c>
      <c r="O36" s="15">
        <f t="shared" si="8"/>
        <v>346764.46</v>
      </c>
      <c r="P36" s="15">
        <f t="shared" si="9"/>
        <v>346764.46</v>
      </c>
      <c r="Q36" s="15">
        <f t="shared" si="10"/>
        <v>107886.8</v>
      </c>
      <c r="R36" s="15">
        <f t="shared" si="11"/>
        <v>17414761.559999999</v>
      </c>
    </row>
    <row r="37" spans="1:18" ht="12.75" x14ac:dyDescent="0.2">
      <c r="A37" t="s">
        <v>91</v>
      </c>
      <c r="B37" s="2" t="s">
        <v>46</v>
      </c>
      <c r="C37" s="2">
        <v>55</v>
      </c>
      <c r="D37" s="2">
        <v>3559</v>
      </c>
      <c r="E37" s="2" t="s">
        <v>16</v>
      </c>
      <c r="F37" s="2" t="s">
        <v>7</v>
      </c>
      <c r="G37" t="s">
        <v>46</v>
      </c>
      <c r="H37" s="15">
        <f t="shared" si="1"/>
        <v>1250241.1100000001</v>
      </c>
      <c r="I37" s="15">
        <f t="shared" si="2"/>
        <v>1007730.85</v>
      </c>
      <c r="J37" s="15">
        <f t="shared" si="3"/>
        <v>1325691.9099999999</v>
      </c>
      <c r="K37" s="15">
        <f t="shared" si="4"/>
        <v>776004.36</v>
      </c>
      <c r="L37" s="15">
        <f t="shared" si="5"/>
        <v>576629.18000000005</v>
      </c>
      <c r="M37" s="15">
        <f t="shared" si="6"/>
        <v>541573.02999999991</v>
      </c>
      <c r="N37" s="15">
        <f t="shared" si="7"/>
        <v>331414.08</v>
      </c>
      <c r="O37" s="15">
        <f t="shared" si="8"/>
        <v>121255.13</v>
      </c>
      <c r="P37" s="15">
        <f t="shared" si="9"/>
        <v>121255.13</v>
      </c>
      <c r="Q37" s="15">
        <f t="shared" si="10"/>
        <v>37725.4</v>
      </c>
      <c r="R37" s="15">
        <f t="shared" si="11"/>
        <v>6089520.1799999997</v>
      </c>
    </row>
    <row r="38" spans="1:18" ht="12.75" x14ac:dyDescent="0.2">
      <c r="A38" t="s">
        <v>87</v>
      </c>
      <c r="B38" s="3" t="s">
        <v>47</v>
      </c>
      <c r="C38" s="3">
        <v>63</v>
      </c>
      <c r="D38" s="3">
        <v>208</v>
      </c>
      <c r="E38" s="3" t="s">
        <v>9</v>
      </c>
      <c r="F38" s="3" t="s">
        <v>54</v>
      </c>
      <c r="G38" t="s">
        <v>47</v>
      </c>
      <c r="H38" s="15">
        <f t="shared" si="1"/>
        <v>0</v>
      </c>
      <c r="I38" s="15">
        <f t="shared" si="2"/>
        <v>0</v>
      </c>
      <c r="J38" s="15">
        <f t="shared" si="3"/>
        <v>0</v>
      </c>
      <c r="K38" s="15">
        <f t="shared" si="4"/>
        <v>0</v>
      </c>
      <c r="L38" s="15">
        <f t="shared" si="5"/>
        <v>0</v>
      </c>
      <c r="M38" s="15">
        <f t="shared" si="6"/>
        <v>0</v>
      </c>
      <c r="N38" s="15">
        <f t="shared" si="7"/>
        <v>0</v>
      </c>
      <c r="O38" s="15">
        <f t="shared" si="8"/>
        <v>0</v>
      </c>
      <c r="P38" s="15">
        <f t="shared" si="9"/>
        <v>0</v>
      </c>
      <c r="Q38" s="15">
        <f t="shared" si="10"/>
        <v>0</v>
      </c>
      <c r="R38" s="15">
        <f t="shared" si="11"/>
        <v>0</v>
      </c>
    </row>
    <row r="39" spans="1:18" ht="12.75" x14ac:dyDescent="0.2">
      <c r="A39" t="s">
        <v>87</v>
      </c>
      <c r="B39" s="3" t="s">
        <v>48</v>
      </c>
      <c r="C39" s="3">
        <v>87</v>
      </c>
      <c r="D39" s="3">
        <v>2514</v>
      </c>
      <c r="E39" s="3" t="s">
        <v>9</v>
      </c>
      <c r="F39" s="3" t="s">
        <v>54</v>
      </c>
      <c r="G39" t="s">
        <v>48</v>
      </c>
      <c r="H39" s="15">
        <f t="shared" si="1"/>
        <v>0</v>
      </c>
      <c r="I39" s="15">
        <f t="shared" si="2"/>
        <v>0</v>
      </c>
      <c r="J39" s="15">
        <f t="shared" si="3"/>
        <v>0</v>
      </c>
      <c r="K39" s="15">
        <f t="shared" si="4"/>
        <v>0</v>
      </c>
      <c r="L39" s="15">
        <f t="shared" si="5"/>
        <v>0</v>
      </c>
      <c r="M39" s="15">
        <f t="shared" si="6"/>
        <v>0</v>
      </c>
      <c r="N39" s="15">
        <f t="shared" si="7"/>
        <v>0</v>
      </c>
      <c r="O39" s="15">
        <f t="shared" si="8"/>
        <v>0</v>
      </c>
      <c r="P39" s="15">
        <f t="shared" si="9"/>
        <v>0</v>
      </c>
      <c r="Q39" s="15">
        <f t="shared" si="10"/>
        <v>0</v>
      </c>
      <c r="R39" s="15">
        <f t="shared" si="11"/>
        <v>0</v>
      </c>
    </row>
    <row r="40" spans="1:18" ht="12.75" x14ac:dyDescent="0.2">
      <c r="A40" t="s">
        <v>87</v>
      </c>
      <c r="B40" s="3" t="s">
        <v>49</v>
      </c>
      <c r="C40" s="3">
        <v>89</v>
      </c>
      <c r="D40" s="3">
        <v>9211</v>
      </c>
      <c r="E40" s="3" t="s">
        <v>9</v>
      </c>
      <c r="F40" s="3" t="s">
        <v>54</v>
      </c>
      <c r="G40" t="s">
        <v>49</v>
      </c>
      <c r="H40" s="15">
        <f t="shared" si="1"/>
        <v>0</v>
      </c>
      <c r="I40" s="15">
        <f t="shared" si="2"/>
        <v>0</v>
      </c>
      <c r="J40" s="15">
        <f t="shared" si="3"/>
        <v>0</v>
      </c>
      <c r="K40" s="15">
        <f t="shared" si="4"/>
        <v>0</v>
      </c>
      <c r="L40" s="15">
        <f t="shared" si="5"/>
        <v>0</v>
      </c>
      <c r="M40" s="15">
        <f t="shared" si="6"/>
        <v>0</v>
      </c>
      <c r="N40" s="15">
        <f t="shared" si="7"/>
        <v>0</v>
      </c>
      <c r="O40" s="15">
        <f t="shared" si="8"/>
        <v>0</v>
      </c>
      <c r="P40" s="15">
        <f t="shared" si="9"/>
        <v>0</v>
      </c>
      <c r="Q40" s="15">
        <f t="shared" si="10"/>
        <v>0</v>
      </c>
      <c r="R40" s="15">
        <f t="shared" si="11"/>
        <v>0</v>
      </c>
    </row>
    <row r="41" spans="1:18" ht="12.75" x14ac:dyDescent="0.2">
      <c r="A41" t="s">
        <v>87</v>
      </c>
      <c r="B41" s="3" t="s">
        <v>50</v>
      </c>
      <c r="C41" s="3">
        <v>60</v>
      </c>
      <c r="D41" s="3">
        <v>2936</v>
      </c>
      <c r="E41" s="3" t="s">
        <v>9</v>
      </c>
      <c r="F41" s="3" t="s">
        <v>54</v>
      </c>
      <c r="G41" t="s">
        <v>50</v>
      </c>
      <c r="H41" s="15">
        <f t="shared" si="1"/>
        <v>0</v>
      </c>
      <c r="I41" s="15">
        <f t="shared" si="2"/>
        <v>0</v>
      </c>
      <c r="J41" s="15">
        <f t="shared" si="3"/>
        <v>0</v>
      </c>
      <c r="K41" s="15">
        <f t="shared" si="4"/>
        <v>0</v>
      </c>
      <c r="L41" s="15">
        <f t="shared" si="5"/>
        <v>0</v>
      </c>
      <c r="M41" s="15">
        <f t="shared" si="6"/>
        <v>0</v>
      </c>
      <c r="N41" s="15">
        <f t="shared" si="7"/>
        <v>0</v>
      </c>
      <c r="O41" s="15">
        <f t="shared" si="8"/>
        <v>0</v>
      </c>
      <c r="P41" s="15">
        <f t="shared" si="9"/>
        <v>0</v>
      </c>
      <c r="Q41" s="15">
        <f t="shared" si="10"/>
        <v>0</v>
      </c>
      <c r="R41" s="15">
        <f t="shared" si="11"/>
        <v>0</v>
      </c>
    </row>
    <row r="42" spans="1:18" ht="12.75" x14ac:dyDescent="0.2">
      <c r="A42" s="19" t="s">
        <v>109</v>
      </c>
      <c r="B42" s="3" t="s">
        <v>138</v>
      </c>
      <c r="D42" s="24">
        <f>AVERAGE('100% Restoration ($)'!D42,'25% Restoration ($)'!D40)</f>
        <v>179588.5</v>
      </c>
      <c r="E42" s="3"/>
      <c r="F42" s="3" t="s">
        <v>110</v>
      </c>
      <c r="H42" s="15">
        <f>IF($F42="Meadows", $D42*$F$52, 0)</f>
        <v>63087644.165000007</v>
      </c>
      <c r="I42" s="15">
        <f>IF($F42="Meadows", $D42*$F$53, 0)</f>
        <v>50850483.774999999</v>
      </c>
      <c r="J42" s="15">
        <f>IF($F42="Meadows", $D42*$F$54, 0)</f>
        <v>66894920.365000002</v>
      </c>
      <c r="K42" s="15">
        <f>IF($F42="Meadows", $D42*$F$55, 0)</f>
        <v>39157476.539999999</v>
      </c>
      <c r="L42" s="15">
        <f>IF($F42="Meadows", $D42*$F$56, 0)</f>
        <v>29096928.770000003</v>
      </c>
      <c r="M42" s="15">
        <f>IF($F42="Meadows", $D42*$F$57, 0)</f>
        <v>27327982.044999998</v>
      </c>
      <c r="N42" s="15">
        <f>IF($F42="Meadows", $D42*$F$58, 0)</f>
        <v>16723281.120000001</v>
      </c>
      <c r="O42" s="15">
        <f>IF($F42="Meadows", $D42*$F$59, 0)</f>
        <v>6118580.1950000003</v>
      </c>
      <c r="P42" s="15">
        <f>IF($F42="Meadows", $D42*$F$60, 0)</f>
        <v>6118580.1950000003</v>
      </c>
      <c r="Q42" s="15">
        <f>IF($F42="Meadows", $D42*$F$61, 0)</f>
        <v>1903638.0999999999</v>
      </c>
      <c r="R42" s="15">
        <f>IF($F42="Meadows", $D42*$F$62, 0)</f>
        <v>307279515.26999998</v>
      </c>
    </row>
    <row r="43" spans="1:18" ht="12.75" x14ac:dyDescent="0.2">
      <c r="A43" s="19" t="s">
        <v>109</v>
      </c>
      <c r="B43" s="3" t="s">
        <v>138</v>
      </c>
      <c r="D43" s="24">
        <f>AVERAGE('100% Restoration ($)'!D43,'25% Restoration ($)'!D41)</f>
        <v>154866</v>
      </c>
      <c r="E43" s="3"/>
      <c r="F43" s="3" t="s">
        <v>111</v>
      </c>
      <c r="G43" s="4"/>
      <c r="H43" s="15">
        <f>IF($F43="Floodplain", $D43*$F$52, 0)</f>
        <v>54402877.140000001</v>
      </c>
      <c r="I43" s="15">
        <f>IF($F43="Floodplain", $D43*$F$53, 0)</f>
        <v>43850307.899999999</v>
      </c>
      <c r="J43" s="15">
        <f>IF($F43="Floodplain", $D43*$F$54, 0)</f>
        <v>57686036.340000004</v>
      </c>
      <c r="K43" s="15">
        <f>IF($F43="Floodplain", $D43*$F$55, 0)</f>
        <v>33766982.640000001</v>
      </c>
      <c r="L43" s="15">
        <f>IF($F43="Floodplain", $D43*$F$56, 0)</f>
        <v>25091389.32</v>
      </c>
      <c r="M43" s="15">
        <f>IF($F43="Floodplain", $D43*$F$57, 0)</f>
        <v>23565959.219999999</v>
      </c>
      <c r="N43" s="15">
        <f>IF($F43="Floodplain", $D43*$F$58, 0)</f>
        <v>14421121.92</v>
      </c>
      <c r="O43" s="15">
        <f>IF($F43="Floodplain", $D43*$F$59, 0)</f>
        <v>5276284.62</v>
      </c>
      <c r="P43" s="15">
        <f>IF($F43="Floodplain", $D43*$F$60, 0)</f>
        <v>5276284.62</v>
      </c>
      <c r="Q43" s="15">
        <f>IF($F43="Floodplain", $D43*$F$61, 0)</f>
        <v>1641579.5999999999</v>
      </c>
      <c r="R43" s="15">
        <f>IF($F43="Floodplain", $D43*$F$62, 0)</f>
        <v>264978823.31999999</v>
      </c>
    </row>
    <row r="44" spans="1:18" ht="12.75" x14ac:dyDescent="0.2">
      <c r="A44" s="19" t="s">
        <v>109</v>
      </c>
      <c r="B44" s="3" t="s">
        <v>138</v>
      </c>
      <c r="D44" s="24">
        <f>AVERAGE('100% Restoration ($)'!D44,'25% Restoration ($)'!D42)</f>
        <v>127608.5</v>
      </c>
      <c r="E44" s="3"/>
      <c r="F44" s="3" t="s">
        <v>112</v>
      </c>
      <c r="G44" s="4"/>
      <c r="H44" s="15">
        <f>IF($F44="Wetland", $D44*$F$52, 0)</f>
        <v>44827589.965000004</v>
      </c>
      <c r="I44" s="15">
        <f>IF($F44="Wetland", $D44*$F$53, 0)</f>
        <v>36132346.774999999</v>
      </c>
      <c r="J44" s="15">
        <f>IF($F44="Wetland", $D44*$F$54, 0)</f>
        <v>47532890.164999999</v>
      </c>
      <c r="K44" s="15">
        <f>IF($F44="Wetland", $D44*$F$55, 0)</f>
        <v>27823757.34</v>
      </c>
      <c r="L44" s="15">
        <f>IF($F44="Wetland", $D44*$F$56, 0)</f>
        <v>20675129.170000002</v>
      </c>
      <c r="M44" s="15">
        <f>IF($F44="Wetland", $D44*$F$57, 0)</f>
        <v>19418185.444999997</v>
      </c>
      <c r="N44" s="15">
        <f>IF($F44="Wetland", $D44*$F$58, 0)</f>
        <v>11882903.520000001</v>
      </c>
      <c r="O44" s="15">
        <f>IF($F44="Wetland", $D44*$F$59, 0)</f>
        <v>4347621.5949999997</v>
      </c>
      <c r="P44" s="15">
        <f>IF($F44="Wetland", $D44*$F$60, 0)</f>
        <v>4347621.5949999997</v>
      </c>
      <c r="Q44" s="15">
        <f>IF($F44="Wetland", $D44*$F$61, 0)</f>
        <v>1352650.0999999999</v>
      </c>
      <c r="R44" s="15">
        <f>IF($F44="Wetland", $D44*$F$62, 0)</f>
        <v>218340695.66999999</v>
      </c>
    </row>
    <row r="45" spans="1:18" ht="15.75" customHeight="1" x14ac:dyDescent="0.2">
      <c r="B45" s="4" t="s">
        <v>55</v>
      </c>
      <c r="D45" s="4">
        <f>SUM(D8,D10,D15:D19,D22:D37)</f>
        <v>104362</v>
      </c>
      <c r="G45" s="16" t="s">
        <v>85</v>
      </c>
      <c r="H45" s="15">
        <f t="shared" ref="H45:R45" si="12">SUM(H4:H41)</f>
        <v>36661326.979999997</v>
      </c>
      <c r="I45" s="15">
        <f t="shared" si="12"/>
        <v>29550100.300000001</v>
      </c>
      <c r="J45" s="15">
        <f t="shared" si="12"/>
        <v>38873801.38000001</v>
      </c>
      <c r="K45" s="15">
        <f t="shared" si="12"/>
        <v>22755090.48</v>
      </c>
      <c r="L45" s="15">
        <f t="shared" si="12"/>
        <v>16908731.240000002</v>
      </c>
      <c r="M45" s="15">
        <f t="shared" si="12"/>
        <v>15880765.539999997</v>
      </c>
      <c r="N45" s="15">
        <f t="shared" si="12"/>
        <v>9718189.4399999995</v>
      </c>
      <c r="O45" s="15">
        <f t="shared" si="12"/>
        <v>3555613.34</v>
      </c>
      <c r="P45" s="15">
        <f t="shared" si="12"/>
        <v>3555613.34</v>
      </c>
      <c r="Q45" s="15">
        <f t="shared" si="12"/>
        <v>1106237.2</v>
      </c>
      <c r="R45" s="15">
        <f t="shared" si="12"/>
        <v>178565469.24000001</v>
      </c>
    </row>
    <row r="46" spans="1:18" ht="12.75" x14ac:dyDescent="0.2"/>
    <row r="47" spans="1:18" ht="12.75" x14ac:dyDescent="0.2">
      <c r="E47" s="4" t="s">
        <v>56</v>
      </c>
      <c r="F47" s="4">
        <v>128001</v>
      </c>
      <c r="G47" s="1"/>
    </row>
    <row r="48" spans="1:18" ht="15.75" customHeight="1" x14ac:dyDescent="0.2">
      <c r="E48" s="4" t="s">
        <v>57</v>
      </c>
      <c r="F48" s="4">
        <v>0.51400000000000001</v>
      </c>
      <c r="G48" s="1"/>
    </row>
    <row r="49" spans="3:6" ht="15.75" customHeight="1" x14ac:dyDescent="0.2">
      <c r="C49" s="1" t="s">
        <v>11</v>
      </c>
    </row>
    <row r="50" spans="3:6" ht="15.75" customHeight="1" x14ac:dyDescent="0.2">
      <c r="C50" s="2" t="s">
        <v>14</v>
      </c>
    </row>
    <row r="51" spans="3:6" ht="15.75" customHeight="1" x14ac:dyDescent="0.2">
      <c r="C51" s="3" t="s">
        <v>17</v>
      </c>
      <c r="D51" s="9" t="s">
        <v>70</v>
      </c>
      <c r="E51" s="9" t="s">
        <v>71</v>
      </c>
      <c r="F51" s="9" t="s">
        <v>83</v>
      </c>
    </row>
    <row r="52" spans="3:6" ht="15.75" customHeight="1" x14ac:dyDescent="0.2">
      <c r="D52" s="10" t="s">
        <v>72</v>
      </c>
      <c r="E52" s="10">
        <v>187.77</v>
      </c>
      <c r="F52" s="10">
        <v>351.29</v>
      </c>
    </row>
    <row r="53" spans="3:6" ht="15.75" customHeight="1" x14ac:dyDescent="0.2">
      <c r="D53" s="10" t="s">
        <v>73</v>
      </c>
      <c r="E53" s="10">
        <v>151.35</v>
      </c>
      <c r="F53" s="10">
        <v>283.14999999999998</v>
      </c>
    </row>
    <row r="54" spans="3:6" ht="15.75" customHeight="1" x14ac:dyDescent="0.2">
      <c r="D54" s="10" t="s">
        <v>74</v>
      </c>
      <c r="E54" s="10">
        <v>199.11</v>
      </c>
      <c r="F54" s="10">
        <v>372.49</v>
      </c>
    </row>
    <row r="55" spans="3:6" ht="15.75" customHeight="1" x14ac:dyDescent="0.2">
      <c r="D55" s="10" t="s">
        <v>75</v>
      </c>
      <c r="E55" s="10">
        <v>116.55</v>
      </c>
      <c r="F55" s="10">
        <v>218.04</v>
      </c>
    </row>
    <row r="56" spans="3:6" ht="15.75" customHeight="1" x14ac:dyDescent="0.2">
      <c r="D56" s="10" t="s">
        <v>76</v>
      </c>
      <c r="E56" s="10">
        <v>86.6</v>
      </c>
      <c r="F56" s="10">
        <v>162.02000000000001</v>
      </c>
    </row>
    <row r="57" spans="3:6" ht="15.75" customHeight="1" x14ac:dyDescent="0.2">
      <c r="D57" s="10" t="s">
        <v>77</v>
      </c>
      <c r="E57" s="10">
        <v>81.34</v>
      </c>
      <c r="F57" s="10">
        <v>152.16999999999999</v>
      </c>
    </row>
    <row r="58" spans="3:6" ht="15.75" customHeight="1" x14ac:dyDescent="0.2">
      <c r="D58" s="10" t="s">
        <v>78</v>
      </c>
      <c r="E58" s="10">
        <v>49.78</v>
      </c>
      <c r="F58" s="10">
        <v>93.12</v>
      </c>
    </row>
    <row r="59" spans="3:6" ht="15.75" customHeight="1" x14ac:dyDescent="0.2">
      <c r="D59" s="10" t="s">
        <v>79</v>
      </c>
      <c r="E59" s="10">
        <v>18.21</v>
      </c>
      <c r="F59" s="10">
        <v>34.07</v>
      </c>
    </row>
    <row r="60" spans="3:6" ht="15.75" customHeight="1" x14ac:dyDescent="0.2">
      <c r="D60" s="10" t="s">
        <v>80</v>
      </c>
      <c r="E60" s="10">
        <v>18.21</v>
      </c>
      <c r="F60" s="10">
        <v>34.07</v>
      </c>
    </row>
    <row r="61" spans="3:6" ht="15.75" customHeight="1" x14ac:dyDescent="0.2">
      <c r="D61" s="10" t="s">
        <v>81</v>
      </c>
      <c r="E61" s="10">
        <v>5.67</v>
      </c>
      <c r="F61" s="10">
        <v>10.6</v>
      </c>
    </row>
    <row r="62" spans="3:6" ht="15.75" customHeight="1" x14ac:dyDescent="0.2">
      <c r="D62" s="11" t="s">
        <v>82</v>
      </c>
      <c r="E62" s="11">
        <v>914.59</v>
      </c>
      <c r="F62" s="12">
        <v>1711.02</v>
      </c>
    </row>
  </sheetData>
  <mergeCells count="1">
    <mergeCell ref="H1:R1"/>
  </mergeCells>
  <conditionalFormatting sqref="H3:R30 H32:R41 H45:R45">
    <cfRule type="top10" dxfId="3" priority="4" percent="1" rank="10"/>
  </conditionalFormatting>
  <conditionalFormatting sqref="H31:R31">
    <cfRule type="top10" dxfId="2" priority="2" percent="1" rank="10"/>
  </conditionalFormatting>
  <conditionalFormatting sqref="H42:R44">
    <cfRule type="top10" dxfId="1" priority="1" percent="1" rank="1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62"/>
  <sheetViews>
    <sheetView workbookViewId="0">
      <selection activeCell="H69" sqref="H69"/>
    </sheetView>
  </sheetViews>
  <sheetFormatPr defaultColWidth="12.5703125" defaultRowHeight="15.75" customHeight="1" x14ac:dyDescent="0.2"/>
  <cols>
    <col min="8" max="8" width="29.85546875" customWidth="1"/>
    <col min="9" max="11" width="15" bestFit="1" customWidth="1"/>
    <col min="12" max="16" width="14" bestFit="1" customWidth="1"/>
    <col min="17" max="17" width="12.7109375" bestFit="1" customWidth="1"/>
    <col min="18" max="18" width="15" bestFit="1" customWidth="1"/>
  </cols>
  <sheetData>
    <row r="1" spans="1:18" ht="15.75" customHeight="1" x14ac:dyDescent="0.2">
      <c r="H1" s="238" t="s">
        <v>84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</row>
    <row r="2" spans="1:18" ht="25.5" x14ac:dyDescent="0.2">
      <c r="A2" t="s">
        <v>86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58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94</v>
      </c>
      <c r="B3" s="1" t="s">
        <v>95</v>
      </c>
      <c r="C3" s="1"/>
      <c r="D3" s="1">
        <v>41914</v>
      </c>
      <c r="E3" s="1"/>
      <c r="F3" s="1" t="s">
        <v>96</v>
      </c>
      <c r="G3" s="13"/>
      <c r="H3" s="15">
        <f>IF($F3="Tidal", $D3*$F$52, 0)</f>
        <v>14723969.060000001</v>
      </c>
      <c r="I3" s="15">
        <f t="shared" ref="I3:R3" si="0">IF($F3="Tidal", $D3*$F$52, 0)</f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87</v>
      </c>
      <c r="B4" s="3" t="s">
        <v>5</v>
      </c>
      <c r="C4" s="3">
        <v>80</v>
      </c>
      <c r="D4" s="3">
        <v>16543</v>
      </c>
      <c r="E4" s="3" t="s">
        <v>6</v>
      </c>
      <c r="F4" s="3" t="s">
        <v>54</v>
      </c>
      <c r="G4" t="s">
        <v>5</v>
      </c>
      <c r="H4" s="15">
        <f t="shared" ref="H4:H28" si="1">IF($F4="MW", $D4*$F$52, 0)</f>
        <v>0</v>
      </c>
      <c r="I4" s="15">
        <f t="shared" ref="I4:I28" si="2">IF($F4="MW", $D4*$F$53, 0)</f>
        <v>0</v>
      </c>
      <c r="J4" s="15">
        <f t="shared" ref="J4:J28" si="3">IF($F4="MW", $D4*$F$54, 0)</f>
        <v>0</v>
      </c>
      <c r="K4" s="15">
        <f t="shared" ref="K4:K28" si="4">IF($F4="MW", $D4*$F$55, 0)</f>
        <v>0</v>
      </c>
      <c r="L4" s="15">
        <f t="shared" ref="L4:L28" si="5">IF($F4="MW", $D4*$F$56, 0)</f>
        <v>0</v>
      </c>
      <c r="M4" s="15">
        <f t="shared" ref="M4:M28" si="6">IF($F4="MW", $D4*$F$57, 0)</f>
        <v>0</v>
      </c>
      <c r="N4" s="15">
        <f t="shared" ref="N4:N28" si="7">IF($F4="MW", $D4*$F$58, 0)</f>
        <v>0</v>
      </c>
      <c r="O4" s="15">
        <f t="shared" ref="O4:O28" si="8">IF($F4="MW", $D4*$F$59, 0)</f>
        <v>0</v>
      </c>
      <c r="P4" s="15">
        <f t="shared" ref="P4:P28" si="9">IF($F4="MW", $D4*$F$60, 0)</f>
        <v>0</v>
      </c>
      <c r="Q4" s="15">
        <f t="shared" ref="Q4:Q28" si="10">IF($F4="MW", $D4*$F$61, 0)</f>
        <v>0</v>
      </c>
      <c r="R4" s="15">
        <f t="shared" ref="R4:R28" si="11">IF($F4="MW", $D4*$F$62, 0)</f>
        <v>0</v>
      </c>
    </row>
    <row r="5" spans="1:18" ht="12.75" x14ac:dyDescent="0.2">
      <c r="A5" t="s">
        <v>87</v>
      </c>
      <c r="B5" s="3" t="s">
        <v>8</v>
      </c>
      <c r="C5" s="3">
        <v>76</v>
      </c>
      <c r="D5" s="3">
        <v>11798</v>
      </c>
      <c r="E5" s="3" t="s">
        <v>9</v>
      </c>
      <c r="F5" s="3" t="s">
        <v>54</v>
      </c>
      <c r="G5" t="s">
        <v>8</v>
      </c>
      <c r="H5" s="15">
        <f t="shared" si="1"/>
        <v>0</v>
      </c>
      <c r="I5" s="15">
        <f t="shared" si="2"/>
        <v>0</v>
      </c>
      <c r="J5" s="15">
        <f t="shared" si="3"/>
        <v>0</v>
      </c>
      <c r="K5" s="15">
        <f t="shared" si="4"/>
        <v>0</v>
      </c>
      <c r="L5" s="15">
        <f t="shared" si="5"/>
        <v>0</v>
      </c>
      <c r="M5" s="15">
        <f t="shared" si="6"/>
        <v>0</v>
      </c>
      <c r="N5" s="15">
        <f t="shared" si="7"/>
        <v>0</v>
      </c>
      <c r="O5" s="15">
        <f t="shared" si="8"/>
        <v>0</v>
      </c>
      <c r="P5" s="15">
        <f t="shared" si="9"/>
        <v>0</v>
      </c>
      <c r="Q5" s="15">
        <f t="shared" si="10"/>
        <v>0</v>
      </c>
      <c r="R5" s="15">
        <f t="shared" si="11"/>
        <v>0</v>
      </c>
    </row>
    <row r="6" spans="1:18" ht="12.75" x14ac:dyDescent="0.2">
      <c r="A6" t="s">
        <v>87</v>
      </c>
      <c r="B6" s="3" t="s">
        <v>10</v>
      </c>
      <c r="C6" s="3">
        <v>62</v>
      </c>
      <c r="D6" s="3">
        <v>8799</v>
      </c>
      <c r="E6" s="3" t="s">
        <v>9</v>
      </c>
      <c r="F6" s="3" t="s">
        <v>54</v>
      </c>
      <c r="G6" t="s">
        <v>10</v>
      </c>
      <c r="H6" s="15">
        <f t="shared" si="1"/>
        <v>0</v>
      </c>
      <c r="I6" s="15">
        <f t="shared" si="2"/>
        <v>0</v>
      </c>
      <c r="J6" s="15">
        <f t="shared" si="3"/>
        <v>0</v>
      </c>
      <c r="K6" s="15">
        <f t="shared" si="4"/>
        <v>0</v>
      </c>
      <c r="L6" s="15">
        <f t="shared" si="5"/>
        <v>0</v>
      </c>
      <c r="M6" s="15">
        <f t="shared" si="6"/>
        <v>0</v>
      </c>
      <c r="N6" s="15">
        <f t="shared" si="7"/>
        <v>0</v>
      </c>
      <c r="O6" s="15">
        <f t="shared" si="8"/>
        <v>0</v>
      </c>
      <c r="P6" s="15">
        <f t="shared" si="9"/>
        <v>0</v>
      </c>
      <c r="Q6" s="15">
        <f t="shared" si="10"/>
        <v>0</v>
      </c>
      <c r="R6" s="15">
        <f t="shared" si="11"/>
        <v>0</v>
      </c>
    </row>
    <row r="7" spans="1:18" ht="12.75" x14ac:dyDescent="0.2">
      <c r="A7" t="s">
        <v>87</v>
      </c>
      <c r="B7" s="3" t="s">
        <v>12</v>
      </c>
      <c r="C7" s="3">
        <v>61</v>
      </c>
      <c r="D7" s="3">
        <v>9111</v>
      </c>
      <c r="E7" s="3" t="s">
        <v>13</v>
      </c>
      <c r="F7" s="3" t="s">
        <v>54</v>
      </c>
      <c r="G7" t="s">
        <v>12</v>
      </c>
      <c r="H7" s="15">
        <f t="shared" si="1"/>
        <v>0</v>
      </c>
      <c r="I7" s="15">
        <f t="shared" si="2"/>
        <v>0</v>
      </c>
      <c r="J7" s="15">
        <f t="shared" si="3"/>
        <v>0</v>
      </c>
      <c r="K7" s="15">
        <f t="shared" si="4"/>
        <v>0</v>
      </c>
      <c r="L7" s="15">
        <f t="shared" si="5"/>
        <v>0</v>
      </c>
      <c r="M7" s="15">
        <f t="shared" si="6"/>
        <v>0</v>
      </c>
      <c r="N7" s="15">
        <f t="shared" si="7"/>
        <v>0</v>
      </c>
      <c r="O7" s="15">
        <f t="shared" si="8"/>
        <v>0</v>
      </c>
      <c r="P7" s="15">
        <f t="shared" si="9"/>
        <v>0</v>
      </c>
      <c r="Q7" s="15">
        <f t="shared" si="10"/>
        <v>0</v>
      </c>
      <c r="R7" s="15">
        <f t="shared" si="11"/>
        <v>0</v>
      </c>
    </row>
    <row r="8" spans="1:18" ht="12.75" x14ac:dyDescent="0.2">
      <c r="A8" t="s">
        <v>88</v>
      </c>
      <c r="B8" s="3" t="s">
        <v>15</v>
      </c>
      <c r="C8" s="3">
        <v>116</v>
      </c>
      <c r="D8" s="3">
        <v>12907</v>
      </c>
      <c r="E8" s="3" t="s">
        <v>16</v>
      </c>
      <c r="F8" s="3" t="s">
        <v>54</v>
      </c>
      <c r="G8" t="s">
        <v>15</v>
      </c>
      <c r="H8" s="15">
        <f t="shared" si="1"/>
        <v>0</v>
      </c>
      <c r="I8" s="15">
        <f t="shared" si="2"/>
        <v>0</v>
      </c>
      <c r="J8" s="15">
        <f t="shared" si="3"/>
        <v>0</v>
      </c>
      <c r="K8" s="15">
        <f t="shared" si="4"/>
        <v>0</v>
      </c>
      <c r="L8" s="15">
        <f t="shared" si="5"/>
        <v>0</v>
      </c>
      <c r="M8" s="15">
        <f t="shared" si="6"/>
        <v>0</v>
      </c>
      <c r="N8" s="15">
        <f t="shared" si="7"/>
        <v>0</v>
      </c>
      <c r="O8" s="15">
        <f t="shared" si="8"/>
        <v>0</v>
      </c>
      <c r="P8" s="15">
        <f t="shared" si="9"/>
        <v>0</v>
      </c>
      <c r="Q8" s="15">
        <f t="shared" si="10"/>
        <v>0</v>
      </c>
      <c r="R8" s="15">
        <f t="shared" si="11"/>
        <v>0</v>
      </c>
    </row>
    <row r="9" spans="1:18" ht="12.75" x14ac:dyDescent="0.2">
      <c r="A9" t="s">
        <v>89</v>
      </c>
      <c r="B9" s="3" t="s">
        <v>18</v>
      </c>
      <c r="C9" s="3">
        <v>57</v>
      </c>
      <c r="D9" s="3">
        <v>5936</v>
      </c>
      <c r="E9" s="3" t="s">
        <v>16</v>
      </c>
      <c r="F9" s="3" t="s">
        <v>54</v>
      </c>
      <c r="G9" t="s">
        <v>18</v>
      </c>
      <c r="H9" s="15">
        <f t="shared" si="1"/>
        <v>0</v>
      </c>
      <c r="I9" s="15">
        <f t="shared" si="2"/>
        <v>0</v>
      </c>
      <c r="J9" s="15">
        <f t="shared" si="3"/>
        <v>0</v>
      </c>
      <c r="K9" s="15">
        <f t="shared" si="4"/>
        <v>0</v>
      </c>
      <c r="L9" s="15">
        <f t="shared" si="5"/>
        <v>0</v>
      </c>
      <c r="M9" s="15">
        <f t="shared" si="6"/>
        <v>0</v>
      </c>
      <c r="N9" s="15">
        <f t="shared" si="7"/>
        <v>0</v>
      </c>
      <c r="O9" s="15">
        <f t="shared" si="8"/>
        <v>0</v>
      </c>
      <c r="P9" s="15">
        <f t="shared" si="9"/>
        <v>0</v>
      </c>
      <c r="Q9" s="15">
        <f t="shared" si="10"/>
        <v>0</v>
      </c>
      <c r="R9" s="15">
        <f t="shared" si="11"/>
        <v>0</v>
      </c>
    </row>
    <row r="10" spans="1:18" ht="12.75" x14ac:dyDescent="0.2">
      <c r="A10" t="s">
        <v>89</v>
      </c>
      <c r="B10" s="3" t="s">
        <v>19</v>
      </c>
      <c r="C10" s="3">
        <v>49</v>
      </c>
      <c r="D10" s="3">
        <v>3094</v>
      </c>
      <c r="E10" s="3" t="s">
        <v>16</v>
      </c>
      <c r="F10" s="3" t="s">
        <v>54</v>
      </c>
      <c r="G10" t="s">
        <v>19</v>
      </c>
      <c r="H10" s="15">
        <f t="shared" si="1"/>
        <v>0</v>
      </c>
      <c r="I10" s="15">
        <f t="shared" si="2"/>
        <v>0</v>
      </c>
      <c r="J10" s="15">
        <f t="shared" si="3"/>
        <v>0</v>
      </c>
      <c r="K10" s="15">
        <f t="shared" si="4"/>
        <v>0</v>
      </c>
      <c r="L10" s="15">
        <f t="shared" si="5"/>
        <v>0</v>
      </c>
      <c r="M10" s="15">
        <f t="shared" si="6"/>
        <v>0</v>
      </c>
      <c r="N10" s="15">
        <f t="shared" si="7"/>
        <v>0</v>
      </c>
      <c r="O10" s="15">
        <f t="shared" si="8"/>
        <v>0</v>
      </c>
      <c r="P10" s="15">
        <f t="shared" si="9"/>
        <v>0</v>
      </c>
      <c r="Q10" s="15">
        <f t="shared" si="10"/>
        <v>0</v>
      </c>
      <c r="R10" s="15">
        <f t="shared" si="11"/>
        <v>0</v>
      </c>
    </row>
    <row r="11" spans="1:18" ht="12.75" x14ac:dyDescent="0.2">
      <c r="A11" t="s">
        <v>89</v>
      </c>
      <c r="B11" s="3" t="s">
        <v>20</v>
      </c>
      <c r="C11" s="3">
        <v>41</v>
      </c>
      <c r="D11" s="3">
        <v>1165</v>
      </c>
      <c r="E11" s="3" t="s">
        <v>13</v>
      </c>
      <c r="F11" s="3" t="s">
        <v>54</v>
      </c>
      <c r="G11" t="s">
        <v>20</v>
      </c>
      <c r="H11" s="15">
        <f t="shared" si="1"/>
        <v>0</v>
      </c>
      <c r="I11" s="15">
        <f t="shared" si="2"/>
        <v>0</v>
      </c>
      <c r="J11" s="15">
        <f t="shared" si="3"/>
        <v>0</v>
      </c>
      <c r="K11" s="15">
        <f t="shared" si="4"/>
        <v>0</v>
      </c>
      <c r="L11" s="15">
        <f t="shared" si="5"/>
        <v>0</v>
      </c>
      <c r="M11" s="15">
        <f t="shared" si="6"/>
        <v>0</v>
      </c>
      <c r="N11" s="15">
        <f t="shared" si="7"/>
        <v>0</v>
      </c>
      <c r="O11" s="15">
        <f t="shared" si="8"/>
        <v>0</v>
      </c>
      <c r="P11" s="15">
        <f t="shared" si="9"/>
        <v>0</v>
      </c>
      <c r="Q11" s="15">
        <f t="shared" si="10"/>
        <v>0</v>
      </c>
      <c r="R11" s="15">
        <f t="shared" si="11"/>
        <v>0</v>
      </c>
    </row>
    <row r="12" spans="1:18" ht="12.75" x14ac:dyDescent="0.2">
      <c r="A12" t="s">
        <v>89</v>
      </c>
      <c r="B12" s="3" t="s">
        <v>21</v>
      </c>
      <c r="C12" s="3">
        <v>50</v>
      </c>
      <c r="D12" s="3">
        <v>3625</v>
      </c>
      <c r="E12" s="3" t="s">
        <v>13</v>
      </c>
      <c r="F12" s="3" t="s">
        <v>54</v>
      </c>
      <c r="G12" t="s">
        <v>21</v>
      </c>
      <c r="H12" s="15">
        <f t="shared" si="1"/>
        <v>0</v>
      </c>
      <c r="I12" s="15">
        <f t="shared" si="2"/>
        <v>0</v>
      </c>
      <c r="J12" s="15">
        <f t="shared" si="3"/>
        <v>0</v>
      </c>
      <c r="K12" s="15">
        <f t="shared" si="4"/>
        <v>0</v>
      </c>
      <c r="L12" s="15">
        <f t="shared" si="5"/>
        <v>0</v>
      </c>
      <c r="M12" s="15">
        <f t="shared" si="6"/>
        <v>0</v>
      </c>
      <c r="N12" s="15">
        <f t="shared" si="7"/>
        <v>0</v>
      </c>
      <c r="O12" s="15">
        <f t="shared" si="8"/>
        <v>0</v>
      </c>
      <c r="P12" s="15">
        <f t="shared" si="9"/>
        <v>0</v>
      </c>
      <c r="Q12" s="15">
        <f t="shared" si="10"/>
        <v>0</v>
      </c>
      <c r="R12" s="15">
        <f t="shared" si="11"/>
        <v>0</v>
      </c>
    </row>
    <row r="13" spans="1:18" ht="12.75" x14ac:dyDescent="0.2">
      <c r="A13" t="s">
        <v>89</v>
      </c>
      <c r="B13" s="3" t="s">
        <v>22</v>
      </c>
      <c r="C13" s="3">
        <v>46</v>
      </c>
      <c r="D13" s="3">
        <v>3216</v>
      </c>
      <c r="E13" s="3" t="s">
        <v>9</v>
      </c>
      <c r="F13" s="3" t="s">
        <v>54</v>
      </c>
      <c r="G13" t="s">
        <v>22</v>
      </c>
      <c r="H13" s="15">
        <f t="shared" si="1"/>
        <v>0</v>
      </c>
      <c r="I13" s="15">
        <f t="shared" si="2"/>
        <v>0</v>
      </c>
      <c r="J13" s="15">
        <f t="shared" si="3"/>
        <v>0</v>
      </c>
      <c r="K13" s="15">
        <f t="shared" si="4"/>
        <v>0</v>
      </c>
      <c r="L13" s="15">
        <f t="shared" si="5"/>
        <v>0</v>
      </c>
      <c r="M13" s="15">
        <f t="shared" si="6"/>
        <v>0</v>
      </c>
      <c r="N13" s="15">
        <f t="shared" si="7"/>
        <v>0</v>
      </c>
      <c r="O13" s="15">
        <f t="shared" si="8"/>
        <v>0</v>
      </c>
      <c r="P13" s="15">
        <f t="shared" si="9"/>
        <v>0</v>
      </c>
      <c r="Q13" s="15">
        <f t="shared" si="10"/>
        <v>0</v>
      </c>
      <c r="R13" s="15">
        <f t="shared" si="11"/>
        <v>0</v>
      </c>
    </row>
    <row r="14" spans="1:18" ht="12.75" x14ac:dyDescent="0.2">
      <c r="A14" t="s">
        <v>90</v>
      </c>
      <c r="B14" s="3" t="s">
        <v>23</v>
      </c>
      <c r="C14" s="3">
        <v>58</v>
      </c>
      <c r="D14" s="3">
        <v>10358</v>
      </c>
      <c r="E14" s="3" t="s">
        <v>9</v>
      </c>
      <c r="F14" s="3" t="s">
        <v>54</v>
      </c>
      <c r="G14" t="s">
        <v>23</v>
      </c>
      <c r="H14" s="15">
        <f t="shared" si="1"/>
        <v>0</v>
      </c>
      <c r="I14" s="15">
        <f t="shared" si="2"/>
        <v>0</v>
      </c>
      <c r="J14" s="15">
        <f t="shared" si="3"/>
        <v>0</v>
      </c>
      <c r="K14" s="15">
        <f t="shared" si="4"/>
        <v>0</v>
      </c>
      <c r="L14" s="15">
        <f t="shared" si="5"/>
        <v>0</v>
      </c>
      <c r="M14" s="15">
        <f t="shared" si="6"/>
        <v>0</v>
      </c>
      <c r="N14" s="15">
        <f t="shared" si="7"/>
        <v>0</v>
      </c>
      <c r="O14" s="15">
        <f t="shared" si="8"/>
        <v>0</v>
      </c>
      <c r="P14" s="15">
        <f t="shared" si="9"/>
        <v>0</v>
      </c>
      <c r="Q14" s="15">
        <f t="shared" si="10"/>
        <v>0</v>
      </c>
      <c r="R14" s="15">
        <f t="shared" si="11"/>
        <v>0</v>
      </c>
    </row>
    <row r="15" spans="1:18" ht="12.75" x14ac:dyDescent="0.2">
      <c r="A15" t="s">
        <v>89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89</v>
      </c>
      <c r="B16" s="3" t="s">
        <v>26</v>
      </c>
      <c r="C16" s="3">
        <v>34</v>
      </c>
      <c r="D16" s="3">
        <v>6060</v>
      </c>
      <c r="E16" s="3" t="s">
        <v>16</v>
      </c>
      <c r="F16" s="3" t="s">
        <v>54</v>
      </c>
      <c r="G16" t="s">
        <v>26</v>
      </c>
      <c r="H16" s="15">
        <f t="shared" si="1"/>
        <v>0</v>
      </c>
      <c r="I16" s="15">
        <f t="shared" si="2"/>
        <v>0</v>
      </c>
      <c r="J16" s="15">
        <f t="shared" si="3"/>
        <v>0</v>
      </c>
      <c r="K16" s="15">
        <f t="shared" si="4"/>
        <v>0</v>
      </c>
      <c r="L16" s="15">
        <f t="shared" si="5"/>
        <v>0</v>
      </c>
      <c r="M16" s="15">
        <f t="shared" si="6"/>
        <v>0</v>
      </c>
      <c r="N16" s="15">
        <f t="shared" si="7"/>
        <v>0</v>
      </c>
      <c r="O16" s="15">
        <f t="shared" si="8"/>
        <v>0</v>
      </c>
      <c r="P16" s="15">
        <f t="shared" si="9"/>
        <v>0</v>
      </c>
      <c r="Q16" s="15">
        <f t="shared" si="10"/>
        <v>0</v>
      </c>
      <c r="R16" s="15">
        <f t="shared" si="11"/>
        <v>0</v>
      </c>
    </row>
    <row r="17" spans="1:18" ht="12.75" x14ac:dyDescent="0.2">
      <c r="A17" t="s">
        <v>89</v>
      </c>
      <c r="B17" s="3" t="s">
        <v>27</v>
      </c>
      <c r="C17" s="3">
        <v>26</v>
      </c>
      <c r="D17" s="3">
        <v>12127</v>
      </c>
      <c r="E17" s="3" t="s">
        <v>9</v>
      </c>
      <c r="F17" s="3" t="s">
        <v>54</v>
      </c>
      <c r="G17" t="s">
        <v>27</v>
      </c>
      <c r="H17" s="15">
        <f t="shared" si="1"/>
        <v>0</v>
      </c>
      <c r="I17" s="15">
        <f t="shared" si="2"/>
        <v>0</v>
      </c>
      <c r="J17" s="15">
        <f t="shared" si="3"/>
        <v>0</v>
      </c>
      <c r="K17" s="15">
        <f t="shared" si="4"/>
        <v>0</v>
      </c>
      <c r="L17" s="15">
        <f t="shared" si="5"/>
        <v>0</v>
      </c>
      <c r="M17" s="15">
        <f t="shared" si="6"/>
        <v>0</v>
      </c>
      <c r="N17" s="15">
        <f t="shared" si="7"/>
        <v>0</v>
      </c>
      <c r="O17" s="15">
        <f t="shared" si="8"/>
        <v>0</v>
      </c>
      <c r="P17" s="15">
        <f t="shared" si="9"/>
        <v>0</v>
      </c>
      <c r="Q17" s="15">
        <f t="shared" si="10"/>
        <v>0</v>
      </c>
      <c r="R17" s="15">
        <f t="shared" si="11"/>
        <v>0</v>
      </c>
    </row>
    <row r="18" spans="1:18" ht="12.75" x14ac:dyDescent="0.2">
      <c r="A18" t="s">
        <v>89</v>
      </c>
      <c r="B18" s="3" t="s">
        <v>29</v>
      </c>
      <c r="C18" s="3" t="s">
        <v>30</v>
      </c>
      <c r="D18" s="3">
        <v>35663</v>
      </c>
      <c r="E18" s="3" t="s">
        <v>9</v>
      </c>
      <c r="F18" s="3" t="s">
        <v>54</v>
      </c>
      <c r="G18" t="s">
        <v>29</v>
      </c>
      <c r="H18" s="15">
        <f t="shared" si="1"/>
        <v>0</v>
      </c>
      <c r="I18" s="15">
        <f t="shared" si="2"/>
        <v>0</v>
      </c>
      <c r="J18" s="15">
        <f t="shared" si="3"/>
        <v>0</v>
      </c>
      <c r="K18" s="15">
        <f t="shared" si="4"/>
        <v>0</v>
      </c>
      <c r="L18" s="15">
        <f t="shared" si="5"/>
        <v>0</v>
      </c>
      <c r="M18" s="15">
        <f t="shared" si="6"/>
        <v>0</v>
      </c>
      <c r="N18" s="15">
        <f t="shared" si="7"/>
        <v>0</v>
      </c>
      <c r="O18" s="15">
        <f t="shared" si="8"/>
        <v>0</v>
      </c>
      <c r="P18" s="15">
        <f t="shared" si="9"/>
        <v>0</v>
      </c>
      <c r="Q18" s="15">
        <f t="shared" si="10"/>
        <v>0</v>
      </c>
      <c r="R18" s="15">
        <f t="shared" si="11"/>
        <v>0</v>
      </c>
    </row>
    <row r="19" spans="1:18" ht="12.75" x14ac:dyDescent="0.2">
      <c r="A19" t="s">
        <v>89</v>
      </c>
      <c r="B19" s="3" t="s">
        <v>31</v>
      </c>
      <c r="C19" s="3">
        <v>9</v>
      </c>
      <c r="D19" s="3">
        <v>24750</v>
      </c>
      <c r="E19" s="3" t="s">
        <v>9</v>
      </c>
      <c r="F19" s="3" t="s">
        <v>54</v>
      </c>
      <c r="G19" t="s">
        <v>31</v>
      </c>
      <c r="H19" s="15">
        <f t="shared" si="1"/>
        <v>0</v>
      </c>
      <c r="I19" s="15">
        <f t="shared" si="2"/>
        <v>0</v>
      </c>
      <c r="J19" s="15">
        <f t="shared" si="3"/>
        <v>0</v>
      </c>
      <c r="K19" s="15">
        <f t="shared" si="4"/>
        <v>0</v>
      </c>
      <c r="L19" s="15">
        <f t="shared" si="5"/>
        <v>0</v>
      </c>
      <c r="M19" s="15">
        <f t="shared" si="6"/>
        <v>0</v>
      </c>
      <c r="N19" s="15">
        <f t="shared" si="7"/>
        <v>0</v>
      </c>
      <c r="O19" s="15">
        <f t="shared" si="8"/>
        <v>0</v>
      </c>
      <c r="P19" s="15">
        <f t="shared" si="9"/>
        <v>0</v>
      </c>
      <c r="Q19" s="15">
        <f t="shared" si="10"/>
        <v>0</v>
      </c>
      <c r="R19" s="15">
        <f t="shared" si="11"/>
        <v>0</v>
      </c>
    </row>
    <row r="20" spans="1:18" ht="12.75" x14ac:dyDescent="0.2">
      <c r="A20" t="s">
        <v>89</v>
      </c>
      <c r="B20" s="3" t="s">
        <v>32</v>
      </c>
      <c r="C20" s="3">
        <v>10</v>
      </c>
      <c r="D20" s="3">
        <v>7193</v>
      </c>
      <c r="E20" s="3" t="s">
        <v>9</v>
      </c>
      <c r="F20" s="3" t="s">
        <v>54</v>
      </c>
      <c r="G20" t="s">
        <v>32</v>
      </c>
      <c r="H20" s="15">
        <f t="shared" si="1"/>
        <v>0</v>
      </c>
      <c r="I20" s="15">
        <f t="shared" si="2"/>
        <v>0</v>
      </c>
      <c r="J20" s="15">
        <f t="shared" si="3"/>
        <v>0</v>
      </c>
      <c r="K20" s="15">
        <f t="shared" si="4"/>
        <v>0</v>
      </c>
      <c r="L20" s="15">
        <f t="shared" si="5"/>
        <v>0</v>
      </c>
      <c r="M20" s="15">
        <f t="shared" si="6"/>
        <v>0</v>
      </c>
      <c r="N20" s="15">
        <f t="shared" si="7"/>
        <v>0</v>
      </c>
      <c r="O20" s="15">
        <f t="shared" si="8"/>
        <v>0</v>
      </c>
      <c r="P20" s="15">
        <f t="shared" si="9"/>
        <v>0</v>
      </c>
      <c r="Q20" s="15">
        <f t="shared" si="10"/>
        <v>0</v>
      </c>
      <c r="R20" s="15">
        <f t="shared" si="11"/>
        <v>0</v>
      </c>
    </row>
    <row r="21" spans="1:18" ht="12.75" x14ac:dyDescent="0.2">
      <c r="A21" t="s">
        <v>89</v>
      </c>
      <c r="B21" s="3" t="s">
        <v>33</v>
      </c>
      <c r="C21" s="3">
        <v>18</v>
      </c>
      <c r="D21" s="3">
        <v>1809</v>
      </c>
      <c r="E21" s="3" t="s">
        <v>9</v>
      </c>
      <c r="F21" s="3" t="s">
        <v>54</v>
      </c>
      <c r="G21" t="s">
        <v>33</v>
      </c>
      <c r="H21" s="15">
        <f t="shared" si="1"/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  <c r="L21" s="15">
        <f t="shared" si="5"/>
        <v>0</v>
      </c>
      <c r="M21" s="15">
        <f t="shared" si="6"/>
        <v>0</v>
      </c>
      <c r="N21" s="15">
        <f t="shared" si="7"/>
        <v>0</v>
      </c>
      <c r="O21" s="15">
        <f t="shared" si="8"/>
        <v>0</v>
      </c>
      <c r="P21" s="15">
        <f t="shared" si="9"/>
        <v>0</v>
      </c>
      <c r="Q21" s="15">
        <f t="shared" si="10"/>
        <v>0</v>
      </c>
      <c r="R21" s="15">
        <f t="shared" si="11"/>
        <v>0</v>
      </c>
    </row>
    <row r="22" spans="1:18" ht="12.75" x14ac:dyDescent="0.2">
      <c r="A22" t="s">
        <v>89</v>
      </c>
      <c r="B22" s="2" t="s">
        <v>34</v>
      </c>
      <c r="C22" s="2">
        <v>6</v>
      </c>
      <c r="D22" s="2">
        <v>965</v>
      </c>
      <c r="E22" s="2" t="s">
        <v>9</v>
      </c>
      <c r="F22" s="2" t="s">
        <v>7</v>
      </c>
      <c r="G22" t="s">
        <v>34</v>
      </c>
      <c r="H22" s="15">
        <f t="shared" si="1"/>
        <v>338994.85000000003</v>
      </c>
      <c r="I22" s="15">
        <f t="shared" si="2"/>
        <v>273239.75</v>
      </c>
      <c r="J22" s="15">
        <f t="shared" si="3"/>
        <v>359452.85000000003</v>
      </c>
      <c r="K22" s="15">
        <f t="shared" si="4"/>
        <v>210408.6</v>
      </c>
      <c r="L22" s="15">
        <f t="shared" si="5"/>
        <v>156349.30000000002</v>
      </c>
      <c r="M22" s="15">
        <f t="shared" si="6"/>
        <v>146844.04999999999</v>
      </c>
      <c r="N22" s="15">
        <f t="shared" si="7"/>
        <v>89860.800000000003</v>
      </c>
      <c r="O22" s="15">
        <f t="shared" si="8"/>
        <v>32877.550000000003</v>
      </c>
      <c r="P22" s="15">
        <f t="shared" si="9"/>
        <v>32877.550000000003</v>
      </c>
      <c r="Q22" s="15">
        <f t="shared" si="10"/>
        <v>10229</v>
      </c>
      <c r="R22" s="15">
        <f t="shared" si="11"/>
        <v>1651134.3</v>
      </c>
    </row>
    <row r="23" spans="1:18" ht="12.75" x14ac:dyDescent="0.2">
      <c r="A23" t="s">
        <v>89</v>
      </c>
      <c r="B23" s="2" t="s">
        <v>35</v>
      </c>
      <c r="C23" s="2">
        <v>20</v>
      </c>
      <c r="D23" s="2">
        <v>2383</v>
      </c>
      <c r="E23" s="2" t="s">
        <v>9</v>
      </c>
      <c r="F23" s="2" t="s">
        <v>7</v>
      </c>
      <c r="G23" t="s">
        <v>35</v>
      </c>
      <c r="H23" s="15">
        <f t="shared" si="1"/>
        <v>837124.07000000007</v>
      </c>
      <c r="I23" s="15">
        <f t="shared" si="2"/>
        <v>674746.45</v>
      </c>
      <c r="J23" s="15">
        <f t="shared" si="3"/>
        <v>887643.67</v>
      </c>
      <c r="K23" s="15">
        <f t="shared" si="4"/>
        <v>519589.32</v>
      </c>
      <c r="L23" s="15">
        <f t="shared" si="5"/>
        <v>386093.66000000003</v>
      </c>
      <c r="M23" s="15">
        <f t="shared" si="6"/>
        <v>362621.11</v>
      </c>
      <c r="N23" s="15">
        <f t="shared" si="7"/>
        <v>221904.96000000002</v>
      </c>
      <c r="O23" s="15">
        <f t="shared" si="8"/>
        <v>81188.81</v>
      </c>
      <c r="P23" s="15">
        <f t="shared" si="9"/>
        <v>81188.81</v>
      </c>
      <c r="Q23" s="15">
        <f t="shared" si="10"/>
        <v>25259.8</v>
      </c>
      <c r="R23" s="15">
        <f t="shared" si="11"/>
        <v>4077360.66</v>
      </c>
    </row>
    <row r="24" spans="1:18" ht="12.75" x14ac:dyDescent="0.2">
      <c r="A24" t="s">
        <v>89</v>
      </c>
      <c r="B24" s="2" t="s">
        <v>36</v>
      </c>
      <c r="C24" s="2">
        <v>27</v>
      </c>
      <c r="D24" s="2">
        <v>2470</v>
      </c>
      <c r="E24" s="2" t="s">
        <v>9</v>
      </c>
      <c r="F24" s="2" t="s">
        <v>7</v>
      </c>
      <c r="G24" t="s">
        <v>36</v>
      </c>
      <c r="H24" s="15">
        <f t="shared" si="1"/>
        <v>867686.3</v>
      </c>
      <c r="I24" s="15">
        <f t="shared" si="2"/>
        <v>699380.5</v>
      </c>
      <c r="J24" s="15">
        <f t="shared" si="3"/>
        <v>920050.3</v>
      </c>
      <c r="K24" s="15">
        <f t="shared" si="4"/>
        <v>538558.79999999993</v>
      </c>
      <c r="L24" s="15">
        <f t="shared" si="5"/>
        <v>400189.4</v>
      </c>
      <c r="M24" s="15">
        <f t="shared" si="6"/>
        <v>375859.89999999997</v>
      </c>
      <c r="N24" s="15">
        <f t="shared" si="7"/>
        <v>230006.40000000002</v>
      </c>
      <c r="O24" s="15">
        <f t="shared" si="8"/>
        <v>84152.9</v>
      </c>
      <c r="P24" s="15">
        <f t="shared" si="9"/>
        <v>84152.9</v>
      </c>
      <c r="Q24" s="15">
        <f t="shared" si="10"/>
        <v>26182</v>
      </c>
      <c r="R24" s="15">
        <f t="shared" si="11"/>
        <v>4226219.4000000004</v>
      </c>
    </row>
    <row r="25" spans="1:18" ht="12.75" x14ac:dyDescent="0.2">
      <c r="A25" t="s">
        <v>89</v>
      </c>
      <c r="B25" s="2" t="s">
        <v>37</v>
      </c>
      <c r="C25" s="2">
        <v>32</v>
      </c>
      <c r="D25" s="2">
        <v>5533</v>
      </c>
      <c r="E25" s="2" t="s">
        <v>16</v>
      </c>
      <c r="F25" s="2" t="s">
        <v>7</v>
      </c>
      <c r="G25" t="s">
        <v>37</v>
      </c>
      <c r="H25" s="15">
        <f t="shared" si="1"/>
        <v>1943687.57</v>
      </c>
      <c r="I25" s="15">
        <f t="shared" si="2"/>
        <v>1566668.95</v>
      </c>
      <c r="J25" s="15">
        <f t="shared" si="3"/>
        <v>2060987.1700000002</v>
      </c>
      <c r="K25" s="15">
        <f t="shared" si="4"/>
        <v>1206415.32</v>
      </c>
      <c r="L25" s="15">
        <f t="shared" si="5"/>
        <v>896456.66</v>
      </c>
      <c r="M25" s="15">
        <f t="shared" si="6"/>
        <v>841956.61</v>
      </c>
      <c r="N25" s="15">
        <f t="shared" si="7"/>
        <v>515232.96</v>
      </c>
      <c r="O25" s="15">
        <f t="shared" si="8"/>
        <v>188509.31</v>
      </c>
      <c r="P25" s="15">
        <f t="shared" si="9"/>
        <v>188509.31</v>
      </c>
      <c r="Q25" s="15">
        <f t="shared" si="10"/>
        <v>58649.799999999996</v>
      </c>
      <c r="R25" s="15">
        <f t="shared" si="11"/>
        <v>9467073.6600000001</v>
      </c>
    </row>
    <row r="26" spans="1:18" ht="12.75" x14ac:dyDescent="0.2">
      <c r="A26" t="s">
        <v>89</v>
      </c>
      <c r="B26" s="2" t="s">
        <v>38</v>
      </c>
      <c r="C26" s="2">
        <v>35</v>
      </c>
      <c r="D26" s="2">
        <v>4214</v>
      </c>
      <c r="E26" s="2" t="s">
        <v>9</v>
      </c>
      <c r="F26" s="2" t="s">
        <v>7</v>
      </c>
      <c r="G26" t="s">
        <v>38</v>
      </c>
      <c r="H26" s="15">
        <f t="shared" si="1"/>
        <v>1480336.06</v>
      </c>
      <c r="I26" s="15">
        <f t="shared" si="2"/>
        <v>1193194.0999999999</v>
      </c>
      <c r="J26" s="15">
        <f t="shared" si="3"/>
        <v>1569672.86</v>
      </c>
      <c r="K26" s="15">
        <f t="shared" si="4"/>
        <v>918820.55999999994</v>
      </c>
      <c r="L26" s="15">
        <f t="shared" si="5"/>
        <v>682752.28</v>
      </c>
      <c r="M26" s="15">
        <f t="shared" si="6"/>
        <v>641244.38</v>
      </c>
      <c r="N26" s="15">
        <f t="shared" si="7"/>
        <v>392407.68</v>
      </c>
      <c r="O26" s="15">
        <f t="shared" si="8"/>
        <v>143570.98000000001</v>
      </c>
      <c r="P26" s="15">
        <f t="shared" si="9"/>
        <v>143570.98000000001</v>
      </c>
      <c r="Q26" s="15">
        <f t="shared" si="10"/>
        <v>44668.4</v>
      </c>
      <c r="R26" s="15">
        <f t="shared" si="11"/>
        <v>7210238.2800000003</v>
      </c>
    </row>
    <row r="27" spans="1:18" ht="12.75" x14ac:dyDescent="0.2">
      <c r="A27" t="s">
        <v>89</v>
      </c>
      <c r="B27" s="2" t="s">
        <v>39</v>
      </c>
      <c r="C27" s="2">
        <v>36</v>
      </c>
      <c r="D27" s="2">
        <v>774</v>
      </c>
      <c r="E27" s="2" t="s">
        <v>13</v>
      </c>
      <c r="F27" s="2" t="s">
        <v>7</v>
      </c>
      <c r="G27" t="s">
        <v>39</v>
      </c>
      <c r="H27" s="15">
        <f t="shared" si="1"/>
        <v>271898.46000000002</v>
      </c>
      <c r="I27" s="15">
        <f t="shared" si="2"/>
        <v>219158.09999999998</v>
      </c>
      <c r="J27" s="15">
        <f t="shared" si="3"/>
        <v>288307.26</v>
      </c>
      <c r="K27" s="15">
        <f t="shared" si="4"/>
        <v>168762.96</v>
      </c>
      <c r="L27" s="15">
        <f t="shared" si="5"/>
        <v>125403.48000000001</v>
      </c>
      <c r="M27" s="15">
        <f t="shared" si="6"/>
        <v>117779.57999999999</v>
      </c>
      <c r="N27" s="15">
        <f t="shared" si="7"/>
        <v>72074.880000000005</v>
      </c>
      <c r="O27" s="15">
        <f t="shared" si="8"/>
        <v>26370.18</v>
      </c>
      <c r="P27" s="15">
        <f t="shared" si="9"/>
        <v>26370.18</v>
      </c>
      <c r="Q27" s="15">
        <f t="shared" si="10"/>
        <v>8204.4</v>
      </c>
      <c r="R27" s="15">
        <f t="shared" si="11"/>
        <v>1324329.48</v>
      </c>
    </row>
    <row r="28" spans="1:18" ht="12.75" x14ac:dyDescent="0.2">
      <c r="A28" t="s">
        <v>89</v>
      </c>
      <c r="B28" s="2" t="s">
        <v>40</v>
      </c>
      <c r="C28" s="2">
        <v>44</v>
      </c>
      <c r="D28" s="2">
        <v>5217</v>
      </c>
      <c r="E28" s="2" t="s">
        <v>16</v>
      </c>
      <c r="F28" s="2" t="s">
        <v>7</v>
      </c>
      <c r="G28" t="s">
        <v>40</v>
      </c>
      <c r="H28" s="15">
        <f t="shared" si="1"/>
        <v>1832679.9300000002</v>
      </c>
      <c r="I28" s="15">
        <f t="shared" si="2"/>
        <v>1477193.5499999998</v>
      </c>
      <c r="J28" s="15">
        <f t="shared" si="3"/>
        <v>1943280.33</v>
      </c>
      <c r="K28" s="15">
        <f t="shared" si="4"/>
        <v>1137514.68</v>
      </c>
      <c r="L28" s="15">
        <f t="shared" si="5"/>
        <v>845258.34000000008</v>
      </c>
      <c r="M28" s="15">
        <f t="shared" si="6"/>
        <v>793870.8899999999</v>
      </c>
      <c r="N28" s="15">
        <f t="shared" si="7"/>
        <v>485807.04000000004</v>
      </c>
      <c r="O28" s="15">
        <f t="shared" si="8"/>
        <v>177743.19</v>
      </c>
      <c r="P28" s="15">
        <f t="shared" si="9"/>
        <v>177743.19</v>
      </c>
      <c r="Q28" s="15">
        <f t="shared" si="10"/>
        <v>55300.2</v>
      </c>
      <c r="R28" s="15">
        <f t="shared" si="11"/>
        <v>8926391.3399999999</v>
      </c>
    </row>
    <row r="29" spans="1:18" ht="12.75" x14ac:dyDescent="0.2">
      <c r="A29" t="s">
        <v>91</v>
      </c>
      <c r="B29" s="2" t="s">
        <v>97</v>
      </c>
      <c r="C29" s="2"/>
      <c r="D29" s="2">
        <v>1380</v>
      </c>
      <c r="E29" s="2" t="s">
        <v>98</v>
      </c>
      <c r="F29" s="2" t="s">
        <v>7</v>
      </c>
      <c r="G29" t="s">
        <v>97</v>
      </c>
      <c r="H29" s="15">
        <v>484780.2</v>
      </c>
      <c r="I29" s="15">
        <v>390746.99999999994</v>
      </c>
      <c r="J29" s="15">
        <v>514036.2</v>
      </c>
      <c r="K29" s="15">
        <v>300895.2</v>
      </c>
      <c r="L29" s="15">
        <v>223587.6</v>
      </c>
      <c r="M29" s="15">
        <v>209994.59999999998</v>
      </c>
      <c r="N29" s="15">
        <v>128505.60000000001</v>
      </c>
      <c r="O29" s="15">
        <v>47016.6</v>
      </c>
      <c r="P29" s="15">
        <v>47016.6</v>
      </c>
      <c r="Q29" s="15">
        <v>14628</v>
      </c>
      <c r="R29" s="15">
        <v>2361207.6</v>
      </c>
    </row>
    <row r="30" spans="1:18" ht="12.75" x14ac:dyDescent="0.2">
      <c r="A30" t="s">
        <v>91</v>
      </c>
      <c r="B30" s="2" t="s">
        <v>41</v>
      </c>
      <c r="C30" s="2">
        <v>39</v>
      </c>
      <c r="D30" s="2">
        <v>3220</v>
      </c>
      <c r="E30" s="2" t="s">
        <v>9</v>
      </c>
      <c r="F30" s="2" t="s">
        <v>7</v>
      </c>
      <c r="G30" t="s">
        <v>41</v>
      </c>
      <c r="H30" s="15">
        <f t="shared" ref="H30:H39" si="12">IF($F30="MW", $D30*$F$52, 0)</f>
        <v>1131153.8</v>
      </c>
      <c r="I30" s="15">
        <f t="shared" ref="I30:I39" si="13">IF($F30="MW", $D30*$F$53, 0)</f>
        <v>911742.99999999988</v>
      </c>
      <c r="J30" s="15">
        <f t="shared" ref="J30:J39" si="14">IF($F30="MW", $D30*$F$54, 0)</f>
        <v>1199417.8</v>
      </c>
      <c r="K30" s="15">
        <f t="shared" ref="K30:K39" si="15">IF($F30="MW", $D30*$F$55, 0)</f>
        <v>702088.79999999993</v>
      </c>
      <c r="L30" s="15">
        <f t="shared" ref="L30:L39" si="16">IF($F30="MW", $D30*$F$56, 0)</f>
        <v>521704.4</v>
      </c>
      <c r="M30" s="15">
        <f t="shared" ref="M30:M39" si="17">IF($F30="MW", $D30*$F$57, 0)</f>
        <v>489987.39999999997</v>
      </c>
      <c r="N30" s="15">
        <f t="shared" ref="N30:N39" si="18">IF($F30="MW", $D30*$F$58, 0)</f>
        <v>299846.40000000002</v>
      </c>
      <c r="O30" s="15">
        <f t="shared" ref="O30:O39" si="19">IF($F30="MW", $D30*$F$59, 0)</f>
        <v>109705.4</v>
      </c>
      <c r="P30" s="15">
        <f t="shared" ref="P30:P39" si="20">IF($F30="MW", $D30*$F$60, 0)</f>
        <v>109705.4</v>
      </c>
      <c r="Q30" s="15">
        <f t="shared" ref="Q30:Q39" si="21">IF($F30="MW", $D30*$F$61, 0)</f>
        <v>34132</v>
      </c>
      <c r="R30" s="15">
        <f t="shared" ref="R30:R39" si="22">IF($F30="MW", $D30*$F$62, 0)</f>
        <v>5509484.4000000004</v>
      </c>
    </row>
    <row r="31" spans="1:18" ht="12.75" x14ac:dyDescent="0.2">
      <c r="A31" t="s">
        <v>91</v>
      </c>
      <c r="B31" s="2" t="s">
        <v>42</v>
      </c>
      <c r="C31" s="2">
        <v>43</v>
      </c>
      <c r="D31" s="2">
        <v>3459</v>
      </c>
      <c r="E31" s="2" t="s">
        <v>13</v>
      </c>
      <c r="F31" s="2" t="s">
        <v>7</v>
      </c>
      <c r="G31" t="s">
        <v>42</v>
      </c>
      <c r="H31" s="15">
        <f t="shared" si="12"/>
        <v>1215112.1100000001</v>
      </c>
      <c r="I31" s="15">
        <f t="shared" si="13"/>
        <v>979415.85</v>
      </c>
      <c r="J31" s="15">
        <f t="shared" si="14"/>
        <v>1288442.9099999999</v>
      </c>
      <c r="K31" s="15">
        <f t="shared" si="15"/>
        <v>754200.36</v>
      </c>
      <c r="L31" s="15">
        <f t="shared" si="16"/>
        <v>560427.18000000005</v>
      </c>
      <c r="M31" s="15">
        <f t="shared" si="17"/>
        <v>526356.02999999991</v>
      </c>
      <c r="N31" s="15">
        <f t="shared" si="18"/>
        <v>322102.08</v>
      </c>
      <c r="O31" s="15">
        <f t="shared" si="19"/>
        <v>117848.13</v>
      </c>
      <c r="P31" s="15">
        <f t="shared" si="20"/>
        <v>117848.13</v>
      </c>
      <c r="Q31" s="15">
        <f t="shared" si="21"/>
        <v>36665.4</v>
      </c>
      <c r="R31" s="15">
        <f t="shared" si="22"/>
        <v>5918418.1799999997</v>
      </c>
    </row>
    <row r="32" spans="1:18" ht="12.75" x14ac:dyDescent="0.2">
      <c r="A32" t="s">
        <v>91</v>
      </c>
      <c r="B32" s="2" t="s">
        <v>43</v>
      </c>
      <c r="C32" s="2">
        <v>53</v>
      </c>
      <c r="D32" s="2">
        <v>5436</v>
      </c>
      <c r="E32" s="2" t="s">
        <v>16</v>
      </c>
      <c r="F32" s="2" t="s">
        <v>7</v>
      </c>
      <c r="G32" t="s">
        <v>43</v>
      </c>
      <c r="H32" s="15">
        <f t="shared" si="12"/>
        <v>1909612.4400000002</v>
      </c>
      <c r="I32" s="15">
        <f t="shared" si="13"/>
        <v>1539203.4</v>
      </c>
      <c r="J32" s="15">
        <f t="shared" si="14"/>
        <v>2024855.6400000001</v>
      </c>
      <c r="K32" s="15">
        <f t="shared" si="15"/>
        <v>1185265.44</v>
      </c>
      <c r="L32" s="15">
        <f t="shared" si="16"/>
        <v>880740.72000000009</v>
      </c>
      <c r="M32" s="15">
        <f t="shared" si="17"/>
        <v>827196.11999999988</v>
      </c>
      <c r="N32" s="15">
        <f t="shared" si="18"/>
        <v>506200.32000000001</v>
      </c>
      <c r="O32" s="15">
        <f t="shared" si="19"/>
        <v>185204.52</v>
      </c>
      <c r="P32" s="15">
        <f t="shared" si="20"/>
        <v>185204.52</v>
      </c>
      <c r="Q32" s="15">
        <f t="shared" si="21"/>
        <v>57621.599999999999</v>
      </c>
      <c r="R32" s="15">
        <f t="shared" si="22"/>
        <v>9301104.7200000007</v>
      </c>
    </row>
    <row r="33" spans="1:18" ht="12.75" x14ac:dyDescent="0.2">
      <c r="A33" t="s">
        <v>91</v>
      </c>
      <c r="B33" s="2" t="s">
        <v>44</v>
      </c>
      <c r="C33" s="2">
        <v>52</v>
      </c>
      <c r="D33" s="2">
        <v>2135</v>
      </c>
      <c r="E33" s="2" t="s">
        <v>16</v>
      </c>
      <c r="F33" s="2" t="s">
        <v>7</v>
      </c>
      <c r="G33" t="s">
        <v>44</v>
      </c>
      <c r="H33" s="15">
        <f t="shared" si="12"/>
        <v>750004.15</v>
      </c>
      <c r="I33" s="15">
        <f t="shared" si="13"/>
        <v>604525.25</v>
      </c>
      <c r="J33" s="15">
        <f t="shared" si="14"/>
        <v>795266.15</v>
      </c>
      <c r="K33" s="15">
        <f t="shared" si="15"/>
        <v>465515.39999999997</v>
      </c>
      <c r="L33" s="15">
        <f t="shared" si="16"/>
        <v>345912.7</v>
      </c>
      <c r="M33" s="15">
        <f t="shared" si="17"/>
        <v>324882.94999999995</v>
      </c>
      <c r="N33" s="15">
        <f t="shared" si="18"/>
        <v>198811.2</v>
      </c>
      <c r="O33" s="15">
        <f t="shared" si="19"/>
        <v>72739.45</v>
      </c>
      <c r="P33" s="15">
        <f t="shared" si="20"/>
        <v>72739.45</v>
      </c>
      <c r="Q33" s="15">
        <f t="shared" si="21"/>
        <v>22631</v>
      </c>
      <c r="R33" s="15">
        <f t="shared" si="22"/>
        <v>3653027.7</v>
      </c>
    </row>
    <row r="34" spans="1:18" ht="12.75" x14ac:dyDescent="0.2">
      <c r="A34" t="s">
        <v>91</v>
      </c>
      <c r="B34" s="2" t="s">
        <v>45</v>
      </c>
      <c r="C34" s="2">
        <v>54</v>
      </c>
      <c r="D34" s="2">
        <v>10178</v>
      </c>
      <c r="E34" s="2" t="s">
        <v>16</v>
      </c>
      <c r="F34" s="2" t="s">
        <v>7</v>
      </c>
      <c r="G34" t="s">
        <v>45</v>
      </c>
      <c r="H34" s="15">
        <f t="shared" si="12"/>
        <v>3575429.62</v>
      </c>
      <c r="I34" s="15">
        <f t="shared" si="13"/>
        <v>2881900.6999999997</v>
      </c>
      <c r="J34" s="15">
        <f t="shared" si="14"/>
        <v>3791203.22</v>
      </c>
      <c r="K34" s="15">
        <f t="shared" si="15"/>
        <v>2219211.12</v>
      </c>
      <c r="L34" s="15">
        <f t="shared" si="16"/>
        <v>1649039.56</v>
      </c>
      <c r="M34" s="15">
        <f t="shared" si="17"/>
        <v>1548786.2599999998</v>
      </c>
      <c r="N34" s="15">
        <f t="shared" si="18"/>
        <v>947775.3600000001</v>
      </c>
      <c r="O34" s="15">
        <f t="shared" si="19"/>
        <v>346764.46</v>
      </c>
      <c r="P34" s="15">
        <f t="shared" si="20"/>
        <v>346764.46</v>
      </c>
      <c r="Q34" s="15">
        <f t="shared" si="21"/>
        <v>107886.8</v>
      </c>
      <c r="R34" s="15">
        <f t="shared" si="22"/>
        <v>17414761.559999999</v>
      </c>
    </row>
    <row r="35" spans="1:18" ht="12.75" x14ac:dyDescent="0.2">
      <c r="A35" t="s">
        <v>91</v>
      </c>
      <c r="B35" s="2" t="s">
        <v>46</v>
      </c>
      <c r="C35" s="2">
        <v>55</v>
      </c>
      <c r="D35" s="2">
        <v>3559</v>
      </c>
      <c r="E35" s="2" t="s">
        <v>16</v>
      </c>
      <c r="F35" s="2" t="s">
        <v>7</v>
      </c>
      <c r="G35" t="s">
        <v>46</v>
      </c>
      <c r="H35" s="15">
        <f t="shared" si="12"/>
        <v>1250241.1100000001</v>
      </c>
      <c r="I35" s="15">
        <f t="shared" si="13"/>
        <v>1007730.85</v>
      </c>
      <c r="J35" s="15">
        <f t="shared" si="14"/>
        <v>1325691.9099999999</v>
      </c>
      <c r="K35" s="15">
        <f t="shared" si="15"/>
        <v>776004.36</v>
      </c>
      <c r="L35" s="15">
        <f t="shared" si="16"/>
        <v>576629.18000000005</v>
      </c>
      <c r="M35" s="15">
        <f t="shared" si="17"/>
        <v>541573.02999999991</v>
      </c>
      <c r="N35" s="15">
        <f t="shared" si="18"/>
        <v>331414.08</v>
      </c>
      <c r="O35" s="15">
        <f t="shared" si="19"/>
        <v>121255.13</v>
      </c>
      <c r="P35" s="15">
        <f t="shared" si="20"/>
        <v>121255.13</v>
      </c>
      <c r="Q35" s="15">
        <f t="shared" si="21"/>
        <v>37725.4</v>
      </c>
      <c r="R35" s="15">
        <f t="shared" si="22"/>
        <v>6089520.1799999997</v>
      </c>
    </row>
    <row r="36" spans="1:18" ht="12.75" x14ac:dyDescent="0.2">
      <c r="A36" t="s">
        <v>87</v>
      </c>
      <c r="B36" s="3" t="s">
        <v>47</v>
      </c>
      <c r="C36" s="3">
        <v>63</v>
      </c>
      <c r="D36" s="3">
        <v>208</v>
      </c>
      <c r="E36" s="3" t="s">
        <v>9</v>
      </c>
      <c r="F36" s="3" t="s">
        <v>54</v>
      </c>
      <c r="G36" t="s">
        <v>47</v>
      </c>
      <c r="H36" s="15">
        <f t="shared" si="12"/>
        <v>0</v>
      </c>
      <c r="I36" s="15">
        <f t="shared" si="13"/>
        <v>0</v>
      </c>
      <c r="J36" s="15">
        <f t="shared" si="14"/>
        <v>0</v>
      </c>
      <c r="K36" s="15">
        <f t="shared" si="15"/>
        <v>0</v>
      </c>
      <c r="L36" s="15">
        <f t="shared" si="16"/>
        <v>0</v>
      </c>
      <c r="M36" s="15">
        <f t="shared" si="17"/>
        <v>0</v>
      </c>
      <c r="N36" s="15">
        <f t="shared" si="18"/>
        <v>0</v>
      </c>
      <c r="O36" s="15">
        <f t="shared" si="19"/>
        <v>0</v>
      </c>
      <c r="P36" s="15">
        <f t="shared" si="20"/>
        <v>0</v>
      </c>
      <c r="Q36" s="15">
        <f t="shared" si="21"/>
        <v>0</v>
      </c>
      <c r="R36" s="15">
        <f t="shared" si="22"/>
        <v>0</v>
      </c>
    </row>
    <row r="37" spans="1:18" ht="12.75" x14ac:dyDescent="0.2">
      <c r="A37" t="s">
        <v>87</v>
      </c>
      <c r="B37" s="3" t="s">
        <v>48</v>
      </c>
      <c r="C37" s="3">
        <v>87</v>
      </c>
      <c r="D37" s="3">
        <v>2514</v>
      </c>
      <c r="E37" s="3" t="s">
        <v>9</v>
      </c>
      <c r="F37" s="3" t="s">
        <v>54</v>
      </c>
      <c r="G37" t="s">
        <v>48</v>
      </c>
      <c r="H37" s="15">
        <f t="shared" si="12"/>
        <v>0</v>
      </c>
      <c r="I37" s="15">
        <f t="shared" si="13"/>
        <v>0</v>
      </c>
      <c r="J37" s="15">
        <f t="shared" si="14"/>
        <v>0</v>
      </c>
      <c r="K37" s="15">
        <f t="shared" si="15"/>
        <v>0</v>
      </c>
      <c r="L37" s="15">
        <f t="shared" si="16"/>
        <v>0</v>
      </c>
      <c r="M37" s="15">
        <f t="shared" si="17"/>
        <v>0</v>
      </c>
      <c r="N37" s="15">
        <f t="shared" si="18"/>
        <v>0</v>
      </c>
      <c r="O37" s="15">
        <f t="shared" si="19"/>
        <v>0</v>
      </c>
      <c r="P37" s="15">
        <f t="shared" si="20"/>
        <v>0</v>
      </c>
      <c r="Q37" s="15">
        <f t="shared" si="21"/>
        <v>0</v>
      </c>
      <c r="R37" s="15">
        <f t="shared" si="22"/>
        <v>0</v>
      </c>
    </row>
    <row r="38" spans="1:18" ht="12.75" x14ac:dyDescent="0.2">
      <c r="A38" t="s">
        <v>87</v>
      </c>
      <c r="B38" s="3" t="s">
        <v>49</v>
      </c>
      <c r="C38" s="3">
        <v>89</v>
      </c>
      <c r="D38" s="3">
        <v>9211</v>
      </c>
      <c r="E38" s="3" t="s">
        <v>9</v>
      </c>
      <c r="F38" s="3" t="s">
        <v>54</v>
      </c>
      <c r="G38" t="s">
        <v>49</v>
      </c>
      <c r="H38" s="15">
        <f t="shared" si="12"/>
        <v>0</v>
      </c>
      <c r="I38" s="15">
        <f t="shared" si="13"/>
        <v>0</v>
      </c>
      <c r="J38" s="15">
        <f t="shared" si="14"/>
        <v>0</v>
      </c>
      <c r="K38" s="15">
        <f t="shared" si="15"/>
        <v>0</v>
      </c>
      <c r="L38" s="15">
        <f t="shared" si="16"/>
        <v>0</v>
      </c>
      <c r="M38" s="15">
        <f t="shared" si="17"/>
        <v>0</v>
      </c>
      <c r="N38" s="15">
        <f t="shared" si="18"/>
        <v>0</v>
      </c>
      <c r="O38" s="15">
        <f t="shared" si="19"/>
        <v>0</v>
      </c>
      <c r="P38" s="15">
        <f t="shared" si="20"/>
        <v>0</v>
      </c>
      <c r="Q38" s="15">
        <f t="shared" si="21"/>
        <v>0</v>
      </c>
      <c r="R38" s="15">
        <f t="shared" si="22"/>
        <v>0</v>
      </c>
    </row>
    <row r="39" spans="1:18" ht="12.75" x14ac:dyDescent="0.2">
      <c r="A39" t="s">
        <v>87</v>
      </c>
      <c r="B39" s="3" t="s">
        <v>50</v>
      </c>
      <c r="C39" s="3">
        <v>60</v>
      </c>
      <c r="D39" s="3">
        <v>2936</v>
      </c>
      <c r="E39" s="3" t="s">
        <v>9</v>
      </c>
      <c r="F39" s="3" t="s">
        <v>54</v>
      </c>
      <c r="G39" t="s">
        <v>50</v>
      </c>
      <c r="H39" s="15">
        <f t="shared" si="12"/>
        <v>0</v>
      </c>
      <c r="I39" s="15">
        <f t="shared" si="13"/>
        <v>0</v>
      </c>
      <c r="J39" s="15">
        <f t="shared" si="14"/>
        <v>0</v>
      </c>
      <c r="K39" s="15">
        <f t="shared" si="15"/>
        <v>0</v>
      </c>
      <c r="L39" s="15">
        <f t="shared" si="16"/>
        <v>0</v>
      </c>
      <c r="M39" s="15">
        <f t="shared" si="17"/>
        <v>0</v>
      </c>
      <c r="N39" s="15">
        <f t="shared" si="18"/>
        <v>0</v>
      </c>
      <c r="O39" s="15">
        <f t="shared" si="19"/>
        <v>0</v>
      </c>
      <c r="P39" s="15">
        <f t="shared" si="20"/>
        <v>0</v>
      </c>
      <c r="Q39" s="15">
        <f t="shared" si="21"/>
        <v>0</v>
      </c>
      <c r="R39" s="15">
        <f t="shared" si="22"/>
        <v>0</v>
      </c>
    </row>
    <row r="40" spans="1:18" ht="12.75" x14ac:dyDescent="0.2">
      <c r="A40" s="19" t="s">
        <v>109</v>
      </c>
      <c r="B40" s="3" t="s">
        <v>114</v>
      </c>
      <c r="D40" s="24">
        <v>11586</v>
      </c>
      <c r="E40" s="3"/>
      <c r="F40" s="3" t="s">
        <v>110</v>
      </c>
      <c r="H40" s="15">
        <f>IF($F40="Meadows", $D40*$F$52, 0)</f>
        <v>4070045.9400000004</v>
      </c>
      <c r="I40" s="15">
        <f t="shared" ref="I40:R40" si="23">IF($F40="Meadows", $D40*$F$52, 0)</f>
        <v>4070045.9400000004</v>
      </c>
      <c r="J40" s="15">
        <f t="shared" si="23"/>
        <v>4070045.9400000004</v>
      </c>
      <c r="K40" s="15">
        <f t="shared" si="23"/>
        <v>4070045.9400000004</v>
      </c>
      <c r="L40" s="15">
        <f t="shared" si="23"/>
        <v>4070045.9400000004</v>
      </c>
      <c r="M40" s="15">
        <f t="shared" si="23"/>
        <v>4070045.9400000004</v>
      </c>
      <c r="N40" s="15">
        <f t="shared" si="23"/>
        <v>4070045.9400000004</v>
      </c>
      <c r="O40" s="15">
        <f t="shared" si="23"/>
        <v>4070045.9400000004</v>
      </c>
      <c r="P40" s="15">
        <f t="shared" si="23"/>
        <v>4070045.9400000004</v>
      </c>
      <c r="Q40" s="15">
        <f t="shared" si="23"/>
        <v>4070045.9400000004</v>
      </c>
      <c r="R40" s="15">
        <f t="shared" si="23"/>
        <v>4070045.9400000004</v>
      </c>
    </row>
    <row r="41" spans="1:18" ht="12.75" x14ac:dyDescent="0.2">
      <c r="A41" s="19" t="s">
        <v>109</v>
      </c>
      <c r="B41" s="3" t="s">
        <v>114</v>
      </c>
      <c r="D41" s="24">
        <v>6360</v>
      </c>
      <c r="E41" s="3"/>
      <c r="F41" s="3" t="s">
        <v>111</v>
      </c>
      <c r="H41" s="15">
        <f>IF($F41="Floodplain", $D41*$F$52, 0)</f>
        <v>2234204.4</v>
      </c>
      <c r="I41" s="15">
        <f t="shared" ref="I41:R41" si="24">IF($F41="Floodplain", $D41*$F$52, 0)</f>
        <v>2234204.4</v>
      </c>
      <c r="J41" s="15">
        <f t="shared" si="24"/>
        <v>2234204.4</v>
      </c>
      <c r="K41" s="15">
        <f t="shared" si="24"/>
        <v>2234204.4</v>
      </c>
      <c r="L41" s="15">
        <f t="shared" si="24"/>
        <v>2234204.4</v>
      </c>
      <c r="M41" s="15">
        <f t="shared" si="24"/>
        <v>2234204.4</v>
      </c>
      <c r="N41" s="15">
        <f t="shared" si="24"/>
        <v>2234204.4</v>
      </c>
      <c r="O41" s="15">
        <f t="shared" si="24"/>
        <v>2234204.4</v>
      </c>
      <c r="P41" s="15">
        <f t="shared" si="24"/>
        <v>2234204.4</v>
      </c>
      <c r="Q41" s="15">
        <f t="shared" si="24"/>
        <v>2234204.4</v>
      </c>
      <c r="R41" s="15">
        <f t="shared" si="24"/>
        <v>2234204.4</v>
      </c>
    </row>
    <row r="42" spans="1:18" ht="12.75" x14ac:dyDescent="0.2">
      <c r="A42" s="19" t="s">
        <v>109</v>
      </c>
      <c r="B42" s="3" t="s">
        <v>114</v>
      </c>
      <c r="D42" s="24">
        <v>48213</v>
      </c>
      <c r="E42" s="3"/>
      <c r="F42" s="3" t="s">
        <v>112</v>
      </c>
      <c r="H42" s="15">
        <f>IF($F42="Wetland", $D42*$F$52, 0)</f>
        <v>16936744.77</v>
      </c>
      <c r="I42" s="15">
        <f t="shared" ref="I42:R42" si="25">IF($F42="Wetland", $D42*$F$52, 0)</f>
        <v>16936744.77</v>
      </c>
      <c r="J42" s="15">
        <f t="shared" si="25"/>
        <v>16936744.77</v>
      </c>
      <c r="K42" s="15">
        <f t="shared" si="25"/>
        <v>16936744.77</v>
      </c>
      <c r="L42" s="15">
        <f t="shared" si="25"/>
        <v>16936744.77</v>
      </c>
      <c r="M42" s="15">
        <f t="shared" si="25"/>
        <v>16936744.77</v>
      </c>
      <c r="N42" s="15">
        <f t="shared" si="25"/>
        <v>16936744.77</v>
      </c>
      <c r="O42" s="15">
        <f t="shared" si="25"/>
        <v>16936744.77</v>
      </c>
      <c r="P42" s="15">
        <f t="shared" si="25"/>
        <v>16936744.77</v>
      </c>
      <c r="Q42" s="15">
        <f t="shared" si="25"/>
        <v>16936744.77</v>
      </c>
      <c r="R42" s="15">
        <f t="shared" si="25"/>
        <v>16936744.77</v>
      </c>
    </row>
    <row r="43" spans="1:18" ht="12.75" x14ac:dyDescent="0.2">
      <c r="B43" s="4" t="s">
        <v>55</v>
      </c>
      <c r="D43" s="4">
        <f>SUM(D15,D22:D35)</f>
        <v>57666</v>
      </c>
      <c r="G43" s="16" t="s">
        <v>85</v>
      </c>
      <c r="H43" s="15">
        <f>SUM(H4:H39)</f>
        <v>20257489.140000001</v>
      </c>
      <c r="I43" s="15">
        <f t="shared" ref="I43:R43" si="26">SUM(I4:I39)</f>
        <v>16328127.899999999</v>
      </c>
      <c r="J43" s="15">
        <f t="shared" si="26"/>
        <v>21480008.34</v>
      </c>
      <c r="K43" s="15">
        <f t="shared" si="26"/>
        <v>12573494.640000001</v>
      </c>
      <c r="L43" s="15">
        <f t="shared" si="26"/>
        <v>9343045.3200000003</v>
      </c>
      <c r="M43" s="15">
        <f t="shared" si="26"/>
        <v>8775035.2199999988</v>
      </c>
      <c r="N43" s="15">
        <f t="shared" si="26"/>
        <v>5369857.9200000009</v>
      </c>
      <c r="O43" s="15">
        <f t="shared" si="26"/>
        <v>1964680.62</v>
      </c>
      <c r="P43" s="15">
        <f t="shared" si="26"/>
        <v>1964680.62</v>
      </c>
      <c r="Q43" s="15">
        <f t="shared" si="26"/>
        <v>611259.6</v>
      </c>
      <c r="R43" s="15">
        <f t="shared" si="26"/>
        <v>98667679.319999993</v>
      </c>
    </row>
    <row r="45" spans="1:18" ht="12.75" x14ac:dyDescent="0.2">
      <c r="E45" s="4" t="s">
        <v>59</v>
      </c>
      <c r="F45" s="4">
        <v>187558</v>
      </c>
    </row>
    <row r="46" spans="1:18" ht="12.75" x14ac:dyDescent="0.2">
      <c r="E46" s="4" t="s">
        <v>60</v>
      </c>
      <c r="F46" s="4">
        <v>0.753</v>
      </c>
    </row>
    <row r="48" spans="1:18" ht="15.75" customHeight="1" x14ac:dyDescent="0.2">
      <c r="C48" s="1" t="s">
        <v>11</v>
      </c>
    </row>
    <row r="49" spans="3:6" ht="15.75" customHeight="1" x14ac:dyDescent="0.2">
      <c r="C49" s="2" t="s">
        <v>14</v>
      </c>
    </row>
    <row r="50" spans="3:6" ht="15.75" customHeight="1" x14ac:dyDescent="0.2">
      <c r="C50" s="3" t="s">
        <v>17</v>
      </c>
    </row>
    <row r="51" spans="3:6" ht="15.75" customHeight="1" x14ac:dyDescent="0.2">
      <c r="D51" s="9" t="s">
        <v>70</v>
      </c>
      <c r="E51" s="9" t="s">
        <v>71</v>
      </c>
      <c r="F51" s="9" t="s">
        <v>83</v>
      </c>
    </row>
    <row r="52" spans="3:6" ht="15.75" customHeight="1" x14ac:dyDescent="0.2">
      <c r="D52" s="10" t="s">
        <v>72</v>
      </c>
      <c r="E52" s="10">
        <v>187.77</v>
      </c>
      <c r="F52" s="10">
        <v>351.29</v>
      </c>
    </row>
    <row r="53" spans="3:6" ht="15.75" customHeight="1" x14ac:dyDescent="0.2">
      <c r="D53" s="10" t="s">
        <v>73</v>
      </c>
      <c r="E53" s="10">
        <v>151.35</v>
      </c>
      <c r="F53" s="10">
        <v>283.14999999999998</v>
      </c>
    </row>
    <row r="54" spans="3:6" ht="15.75" customHeight="1" x14ac:dyDescent="0.2">
      <c r="D54" s="10" t="s">
        <v>74</v>
      </c>
      <c r="E54" s="10">
        <v>199.11</v>
      </c>
      <c r="F54" s="10">
        <v>372.49</v>
      </c>
    </row>
    <row r="55" spans="3:6" ht="15.75" customHeight="1" x14ac:dyDescent="0.2">
      <c r="D55" s="10" t="s">
        <v>75</v>
      </c>
      <c r="E55" s="10">
        <v>116.55</v>
      </c>
      <c r="F55" s="10">
        <v>218.04</v>
      </c>
    </row>
    <row r="56" spans="3:6" ht="15.75" customHeight="1" x14ac:dyDescent="0.2">
      <c r="D56" s="10" t="s">
        <v>76</v>
      </c>
      <c r="E56" s="10">
        <v>86.6</v>
      </c>
      <c r="F56" s="10">
        <v>162.02000000000001</v>
      </c>
    </row>
    <row r="57" spans="3:6" ht="15.75" customHeight="1" x14ac:dyDescent="0.2">
      <c r="D57" s="10" t="s">
        <v>77</v>
      </c>
      <c r="E57" s="10">
        <v>81.34</v>
      </c>
      <c r="F57" s="10">
        <v>152.16999999999999</v>
      </c>
    </row>
    <row r="58" spans="3:6" ht="15.75" customHeight="1" x14ac:dyDescent="0.2">
      <c r="D58" s="10" t="s">
        <v>78</v>
      </c>
      <c r="E58" s="10">
        <v>49.78</v>
      </c>
      <c r="F58" s="10">
        <v>93.12</v>
      </c>
    </row>
    <row r="59" spans="3:6" ht="15.75" customHeight="1" x14ac:dyDescent="0.2">
      <c r="D59" s="10" t="s">
        <v>79</v>
      </c>
      <c r="E59" s="10">
        <v>18.21</v>
      </c>
      <c r="F59" s="10">
        <v>34.07</v>
      </c>
    </row>
    <row r="60" spans="3:6" ht="15.75" customHeight="1" x14ac:dyDescent="0.2">
      <c r="D60" s="10" t="s">
        <v>80</v>
      </c>
      <c r="E60" s="10">
        <v>18.21</v>
      </c>
      <c r="F60" s="10">
        <v>34.07</v>
      </c>
    </row>
    <row r="61" spans="3:6" ht="15.75" customHeight="1" x14ac:dyDescent="0.2">
      <c r="D61" s="10" t="s">
        <v>81</v>
      </c>
      <c r="E61" s="10">
        <v>5.67</v>
      </c>
      <c r="F61" s="10">
        <v>10.6</v>
      </c>
    </row>
    <row r="62" spans="3:6" ht="15.75" customHeight="1" x14ac:dyDescent="0.2">
      <c r="D62" s="11" t="s">
        <v>82</v>
      </c>
      <c r="E62" s="11">
        <v>914.59</v>
      </c>
      <c r="F62" s="12">
        <v>1711.02</v>
      </c>
    </row>
  </sheetData>
  <mergeCells count="1">
    <mergeCell ref="H1:R1"/>
  </mergeCells>
  <conditionalFormatting sqref="H3:R43">
    <cfRule type="top10" dxfId="0" priority="1" percent="1" rank="1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45"/>
  <sheetViews>
    <sheetView workbookViewId="0">
      <selection activeCell="L12" sqref="L12:Q17"/>
    </sheetView>
  </sheetViews>
  <sheetFormatPr defaultColWidth="12.5703125" defaultRowHeight="15.75" customHeight="1" x14ac:dyDescent="0.2"/>
  <cols>
    <col min="13" max="13" width="27.42578125" customWidth="1"/>
    <col min="14" max="14" width="16.28515625" customWidth="1"/>
    <col min="15" max="15" width="11.42578125" bestFit="1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/>
      <c r="H1" s="1"/>
    </row>
    <row r="2" spans="1:17" ht="12.75" x14ac:dyDescent="0.2">
      <c r="A2" s="4" t="s">
        <v>5</v>
      </c>
      <c r="B2" s="4">
        <v>80</v>
      </c>
      <c r="C2" s="4">
        <v>16543</v>
      </c>
      <c r="D2" s="4" t="s">
        <v>6</v>
      </c>
      <c r="E2" s="4" t="s">
        <v>54</v>
      </c>
      <c r="F2" s="4" t="s">
        <v>54</v>
      </c>
      <c r="L2" s="239" t="s">
        <v>92</v>
      </c>
      <c r="M2" s="240"/>
      <c r="N2" s="240"/>
      <c r="O2" s="240"/>
      <c r="P2" s="240"/>
      <c r="Q2" s="240"/>
    </row>
    <row r="3" spans="1:17" ht="12.75" x14ac:dyDescent="0.2">
      <c r="A3" s="4" t="s">
        <v>8</v>
      </c>
      <c r="B3" s="4">
        <v>76</v>
      </c>
      <c r="C3" s="4">
        <v>11798</v>
      </c>
      <c r="D3" s="4" t="s">
        <v>9</v>
      </c>
      <c r="E3" s="4" t="s">
        <v>54</v>
      </c>
      <c r="F3" s="4" t="s">
        <v>54</v>
      </c>
      <c r="L3" s="240"/>
      <c r="M3" s="240"/>
      <c r="N3" s="240"/>
      <c r="O3" s="240"/>
      <c r="P3" s="240"/>
      <c r="Q3" s="240"/>
    </row>
    <row r="4" spans="1:17" ht="12.75" x14ac:dyDescent="0.2">
      <c r="A4" s="4" t="s">
        <v>10</v>
      </c>
      <c r="B4" s="4">
        <v>62</v>
      </c>
      <c r="C4" s="4">
        <v>8799</v>
      </c>
      <c r="D4" s="4" t="s">
        <v>9</v>
      </c>
      <c r="E4" s="4" t="s">
        <v>54</v>
      </c>
      <c r="F4" s="4" t="s">
        <v>54</v>
      </c>
      <c r="L4" s="240"/>
      <c r="M4" s="240"/>
      <c r="N4" s="240"/>
      <c r="O4" s="240"/>
      <c r="P4" s="240"/>
      <c r="Q4" s="240"/>
    </row>
    <row r="5" spans="1:17" ht="12.75" x14ac:dyDescent="0.2">
      <c r="A5" s="4" t="s">
        <v>12</v>
      </c>
      <c r="B5" s="4">
        <v>61</v>
      </c>
      <c r="C5" s="4">
        <v>9111</v>
      </c>
      <c r="D5" s="4" t="s">
        <v>13</v>
      </c>
      <c r="E5" s="4" t="s">
        <v>54</v>
      </c>
      <c r="F5" s="4" t="s">
        <v>54</v>
      </c>
      <c r="L5" s="240"/>
      <c r="M5" s="240"/>
      <c r="N5" s="240"/>
      <c r="O5" s="240"/>
      <c r="P5" s="240"/>
      <c r="Q5" s="240"/>
    </row>
    <row r="6" spans="1:17" ht="12.75" x14ac:dyDescent="0.2">
      <c r="A6" s="4" t="s">
        <v>15</v>
      </c>
      <c r="B6" s="4">
        <v>116</v>
      </c>
      <c r="C6" s="4">
        <v>12907</v>
      </c>
      <c r="D6" s="4" t="s">
        <v>16</v>
      </c>
      <c r="F6" s="4" t="s">
        <v>54</v>
      </c>
      <c r="L6" s="240"/>
      <c r="M6" s="240"/>
      <c r="N6" s="240"/>
      <c r="O6" s="240"/>
      <c r="P6" s="240"/>
      <c r="Q6" s="240"/>
    </row>
    <row r="7" spans="1:17" ht="12.75" x14ac:dyDescent="0.2">
      <c r="A7" s="4" t="s">
        <v>18</v>
      </c>
      <c r="B7" s="4">
        <v>57</v>
      </c>
      <c r="C7" s="4">
        <v>5936</v>
      </c>
      <c r="D7" s="4" t="s">
        <v>16</v>
      </c>
      <c r="E7" s="4" t="s">
        <v>54</v>
      </c>
      <c r="F7" s="4" t="s">
        <v>54</v>
      </c>
      <c r="L7" s="240"/>
      <c r="M7" s="240"/>
      <c r="N7" s="240"/>
      <c r="O7" s="240"/>
      <c r="P7" s="240"/>
      <c r="Q7" s="240"/>
    </row>
    <row r="8" spans="1:17" ht="12.75" x14ac:dyDescent="0.2">
      <c r="A8" s="4" t="s">
        <v>19</v>
      </c>
      <c r="B8" s="4">
        <v>49</v>
      </c>
      <c r="C8" s="4">
        <v>3094</v>
      </c>
      <c r="D8" s="4" t="s">
        <v>16</v>
      </c>
      <c r="F8" s="4" t="s">
        <v>54</v>
      </c>
      <c r="L8" s="240"/>
      <c r="M8" s="240"/>
      <c r="N8" s="240"/>
      <c r="O8" s="240"/>
      <c r="P8" s="240"/>
      <c r="Q8" s="240"/>
    </row>
    <row r="9" spans="1:17" ht="12.75" x14ac:dyDescent="0.2">
      <c r="A9" s="4" t="s">
        <v>20</v>
      </c>
      <c r="B9" s="4">
        <v>41</v>
      </c>
      <c r="C9" s="4">
        <v>1165</v>
      </c>
      <c r="D9" s="4" t="s">
        <v>13</v>
      </c>
      <c r="E9" s="4" t="s">
        <v>54</v>
      </c>
      <c r="F9" s="4" t="s">
        <v>54</v>
      </c>
      <c r="L9" s="240"/>
      <c r="M9" s="240"/>
      <c r="N9" s="240"/>
      <c r="O9" s="240"/>
      <c r="P9" s="240"/>
      <c r="Q9" s="240"/>
    </row>
    <row r="10" spans="1:17" ht="12.75" x14ac:dyDescent="0.2">
      <c r="A10" s="4" t="s">
        <v>21</v>
      </c>
      <c r="B10" s="4">
        <v>50</v>
      </c>
      <c r="C10" s="4">
        <v>3625</v>
      </c>
      <c r="D10" s="4" t="s">
        <v>13</v>
      </c>
      <c r="E10" s="4" t="s">
        <v>54</v>
      </c>
      <c r="F10" s="4" t="s">
        <v>54</v>
      </c>
      <c r="L10" s="240"/>
      <c r="M10" s="240"/>
      <c r="N10" s="240"/>
      <c r="O10" s="240"/>
      <c r="P10" s="240"/>
      <c r="Q10" s="240"/>
    </row>
    <row r="11" spans="1:17" ht="12.75" x14ac:dyDescent="0.2">
      <c r="A11" s="4" t="s">
        <v>22</v>
      </c>
      <c r="B11" s="4">
        <v>46</v>
      </c>
      <c r="C11" s="4">
        <v>3216</v>
      </c>
      <c r="D11" s="4" t="s">
        <v>9</v>
      </c>
      <c r="E11" s="4" t="s">
        <v>54</v>
      </c>
      <c r="F11" s="4" t="s">
        <v>54</v>
      </c>
      <c r="L11" s="240"/>
      <c r="M11" s="240"/>
      <c r="N11" s="240"/>
      <c r="O11" s="240"/>
      <c r="P11" s="240"/>
      <c r="Q11" s="240"/>
    </row>
    <row r="12" spans="1:17" ht="12.75" x14ac:dyDescent="0.2">
      <c r="A12" s="4" t="s">
        <v>23</v>
      </c>
      <c r="B12" s="4">
        <v>58</v>
      </c>
      <c r="C12" s="4">
        <v>10358</v>
      </c>
      <c r="D12" s="4" t="s">
        <v>9</v>
      </c>
      <c r="E12" s="4" t="s">
        <v>54</v>
      </c>
      <c r="F12" s="4" t="s">
        <v>54</v>
      </c>
      <c r="L12" s="241" t="s">
        <v>193</v>
      </c>
      <c r="M12" s="242"/>
      <c r="N12" s="242"/>
      <c r="O12" s="242"/>
      <c r="P12" s="242"/>
      <c r="Q12" s="242"/>
    </row>
    <row r="13" spans="1:17" ht="12.75" x14ac:dyDescent="0.2">
      <c r="A13" s="4" t="s">
        <v>24</v>
      </c>
      <c r="B13" s="4">
        <v>40</v>
      </c>
      <c r="C13" s="4">
        <v>6743</v>
      </c>
      <c r="D13" s="4" t="s">
        <v>13</v>
      </c>
      <c r="L13" s="242"/>
      <c r="M13" s="242"/>
      <c r="N13" s="242"/>
      <c r="O13" s="242"/>
      <c r="P13" s="242"/>
      <c r="Q13" s="242"/>
    </row>
    <row r="14" spans="1:17" ht="12.75" x14ac:dyDescent="0.2">
      <c r="A14" s="5" t="s">
        <v>25</v>
      </c>
      <c r="B14" s="5">
        <v>33</v>
      </c>
      <c r="C14" s="5">
        <v>2105</v>
      </c>
      <c r="D14" s="5" t="s">
        <v>9</v>
      </c>
      <c r="E14" s="5"/>
      <c r="F14" s="5"/>
      <c r="G14" s="4" t="s">
        <v>63</v>
      </c>
      <c r="L14" s="242"/>
      <c r="M14" s="242"/>
      <c r="N14" s="242"/>
      <c r="O14" s="242"/>
      <c r="P14" s="242"/>
      <c r="Q14" s="242"/>
    </row>
    <row r="15" spans="1:17" ht="12.75" x14ac:dyDescent="0.2">
      <c r="A15" s="4" t="s">
        <v>26</v>
      </c>
      <c r="B15" s="4">
        <v>34</v>
      </c>
      <c r="C15" s="4">
        <v>6060</v>
      </c>
      <c r="D15" s="4" t="s">
        <v>16</v>
      </c>
      <c r="F15" s="4" t="s">
        <v>54</v>
      </c>
      <c r="L15" s="242"/>
      <c r="M15" s="242"/>
      <c r="N15" s="242"/>
      <c r="O15" s="242"/>
      <c r="P15" s="242"/>
      <c r="Q15" s="242"/>
    </row>
    <row r="16" spans="1:17" ht="12.75" x14ac:dyDescent="0.2">
      <c r="A16" s="4" t="s">
        <v>27</v>
      </c>
      <c r="B16" s="4">
        <v>26</v>
      </c>
      <c r="C16" s="4">
        <v>12127</v>
      </c>
      <c r="D16" s="4" t="s">
        <v>9</v>
      </c>
      <c r="F16" s="4" t="s">
        <v>54</v>
      </c>
      <c r="L16" s="242"/>
      <c r="M16" s="242"/>
      <c r="N16" s="242"/>
      <c r="O16" s="242"/>
      <c r="P16" s="242"/>
      <c r="Q16" s="242"/>
    </row>
    <row r="17" spans="1:17" ht="12.75" x14ac:dyDescent="0.2">
      <c r="A17" s="6" t="s">
        <v>28</v>
      </c>
      <c r="B17" s="6">
        <v>25</v>
      </c>
      <c r="C17" s="6">
        <v>1401</v>
      </c>
      <c r="D17" s="6" t="s">
        <v>9</v>
      </c>
      <c r="E17" s="6"/>
      <c r="F17" s="6"/>
      <c r="G17" s="4" t="s">
        <v>64</v>
      </c>
      <c r="L17" s="242"/>
      <c r="M17" s="242"/>
      <c r="N17" s="242"/>
      <c r="O17" s="242"/>
      <c r="P17" s="242"/>
      <c r="Q17" s="242"/>
    </row>
    <row r="18" spans="1:17" ht="12.75" x14ac:dyDescent="0.2">
      <c r="A18" s="4" t="s">
        <v>29</v>
      </c>
      <c r="B18" s="4" t="s">
        <v>30</v>
      </c>
      <c r="C18" s="4">
        <v>35663</v>
      </c>
      <c r="D18" s="4" t="s">
        <v>9</v>
      </c>
      <c r="E18" s="4" t="s">
        <v>54</v>
      </c>
      <c r="F18" s="4" t="s">
        <v>54</v>
      </c>
      <c r="G18" s="7"/>
    </row>
    <row r="19" spans="1:17" ht="12.75" x14ac:dyDescent="0.2">
      <c r="A19" s="4" t="s">
        <v>31</v>
      </c>
      <c r="B19" s="4">
        <v>9</v>
      </c>
      <c r="C19" s="4">
        <v>24750</v>
      </c>
      <c r="D19" s="4" t="s">
        <v>9</v>
      </c>
      <c r="E19" s="4" t="s">
        <v>54</v>
      </c>
      <c r="F19" s="4" t="s">
        <v>54</v>
      </c>
    </row>
    <row r="20" spans="1:17" ht="13.5" thickBot="1" x14ac:dyDescent="0.25">
      <c r="A20" s="4" t="s">
        <v>32</v>
      </c>
      <c r="B20" s="4">
        <v>10</v>
      </c>
      <c r="C20" s="4">
        <v>7193</v>
      </c>
      <c r="D20" s="4" t="s">
        <v>9</v>
      </c>
      <c r="F20" s="4" t="s">
        <v>54</v>
      </c>
    </row>
    <row r="21" spans="1:17" ht="26.25" thickBot="1" x14ac:dyDescent="0.25">
      <c r="A21" s="4" t="s">
        <v>33</v>
      </c>
      <c r="B21" s="4">
        <v>18</v>
      </c>
      <c r="C21" s="4">
        <v>1809</v>
      </c>
      <c r="D21" s="4" t="s">
        <v>9</v>
      </c>
      <c r="F21" s="4" t="s">
        <v>54</v>
      </c>
      <c r="M21" s="63" t="s">
        <v>132</v>
      </c>
      <c r="N21" s="64" t="s">
        <v>71</v>
      </c>
      <c r="O21" s="65" t="s">
        <v>83</v>
      </c>
    </row>
    <row r="22" spans="1:17" ht="12.75" x14ac:dyDescent="0.2">
      <c r="A22" s="4" t="s">
        <v>34</v>
      </c>
      <c r="B22" s="4">
        <v>6</v>
      </c>
      <c r="C22" s="4">
        <v>965</v>
      </c>
      <c r="D22" s="4" t="s">
        <v>9</v>
      </c>
      <c r="M22" s="61" t="s">
        <v>72</v>
      </c>
      <c r="N22" s="66">
        <v>187.77</v>
      </c>
      <c r="O22" s="67">
        <v>351.29</v>
      </c>
    </row>
    <row r="23" spans="1:17" ht="12.75" x14ac:dyDescent="0.2">
      <c r="A23" s="4" t="s">
        <v>35</v>
      </c>
      <c r="B23" s="4">
        <v>20</v>
      </c>
      <c r="C23" s="4">
        <v>2383</v>
      </c>
      <c r="D23" s="4" t="s">
        <v>9</v>
      </c>
      <c r="M23" s="61" t="s">
        <v>73</v>
      </c>
      <c r="N23" s="66">
        <v>151.35</v>
      </c>
      <c r="O23" s="67">
        <v>283.14999999999998</v>
      </c>
    </row>
    <row r="24" spans="1:17" ht="12.75" x14ac:dyDescent="0.2">
      <c r="A24" s="4" t="s">
        <v>36</v>
      </c>
      <c r="B24" s="4">
        <v>27</v>
      </c>
      <c r="C24" s="4">
        <v>2470</v>
      </c>
      <c r="D24" s="4" t="s">
        <v>9</v>
      </c>
      <c r="M24" s="61" t="s">
        <v>74</v>
      </c>
      <c r="N24" s="66">
        <v>199.11</v>
      </c>
      <c r="O24" s="67">
        <v>372.49</v>
      </c>
    </row>
    <row r="25" spans="1:17" ht="12.75" x14ac:dyDescent="0.2">
      <c r="A25" s="4" t="s">
        <v>37</v>
      </c>
      <c r="B25" s="4">
        <v>32</v>
      </c>
      <c r="C25" s="4">
        <v>5533</v>
      </c>
      <c r="D25" s="4" t="s">
        <v>16</v>
      </c>
      <c r="M25" s="61" t="s">
        <v>75</v>
      </c>
      <c r="N25" s="66">
        <v>116.55</v>
      </c>
      <c r="O25" s="67">
        <v>218.04</v>
      </c>
    </row>
    <row r="26" spans="1:17" ht="12.75" x14ac:dyDescent="0.2">
      <c r="A26" s="4" t="s">
        <v>38</v>
      </c>
      <c r="B26" s="4">
        <v>35</v>
      </c>
      <c r="C26" s="4">
        <v>4214</v>
      </c>
      <c r="D26" s="4" t="s">
        <v>9</v>
      </c>
      <c r="M26" s="61" t="s">
        <v>76</v>
      </c>
      <c r="N26" s="66">
        <v>86.6</v>
      </c>
      <c r="O26" s="67">
        <v>162.02000000000001</v>
      </c>
    </row>
    <row r="27" spans="1:17" ht="12.75" x14ac:dyDescent="0.2">
      <c r="A27" s="4" t="s">
        <v>39</v>
      </c>
      <c r="B27" s="4">
        <v>36</v>
      </c>
      <c r="C27" s="4">
        <v>774</v>
      </c>
      <c r="D27" s="4" t="s">
        <v>13</v>
      </c>
      <c r="M27" s="61" t="s">
        <v>77</v>
      </c>
      <c r="N27" s="66">
        <v>81.34</v>
      </c>
      <c r="O27" s="67">
        <v>152.16999999999999</v>
      </c>
    </row>
    <row r="28" spans="1:17" ht="12.75" x14ac:dyDescent="0.2">
      <c r="A28" s="4" t="s">
        <v>40</v>
      </c>
      <c r="B28" s="4">
        <v>44</v>
      </c>
      <c r="C28" s="4">
        <v>5217</v>
      </c>
      <c r="D28" s="4" t="s">
        <v>16</v>
      </c>
      <c r="M28" s="61" t="s">
        <v>78</v>
      </c>
      <c r="N28" s="66">
        <v>49.78</v>
      </c>
      <c r="O28" s="67">
        <v>93.12</v>
      </c>
    </row>
    <row r="29" spans="1:17" ht="12.75" x14ac:dyDescent="0.2">
      <c r="A29" s="4" t="s">
        <v>41</v>
      </c>
      <c r="B29" s="4">
        <v>39</v>
      </c>
      <c r="C29" s="4">
        <v>3220</v>
      </c>
      <c r="D29" s="4" t="s">
        <v>9</v>
      </c>
      <c r="M29" s="61" t="s">
        <v>79</v>
      </c>
      <c r="N29" s="66">
        <v>18.21</v>
      </c>
      <c r="O29" s="67">
        <v>34.07</v>
      </c>
    </row>
    <row r="30" spans="1:17" ht="12.75" x14ac:dyDescent="0.2">
      <c r="A30" s="4" t="s">
        <v>42</v>
      </c>
      <c r="B30" s="4">
        <v>43</v>
      </c>
      <c r="C30" s="4">
        <v>3459</v>
      </c>
      <c r="D30" s="4" t="s">
        <v>13</v>
      </c>
      <c r="M30" s="61" t="s">
        <v>80</v>
      </c>
      <c r="N30" s="66">
        <v>18.21</v>
      </c>
      <c r="O30" s="67">
        <v>34.07</v>
      </c>
    </row>
    <row r="31" spans="1:17" ht="12.75" x14ac:dyDescent="0.2">
      <c r="A31" s="4" t="s">
        <v>43</v>
      </c>
      <c r="B31" s="4">
        <v>53</v>
      </c>
      <c r="C31" s="4">
        <v>5436</v>
      </c>
      <c r="D31" s="4" t="s">
        <v>16</v>
      </c>
      <c r="M31" s="61" t="s">
        <v>81</v>
      </c>
      <c r="N31" s="66">
        <v>5.67</v>
      </c>
      <c r="O31" s="67">
        <v>10.6</v>
      </c>
    </row>
    <row r="32" spans="1:17" ht="13.5" thickBot="1" x14ac:dyDescent="0.25">
      <c r="A32" s="4" t="s">
        <v>44</v>
      </c>
      <c r="B32" s="4">
        <v>52</v>
      </c>
      <c r="C32" s="4">
        <v>2135</v>
      </c>
      <c r="D32" s="4" t="s">
        <v>16</v>
      </c>
      <c r="M32" s="62" t="s">
        <v>82</v>
      </c>
      <c r="N32" s="68">
        <v>914.59</v>
      </c>
      <c r="O32" s="69">
        <v>1711.02</v>
      </c>
    </row>
    <row r="33" spans="1:8" ht="12.75" x14ac:dyDescent="0.2">
      <c r="A33" s="4" t="s">
        <v>45</v>
      </c>
      <c r="B33" s="4">
        <v>54</v>
      </c>
      <c r="C33" s="4">
        <v>10178</v>
      </c>
      <c r="D33" s="4" t="s">
        <v>16</v>
      </c>
    </row>
    <row r="34" spans="1:8" ht="12.75" x14ac:dyDescent="0.2">
      <c r="A34" s="4" t="s">
        <v>46</v>
      </c>
      <c r="B34" s="4">
        <v>55</v>
      </c>
      <c r="C34" s="4">
        <v>3559</v>
      </c>
      <c r="D34" s="4" t="s">
        <v>16</v>
      </c>
    </row>
    <row r="35" spans="1:8" ht="12.75" x14ac:dyDescent="0.2">
      <c r="A35" s="4" t="s">
        <v>47</v>
      </c>
      <c r="B35" s="4">
        <v>63</v>
      </c>
      <c r="C35" s="4">
        <v>208</v>
      </c>
      <c r="D35" s="4" t="s">
        <v>9</v>
      </c>
      <c r="E35" s="4" t="s">
        <v>54</v>
      </c>
      <c r="F35" s="4" t="s">
        <v>54</v>
      </c>
    </row>
    <row r="36" spans="1:8" ht="12.75" x14ac:dyDescent="0.2">
      <c r="A36" s="4" t="s">
        <v>48</v>
      </c>
      <c r="B36" s="4">
        <v>87</v>
      </c>
      <c r="C36" s="4">
        <v>2514</v>
      </c>
      <c r="D36" s="4" t="s">
        <v>9</v>
      </c>
      <c r="E36" s="4" t="s">
        <v>54</v>
      </c>
      <c r="F36" s="4" t="s">
        <v>54</v>
      </c>
    </row>
    <row r="37" spans="1:8" ht="12.75" x14ac:dyDescent="0.2">
      <c r="A37" s="4" t="s">
        <v>49</v>
      </c>
      <c r="B37" s="4">
        <v>89</v>
      </c>
      <c r="C37" s="4">
        <v>9211</v>
      </c>
      <c r="D37" s="4" t="s">
        <v>9</v>
      </c>
      <c r="E37" s="4" t="s">
        <v>54</v>
      </c>
      <c r="F37" s="4" t="s">
        <v>54</v>
      </c>
      <c r="H37" s="4" t="s">
        <v>65</v>
      </c>
    </row>
    <row r="38" spans="1:8" ht="12.75" x14ac:dyDescent="0.2">
      <c r="A38" s="4" t="s">
        <v>50</v>
      </c>
      <c r="B38" s="4">
        <v>60</v>
      </c>
      <c r="C38" s="4">
        <v>2936</v>
      </c>
      <c r="D38" s="4" t="s">
        <v>9</v>
      </c>
      <c r="E38" s="4" t="s">
        <v>54</v>
      </c>
      <c r="F38" s="4" t="s">
        <v>54</v>
      </c>
    </row>
    <row r="39" spans="1:8" ht="12.75" x14ac:dyDescent="0.2">
      <c r="C39" s="4">
        <f>SUM(C2:C38)</f>
        <v>248815</v>
      </c>
    </row>
    <row r="40" spans="1:8" ht="12.75" x14ac:dyDescent="0.2">
      <c r="A40" s="4" t="s">
        <v>66</v>
      </c>
    </row>
    <row r="41" spans="1:8" ht="12.75" x14ac:dyDescent="0.2">
      <c r="A41" s="4" t="s">
        <v>67</v>
      </c>
    </row>
    <row r="42" spans="1:8" ht="12.75" x14ac:dyDescent="0.2">
      <c r="E42" s="4">
        <f>SUM(C2:C5, C7, C9:C12, C19, C35, C36:C38)</f>
        <v>110170</v>
      </c>
    </row>
    <row r="43" spans="1:8" ht="12.75" x14ac:dyDescent="0.2">
      <c r="E43" s="4">
        <f>C18/2</f>
        <v>17831.5</v>
      </c>
    </row>
    <row r="44" spans="1:8" ht="12.75" x14ac:dyDescent="0.2">
      <c r="D44" s="4" t="s">
        <v>68</v>
      </c>
      <c r="E44" s="1">
        <f>SUM(E42:E43)</f>
        <v>128001.5</v>
      </c>
      <c r="F44" s="8">
        <v>187558</v>
      </c>
    </row>
    <row r="45" spans="1:8" ht="12.75" x14ac:dyDescent="0.2">
      <c r="D45" s="4" t="s">
        <v>69</v>
      </c>
      <c r="E45" s="1">
        <f>E44/C39</f>
        <v>0.51444446677250166</v>
      </c>
      <c r="F45" s="1">
        <v>0.753</v>
      </c>
    </row>
  </sheetData>
  <mergeCells count="2">
    <mergeCell ref="L2:Q11"/>
    <mergeCell ref="L12:Q1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 Acres</vt:lpstr>
      <vt:lpstr>Overall $</vt:lpstr>
      <vt:lpstr>Overall Restoration (Acres)</vt:lpstr>
      <vt:lpstr>Restoration ($) Combined</vt:lpstr>
      <vt:lpstr>100% Restoration ($)</vt:lpstr>
      <vt:lpstr>50% Restoration ($)</vt:lpstr>
      <vt:lpstr>25% Restoration ($)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COSMOCRATOR</dc:creator>
  <cp:lastModifiedBy>Isaac Sanchez Terrazas</cp:lastModifiedBy>
  <dcterms:created xsi:type="dcterms:W3CDTF">2026-10-12T05:16:02Z</dcterms:created>
  <dcterms:modified xsi:type="dcterms:W3CDTF">2026-10-26T21:05:50Z</dcterms:modified>
</cp:coreProperties>
</file>