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CE7D6063-2DEB-4C96-BF9F-CB958F464028}" xr6:coauthVersionLast="47" xr6:coauthVersionMax="47" xr10:uidLastSave="{00000000-0000-0000-0000-000000000000}"/>
  <bookViews>
    <workbookView xWindow="-120" yWindow="-120" windowWidth="38640" windowHeight="21120" xr2:uid="{04C524DF-49F2-4E26-8515-DC9AD24E6418}"/>
  </bookViews>
  <sheets>
    <sheet name="Recreation Scor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4" i="1"/>
  <c r="D14" i="1" s="1"/>
  <c r="C14" i="1"/>
  <c r="B15" i="1"/>
  <c r="D15" i="1" s="1"/>
  <c r="C15" i="1"/>
  <c r="B16" i="1"/>
  <c r="D16" i="1" s="1"/>
  <c r="C16" i="1"/>
  <c r="B17" i="1"/>
  <c r="D17" i="1" s="1"/>
  <c r="C17" i="1"/>
  <c r="B23" i="1"/>
  <c r="B25" i="1" s="1"/>
  <c r="C23" i="1"/>
  <c r="D23" i="1"/>
  <c r="E23" i="1"/>
  <c r="F23" i="1"/>
  <c r="B24" i="1"/>
  <c r="E24" i="1"/>
  <c r="F24" i="1"/>
  <c r="E25" i="1"/>
  <c r="F25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I35" i="1" s="1"/>
  <c r="C33" i="1"/>
  <c r="D33" i="1"/>
  <c r="D35" i="1" s="1"/>
  <c r="E33" i="1"/>
  <c r="E35" i="1" s="1"/>
  <c r="F33" i="1"/>
  <c r="G33" i="1"/>
  <c r="H33" i="1"/>
  <c r="H35" i="1" s="1"/>
  <c r="I33" i="1"/>
  <c r="C34" i="1"/>
  <c r="C35" i="1" s="1"/>
  <c r="D34" i="1"/>
  <c r="E34" i="1"/>
  <c r="F34" i="1"/>
  <c r="F35" i="1" s="1"/>
  <c r="G34" i="1"/>
  <c r="G35" i="1" s="1"/>
  <c r="H34" i="1"/>
  <c r="I34" i="1"/>
  <c r="C39" i="1"/>
  <c r="D39" i="1"/>
  <c r="E39" i="1"/>
  <c r="F39" i="1"/>
  <c r="G39" i="1"/>
  <c r="H39" i="1"/>
  <c r="I39" i="1"/>
  <c r="C40" i="1"/>
  <c r="C43" i="1" s="1"/>
  <c r="D40" i="1"/>
  <c r="D43" i="1" s="1"/>
  <c r="E40" i="1"/>
  <c r="F40" i="1"/>
  <c r="G40" i="1"/>
  <c r="H40" i="1"/>
  <c r="I40" i="1"/>
  <c r="C41" i="1"/>
  <c r="D41" i="1"/>
  <c r="E41" i="1"/>
  <c r="E43" i="1" s="1"/>
  <c r="F41" i="1"/>
  <c r="F43" i="1" s="1"/>
  <c r="G41" i="1"/>
  <c r="H41" i="1"/>
  <c r="H43" i="1" s="1"/>
  <c r="I41" i="1"/>
  <c r="I43" i="1" s="1"/>
  <c r="C42" i="1"/>
  <c r="D42" i="1"/>
  <c r="E42" i="1"/>
  <c r="F42" i="1"/>
  <c r="G42" i="1"/>
  <c r="G43" i="1" s="1"/>
  <c r="H42" i="1"/>
  <c r="I42" i="1"/>
  <c r="C47" i="1"/>
  <c r="D47" i="1"/>
  <c r="D51" i="1" s="1"/>
  <c r="E47" i="1"/>
  <c r="F47" i="1"/>
  <c r="F51" i="1" s="1"/>
  <c r="G47" i="1"/>
  <c r="G51" i="1" s="1"/>
  <c r="H47" i="1"/>
  <c r="I47" i="1"/>
  <c r="C48" i="1"/>
  <c r="D48" i="1"/>
  <c r="E48" i="1"/>
  <c r="F48" i="1"/>
  <c r="G48" i="1"/>
  <c r="H48" i="1"/>
  <c r="I48" i="1"/>
  <c r="C49" i="1"/>
  <c r="D49" i="1"/>
  <c r="E49" i="1"/>
  <c r="E51" i="1" s="1"/>
  <c r="F49" i="1"/>
  <c r="G49" i="1"/>
  <c r="H49" i="1"/>
  <c r="H51" i="1" s="1"/>
  <c r="I49" i="1"/>
  <c r="I51" i="1" s="1"/>
  <c r="C50" i="1"/>
  <c r="C51" i="1" s="1"/>
  <c r="D50" i="1"/>
  <c r="E50" i="1"/>
  <c r="F50" i="1"/>
  <c r="G50" i="1"/>
  <c r="H50" i="1"/>
  <c r="I50" i="1"/>
  <c r="C55" i="1"/>
  <c r="D55" i="1"/>
  <c r="E55" i="1"/>
  <c r="E59" i="1" s="1"/>
  <c r="F55" i="1"/>
  <c r="F59" i="1" s="1"/>
  <c r="G55" i="1"/>
  <c r="G59" i="1" s="1"/>
  <c r="H55" i="1"/>
  <c r="I55" i="1"/>
  <c r="I59" i="1" s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H59" i="1" s="1"/>
  <c r="I57" i="1"/>
  <c r="C58" i="1"/>
  <c r="C59" i="1" s="1"/>
  <c r="D58" i="1"/>
  <c r="D59" i="1" s="1"/>
  <c r="E58" i="1"/>
  <c r="F58" i="1"/>
  <c r="G58" i="1"/>
  <c r="H58" i="1"/>
  <c r="I58" i="1"/>
  <c r="D24" i="1"/>
  <c r="D25" i="1" s="1"/>
  <c r="D18" i="1" l="1"/>
  <c r="C24" i="1" s="1"/>
  <c r="C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COSMOCRATOR</author>
  </authors>
  <commentList>
    <comment ref="C6" authorId="0" shapeId="0" xr:uid="{0364AE61-6250-4640-AB86-3339D26A4265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BAU. Value as reported in the connected Excel session on 2026-10-26; pasted, not a live link.</t>
        </r>
      </text>
    </comment>
    <comment ref="D6" authorId="0" shapeId="0" xr:uid="{DFE2B498-7759-45AA-A2AB-12A95E44B2BA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BAF. Value as reported 2026-10-26; pasted, not a live link.</t>
        </r>
      </text>
    </comment>
    <comment ref="E6" authorId="0" shapeId="0" xr:uid="{5454BEB7-02E0-4D9B-9104-D6B56455F326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ECO. Value as reported in the connected Excel session on 2026-10-26; pasted, not a live link.</t>
        </r>
      </text>
    </comment>
    <comment ref="F6" authorId="0" shapeId="0" xr:uid="{3B5DEC27-ACDF-4DCA-93A0-D310C83F6B8C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NGW. Value as reported in the connected Excel session on 2026-10-26; pasted, not a live link.</t>
        </r>
      </text>
    </comment>
    <comment ref="G6" authorId="0" shapeId="0" xr:uid="{77179146-2BD8-40F4-AD6C-518B0989D72F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BAU CS. Value as reported 2026-10-26; pasted, not a live link.</t>
        </r>
      </text>
    </comment>
    <comment ref="H6" authorId="0" shapeId="0" xr:uid="{B3C83783-35B4-4B21-8E18-260F65658033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COR vs CS. Value as reported 2026-10-26; pasted, not a live link.</t>
        </r>
      </text>
    </comment>
    <comment ref="I6" authorId="0" shapeId="0" xr:uid="{B26F3B1B-930A-4CAF-AC5C-CB6A1E4E009F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Analyzed.xlsx, OVERALL Salinity Score (A), Tunnel vs CS. Value as reported 2026-10-26; pasted, not a live link.</t>
        </r>
      </text>
    </comment>
    <comment ref="C7" authorId="0" shapeId="0" xr:uid="{C53EF809-AF76-458D-8CF1-327A6979E22D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OVERALL!V41 (Salinity Score (A), BAU), 2026-10-26; pasted, not a live link.</t>
        </r>
      </text>
    </comment>
    <comment ref="D7" authorId="0" shapeId="0" xr:uid="{84E6B47C-740B-42A2-B237-763D3FF8AFC4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OVERALL!W41 (Salinity Score (A), BAF), 2026-10-26; pasted, not a live link.</t>
        </r>
      </text>
    </comment>
    <comment ref="E7" authorId="0" shapeId="0" xr:uid="{360B48DC-E6C0-4B14-8FC9-DAB87F3D8C8F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OVERALL!X41 (Salinity Score (A), ECO), 2026-10-26; pasted, not a live link.</t>
        </r>
      </text>
    </comment>
    <comment ref="F7" authorId="0" shapeId="0" xr:uid="{4BBCE233-260D-4B7C-8FC9-18D3EC1F831B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OVERALL!Y41 (Salinity Score (A), NGW), 2026-10-26; pasted, not a live link.</t>
        </r>
      </text>
    </comment>
    <comment ref="G7" authorId="0" shapeId="0" xr:uid="{9D5B2F1E-FA69-4A8C-B31E-767C10CB0EB9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OVERALL!Z41 (Salinity Score (A), BAU CS), 2026-10-26; pasted, not a live link.</t>
        </r>
      </text>
    </comment>
    <comment ref="H7" authorId="0" shapeId="0" xr:uid="{795C9056-E707-4507-BAE3-BBA3C34B3F34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OVERALL!AA41 (Salinity Score (A), COR vs CS), 2026-10-26; pasted, not a live link.</t>
        </r>
      </text>
    </comment>
    <comment ref="I7" authorId="0" shapeId="0" xr:uid="{3AC4F368-CD86-42DA-9F2B-B184E79F1C87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Salinity Analyzed.xlsx, OVERALL!AB41 (Salinity Score (A), Tunnel vs CS), 2026-10-26; pasted, not a live link.</t>
        </r>
      </text>
    </comment>
    <comment ref="C8" authorId="0" shapeId="0" xr:uid="{A4C06099-77EB-423A-8996-979035F91E1D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Overall!V48 (Temperature Score (B), BAU), 2026-10-26; pasted, not a live link.</t>
        </r>
      </text>
    </comment>
    <comment ref="D8" authorId="0" shapeId="0" xr:uid="{22C08161-DFA1-4740-85F9-62F5ADD5C6C1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Overall!W48 (Temperature Score (B), BAF), 2026-10-26; pasted, not a live link.</t>
        </r>
      </text>
    </comment>
    <comment ref="E8" authorId="0" shapeId="0" xr:uid="{F9849855-6FAC-4DC4-9096-6AC1CEBA0822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Overall!X48 (Temperature Score (B), ECO), 2026-10-26; pasted, not a live link.</t>
        </r>
      </text>
    </comment>
    <comment ref="F8" authorId="0" shapeId="0" xr:uid="{D922445C-EE55-4A15-BCB8-A29E9AC92FC4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Overall!Y48 (Temperature Score (B), NGW), 2026-10-26; pasted, not a live link.</t>
        </r>
      </text>
    </comment>
    <comment ref="G8" authorId="0" shapeId="0" xr:uid="{B41604C4-BA9F-4EA9-B6A1-5E3BB4B3A6F8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Overall!Z48 (Temperature Score (B), BAU CS), 2026-10-26; pasted, not a live link.</t>
        </r>
      </text>
    </comment>
    <comment ref="H8" authorId="0" shapeId="0" xr:uid="{35E24A0F-E7B2-4E99-90BE-960035DFEEF7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Overall!AA48 (Temperature Score (B), COR vs CS), 2026-10-26; pasted, not a live link.</t>
        </r>
      </text>
    </comment>
    <comment ref="I8" authorId="0" shapeId="0" xr:uid="{3E637719-960E-4799-9A31-D8EEF65386E5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Temperature Scenarios Analyzed.xlsx, Overall!AB48 (Temperature Score (B), Tunnel vs CS), 2026-10-26; pasted, not a live link.</t>
        </r>
      </text>
    </comment>
    <comment ref="C9" authorId="0" shapeId="0" xr:uid="{BB1BF902-9963-44E4-BEB7-159BA4904D93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OVERALL!V48 (Temperature Score (B), BAU), 2026-10-26; pasted, not a live link.</t>
        </r>
      </text>
    </comment>
    <comment ref="D9" authorId="0" shapeId="0" xr:uid="{5276B488-3783-425D-81F8-C9D125666D57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OVERALL!W48 (Temperature Score (B), BAF), 2026-10-26; pasted, not a live link.</t>
        </r>
      </text>
    </comment>
    <comment ref="E9" authorId="0" shapeId="0" xr:uid="{73112443-53D1-4E56-BCE1-B18573402FFC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OVERALL!X48 (Temperature Score (B), ECO), 2026-10-26; pasted, not a live link.</t>
        </r>
      </text>
    </comment>
    <comment ref="F9" authorId="0" shapeId="0" xr:uid="{49391B41-0546-4ACC-B998-E15371860E91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OVERALL!Y48 (Temperature Score (B), NGW), 2026-10-26; pasted, not a live link.</t>
        </r>
      </text>
    </comment>
    <comment ref="G9" authorId="0" shapeId="0" xr:uid="{C1C4AE9C-6F15-400C-A89A-F78FE172C53D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OVERALL!Z48 (Temperature Score (B), BAU CS), 2026-10-26; pasted, not a live link.</t>
        </r>
      </text>
    </comment>
    <comment ref="H9" authorId="0" shapeId="0" xr:uid="{9EC0CCA6-4187-4572-8063-9AD5D517155B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OVERALL!AA48 (Temperature Score (B), COR vs CS), 2026-10-26; pasted, not a live link.</t>
        </r>
      </text>
    </comment>
    <comment ref="I9" authorId="0" shapeId="0" xr:uid="{883E871A-3670-4B79-A7CD-50A87D1557EE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SLR Temperature Analyzed.xlsx, OVERALL!AB48 (Temperature Score (B), Tunnel vs CS), 2026-10-26; pasted, not a live link.</t>
        </r>
      </text>
    </comment>
    <comment ref="A62" authorId="0" shapeId="0" xr:uid="{A43E2C98-0FB4-4BA3-BA3A-0C086A6306F8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RMA Salinity Scenarios Analyzed.xlsx (OVERALL C3:K26), RMA SLR Salinity Analyzed.xlsx (OVERALL E4:K26), RMA Temperature Scenarios Analyzed.xlsx (Overall C4:K32), RMA SLR Temperature Analyzed.xlsx (OVERALL E4:K32); Total Run scores, 90 rows, shared by the connected Excel sessions 2026-10-26. Pasted values, not live links.</t>
        </r>
      </text>
    </comment>
  </commentList>
</comments>
</file>

<file path=xl/sharedStrings.xml><?xml version="1.0" encoding="utf-8"?>
<sst xmlns="http://schemas.openxmlformats.org/spreadsheetml/2006/main" count="498" uniqueCount="62">
  <si>
    <t>South</t>
  </si>
  <si>
    <t>Day Use (&lt;18C)</t>
  </si>
  <si>
    <t>SLR</t>
  </si>
  <si>
    <t>B — Temperature Score</t>
  </si>
  <si>
    <t>North</t>
  </si>
  <si>
    <t>Central</t>
  </si>
  <si>
    <t>Suisun</t>
  </si>
  <si>
    <t>Delta-Wide</t>
  </si>
  <si>
    <t>Angling</t>
  </si>
  <si>
    <t>Waterfowl</t>
  </si>
  <si>
    <t>Birding</t>
  </si>
  <si>
    <t>Boating &amp; Day Use</t>
  </si>
  <si>
    <t>DAY USE</t>
  </si>
  <si>
    <t>Standard</t>
  </si>
  <si>
    <t>ANGLING</t>
  </si>
  <si>
    <t>WATERFOWL</t>
  </si>
  <si>
    <t>BIRDING</t>
  </si>
  <si>
    <t>BOATING &amp; DAY USE</t>
  </si>
  <si>
    <t>A — Salinity Score</t>
  </si>
  <si>
    <t>Day Use &amp; Boating</t>
  </si>
  <si>
    <t>Tunnel vs CS</t>
  </si>
  <si>
    <t>COR vs CS</t>
  </si>
  <si>
    <t>BAU CS</t>
  </si>
  <si>
    <t>NGW</t>
  </si>
  <si>
    <t>ECO</t>
  </si>
  <si>
    <t>BAF</t>
  </si>
  <si>
    <t>BAU</t>
  </si>
  <si>
    <t>Region</t>
  </si>
  <si>
    <t>Activity</t>
  </si>
  <si>
    <t>Run</t>
  </si>
  <si>
    <t>Component</t>
  </si>
  <si>
    <t>5. REGIONAL ACTIVITY SCORES (pasted from the 4 RMA hydrology workbooks, Total Run score grids)</t>
  </si>
  <si>
    <t>SOUTH: RECREATION SCORE</t>
  </si>
  <si>
    <t>Region:</t>
  </si>
  <si>
    <t>NORTH: RECREATION SCORE</t>
  </si>
  <si>
    <t>CENTRAL: RECREATION SCORE</t>
  </si>
  <si>
    <t>SUISUN: RECREATION SCORE</t>
  </si>
  <si>
    <t>4. RECREATION SCORE BY REGION — same method as Table 1: (A Std + A SLR + B Std + B SLR) / 4; each A/B = average of activity scores in that region</t>
  </si>
  <si>
    <t>Table 1 combines Standard + SLR hydrology: (A Std + A SLR + B Std + B SLR) / 4. Table 3 combines restoration only: (C + D) / 2. C and D treat restoration as added on top of BAU protected areas. Overall $ 25/50/100% Restoration = NGW Lower/Middle/Upper.</t>
  </si>
  <si>
    <t>RESTORATION SCORE</t>
  </si>
  <si>
    <t>D — Economy ($)</t>
  </si>
  <si>
    <t>C — Habitat (restored acres)</t>
  </si>
  <si>
    <t>NGW Upper (100%)</t>
  </si>
  <si>
    <t>NGW Middle (50%)</t>
  </si>
  <si>
    <t>NGW Lower (25%)</t>
  </si>
  <si>
    <t>3. RESTORATION SCORE — Overall Restoration (Acres) + Overall $ (kept separate from hydrology)</t>
  </si>
  <si>
    <t>BAU + Eco</t>
  </si>
  <si>
    <t>Baseline Activities</t>
  </si>
  <si>
    <t>ECO ECONOMY SCORE (D)</t>
  </si>
  <si>
    <t>Angling (Fishing)</t>
  </si>
  <si>
    <t>Waterfowl (Hunting)</t>
  </si>
  <si>
    <t>Birding (Biodiversity)</t>
  </si>
  <si>
    <t>Day Use &amp; Boating (Amenity)</t>
  </si>
  <si>
    <t>ECO Score</t>
  </si>
  <si>
    <t>ECO added $/yr</t>
  </si>
  <si>
    <t>BAU $/yr (Delta-Wide)</t>
  </si>
  <si>
    <t>2. ECO ECONOMY SCORE (D) — ECO $ added on top of BAU (no ECO-only score on Overall $)</t>
  </si>
  <si>
    <t>RECREATION: THE SCORE</t>
  </si>
  <si>
    <t>1. HYDROLOGY INPUTS (from other workbooks)</t>
  </si>
  <si>
    <t xml:space="preserve">RECREATION: THE SCORE </t>
  </si>
  <si>
    <t>&lt;--The main score</t>
  </si>
  <si>
    <t>&lt;--Main scores but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</si>
</sst>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0.00"/>
    <numFmt numFmtId="165" formatCode="&quot;$&quot;#,##0"/>
  </numFmts>
  <fonts count="9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sz val="10"/>
      <color rgb="FF008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4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3" fillId="3" borderId="2" xfId="0" applyFont="1" applyFill="1" applyBorder="1" applyAlignment="1">
      <alignment horizontal="center"/>
    </xf>
    <xf numFmtId="0" fontId="3" fillId="0" borderId="0" xfId="0" applyFont="1"/>
    <xf numFmtId="164" fontId="1" fillId="2" borderId="1" xfId="2" applyNumberFormat="1" applyFont="1"/>
    <xf numFmtId="0" fontId="3" fillId="2" borderId="1" xfId="2" applyFont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4" fillId="0" borderId="0" xfId="0" applyFont="1"/>
    <xf numFmtId="164" fontId="3" fillId="4" borderId="2" xfId="1" applyNumberFormat="1" applyFont="1" applyFill="1" applyBorder="1" applyAlignment="1">
      <alignment horizontal="center"/>
    </xf>
    <xf numFmtId="0" fontId="3" fillId="4" borderId="2" xfId="0" applyFont="1" applyFill="1" applyBorder="1"/>
    <xf numFmtId="164" fontId="5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165" fontId="5" fillId="0" borderId="2" xfId="0" applyNumberFormat="1" applyFont="1" applyBorder="1"/>
    <xf numFmtId="9" fontId="1" fillId="0" borderId="0" xfId="1" applyFont="1"/>
    <xf numFmtId="164" fontId="2" fillId="0" borderId="2" xfId="0" applyNumberFormat="1" applyFont="1" applyBorder="1" applyAlignment="1">
      <alignment horizontal="center"/>
    </xf>
    <xf numFmtId="0" fontId="6" fillId="0" borderId="0" xfId="0" applyFont="1"/>
    <xf numFmtId="0" fontId="3" fillId="3" borderId="4" xfId="0" applyFont="1" applyFill="1" applyBorder="1" applyAlignment="1">
      <alignment horizontal="center"/>
    </xf>
    <xf numFmtId="0" fontId="3" fillId="3" borderId="3" xfId="0" quotePrefix="1" applyFont="1" applyFill="1" applyBorder="1" applyAlignment="1">
      <alignment horizontal="center"/>
    </xf>
    <xf numFmtId="164" fontId="1" fillId="2" borderId="5" xfId="2" applyNumberFormat="1" applyFont="1" applyBorder="1"/>
    <xf numFmtId="0" fontId="3" fillId="0" borderId="3" xfId="0" quotePrefix="1" applyFont="1" applyBorder="1"/>
  </cellXfs>
  <cellStyles count="3">
    <cellStyle name="Normal" xfId="0" builtinId="0"/>
    <cellStyle name="Note" xfId="2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hD%20Works\2026%20Salinity%20MRPI%20Scenarios\RMA%20&amp;%20Tiered%20Outflows%20V2\R%20worked%20RMA%20Data\Activity%20Blind%20Data%20Recreation\Restoration%20Scenarios%20NGW%20and%20ECO.xlsx" TargetMode="External"/><Relationship Id="rId1" Type="http://schemas.openxmlformats.org/officeDocument/2006/relationships/externalLinkPath" Target="Restoration%20Scenarios%20NGW%20and%20E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Acres"/>
      <sheetName val="Overall $"/>
      <sheetName val="Overall Restoration (Acres)"/>
      <sheetName val="Restoration ($) Combined"/>
      <sheetName val="100% Restoration ($)"/>
      <sheetName val="50% Restoration ($)"/>
      <sheetName val="25% Restoration ($)"/>
      <sheetName val="References"/>
    </sheetNames>
    <sheetDataSet>
      <sheetData sheetId="0"/>
      <sheetData sheetId="1">
        <row r="13">
          <cell r="O13">
            <v>5</v>
          </cell>
          <cell r="P13">
            <v>5</v>
          </cell>
          <cell r="Q13">
            <v>5</v>
          </cell>
          <cell r="R13">
            <v>0</v>
          </cell>
        </row>
        <row r="35">
          <cell r="G35">
            <v>40340928.860470004</v>
          </cell>
        </row>
        <row r="43">
          <cell r="G43">
            <v>17546879.900060002</v>
          </cell>
        </row>
        <row r="51">
          <cell r="G51">
            <v>10084961.46336</v>
          </cell>
        </row>
        <row r="59">
          <cell r="G59">
            <v>30665344.054450002</v>
          </cell>
        </row>
      </sheetData>
      <sheetData sheetId="2">
        <row r="15">
          <cell r="Q15">
            <v>5</v>
          </cell>
        </row>
        <row r="16">
          <cell r="Q16">
            <v>5</v>
          </cell>
        </row>
        <row r="17">
          <cell r="Q17">
            <v>5</v>
          </cell>
        </row>
        <row r="18">
          <cell r="Q18">
            <v>5</v>
          </cell>
        </row>
        <row r="19">
          <cell r="Q19">
            <v>0</v>
          </cell>
        </row>
      </sheetData>
      <sheetData sheetId="3">
        <row r="47">
          <cell r="E47">
            <v>12258727.825030332</v>
          </cell>
          <cell r="F47">
            <v>16126623.79496927</v>
          </cell>
          <cell r="H47">
            <v>7014512.0332382647</v>
          </cell>
          <cell r="J47">
            <v>4031547.7134622098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6E0479-D6FD-4E29-A5BC-3FA98727B8B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cd76469-57e6-4487-8ddb-0a1ef3247b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C752-4F63-47FC-A616-8C47A34C2474}">
  <dimension ref="A1:K152"/>
  <sheetViews>
    <sheetView tabSelected="1" topLeftCell="A18" workbookViewId="0">
      <selection activeCell="A30" sqref="A30:I59"/>
    </sheetView>
  </sheetViews>
  <sheetFormatPr defaultRowHeight="12.75" x14ac:dyDescent="0.2"/>
  <cols>
    <col min="1" max="1" width="36.140625" style="1" customWidth="1"/>
    <col min="2" max="8" width="20" style="1" customWidth="1"/>
    <col min="9" max="9" width="20" customWidth="1"/>
    <col min="10" max="10" width="41" customWidth="1"/>
  </cols>
  <sheetData>
    <row r="1" spans="1:11" ht="18" x14ac:dyDescent="0.25">
      <c r="A1" s="19" t="s">
        <v>59</v>
      </c>
    </row>
    <row r="2" spans="1:11" x14ac:dyDescent="0.2">
      <c r="A2" s="9"/>
    </row>
    <row r="4" spans="1:11" x14ac:dyDescent="0.2">
      <c r="A4" s="4" t="s">
        <v>58</v>
      </c>
    </row>
    <row r="5" spans="1:11" x14ac:dyDescent="0.2">
      <c r="A5" s="3" t="s">
        <v>30</v>
      </c>
      <c r="B5" s="3" t="s">
        <v>29</v>
      </c>
      <c r="C5" s="3" t="s">
        <v>26</v>
      </c>
      <c r="D5" s="3" t="s">
        <v>25</v>
      </c>
      <c r="E5" s="3" t="s">
        <v>24</v>
      </c>
      <c r="F5" s="3" t="s">
        <v>23</v>
      </c>
      <c r="G5" s="3" t="s">
        <v>22</v>
      </c>
      <c r="H5" s="3" t="s">
        <v>21</v>
      </c>
      <c r="I5" s="3" t="s">
        <v>20</v>
      </c>
      <c r="J5" s="1"/>
      <c r="K5" s="1"/>
    </row>
    <row r="6" spans="1:11" x14ac:dyDescent="0.2">
      <c r="A6" s="8" t="s">
        <v>18</v>
      </c>
      <c r="B6" s="8" t="s">
        <v>13</v>
      </c>
      <c r="C6" s="18">
        <v>0</v>
      </c>
      <c r="D6" s="18">
        <v>0</v>
      </c>
      <c r="E6" s="18">
        <v>-1</v>
      </c>
      <c r="F6" s="18">
        <v>-1</v>
      </c>
      <c r="G6" s="18">
        <v>0</v>
      </c>
      <c r="H6" s="18">
        <v>0</v>
      </c>
      <c r="I6" s="18">
        <v>-0.25</v>
      </c>
      <c r="J6" s="1"/>
      <c r="K6" s="1"/>
    </row>
    <row r="7" spans="1:11" x14ac:dyDescent="0.2">
      <c r="A7" s="8" t="s">
        <v>18</v>
      </c>
      <c r="B7" s="8" t="s">
        <v>2</v>
      </c>
      <c r="C7" s="18">
        <v>0</v>
      </c>
      <c r="D7" s="18">
        <v>0</v>
      </c>
      <c r="E7" s="18">
        <v>-0.5</v>
      </c>
      <c r="F7" s="18">
        <v>-0.5</v>
      </c>
      <c r="G7" s="18">
        <v>0</v>
      </c>
      <c r="H7" s="18">
        <v>0.25</v>
      </c>
      <c r="I7" s="18">
        <v>-0.25</v>
      </c>
      <c r="J7" s="1"/>
      <c r="K7" s="1"/>
    </row>
    <row r="8" spans="1:11" x14ac:dyDescent="0.2">
      <c r="A8" s="8" t="s">
        <v>3</v>
      </c>
      <c r="B8" s="8" t="s">
        <v>13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"/>
      <c r="K8" s="1"/>
    </row>
    <row r="9" spans="1:11" ht="13.5" thickBot="1" x14ac:dyDescent="0.25">
      <c r="A9" s="8" t="s">
        <v>3</v>
      </c>
      <c r="B9" s="8" t="s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"/>
      <c r="K9" s="1"/>
    </row>
    <row r="10" spans="1:11" ht="13.5" thickBot="1" x14ac:dyDescent="0.25">
      <c r="B10" s="6" t="s">
        <v>57</v>
      </c>
      <c r="C10" s="5">
        <f t="shared" ref="C10:I10" si="0">(C6+C7+C8+C9)/4</f>
        <v>0</v>
      </c>
      <c r="D10" s="5">
        <f t="shared" si="0"/>
        <v>0</v>
      </c>
      <c r="E10" s="5">
        <f t="shared" si="0"/>
        <v>-0.375</v>
      </c>
      <c r="F10" s="5">
        <f t="shared" si="0"/>
        <v>-0.375</v>
      </c>
      <c r="G10" s="5">
        <f t="shared" si="0"/>
        <v>0</v>
      </c>
      <c r="H10" s="5">
        <f t="shared" si="0"/>
        <v>6.25E-2</v>
      </c>
      <c r="I10" s="22">
        <f t="shared" si="0"/>
        <v>-0.125</v>
      </c>
      <c r="J10" s="23" t="s">
        <v>60</v>
      </c>
    </row>
    <row r="11" spans="1:11" x14ac:dyDescent="0.2">
      <c r="C11" s="17"/>
      <c r="D11" s="17"/>
      <c r="E11" s="17"/>
      <c r="F11" s="17"/>
      <c r="G11" s="17"/>
      <c r="H11" s="17"/>
      <c r="I11" s="17"/>
    </row>
    <row r="12" spans="1:11" x14ac:dyDescent="0.2">
      <c r="A12" s="4" t="s">
        <v>56</v>
      </c>
    </row>
    <row r="13" spans="1:11" x14ac:dyDescent="0.2">
      <c r="A13" s="3" t="s">
        <v>28</v>
      </c>
      <c r="B13" s="3" t="s">
        <v>55</v>
      </c>
      <c r="C13" s="3" t="s">
        <v>54</v>
      </c>
      <c r="D13" s="3" t="s">
        <v>53</v>
      </c>
    </row>
    <row r="14" spans="1:11" x14ac:dyDescent="0.2">
      <c r="A14" s="8" t="s">
        <v>52</v>
      </c>
      <c r="B14" s="16">
        <f>'[1]Overall $'!G35</f>
        <v>40340928.860470004</v>
      </c>
      <c r="C14" s="16">
        <f>'[1]Restoration ($) Combined'!F47</f>
        <v>16126623.79496927</v>
      </c>
      <c r="D14" s="15">
        <f>IF(B14=0,IF(C14&gt;0,5,0),MAX(-5,MIN(5,ROUND(C14/B14*100,0))))</f>
        <v>5</v>
      </c>
    </row>
    <row r="15" spans="1:11" x14ac:dyDescent="0.2">
      <c r="A15" s="8" t="s">
        <v>51</v>
      </c>
      <c r="B15" s="16">
        <f>'[1]Overall $'!G43</f>
        <v>17546879.900060002</v>
      </c>
      <c r="C15" s="16">
        <f>'[1]Restoration ($) Combined'!H47</f>
        <v>7014512.0332382647</v>
      </c>
      <c r="D15" s="15">
        <f>IF(B15=0,IF(C15&gt;0,5,0),MAX(-5,MIN(5,ROUND(C15/B15*100,0))))</f>
        <v>5</v>
      </c>
    </row>
    <row r="16" spans="1:11" x14ac:dyDescent="0.2">
      <c r="A16" s="8" t="s">
        <v>50</v>
      </c>
      <c r="B16" s="16">
        <f>'[1]Overall $'!G51</f>
        <v>10084961.46336</v>
      </c>
      <c r="C16" s="16">
        <f>'[1]Restoration ($) Combined'!J47</f>
        <v>4031547.7134622098</v>
      </c>
      <c r="D16" s="15">
        <f>IF(B16=0,IF(C16&gt;0,5,0),MAX(-5,MIN(5,ROUND(C16/B16*100,0))))</f>
        <v>5</v>
      </c>
    </row>
    <row r="17" spans="1:10" x14ac:dyDescent="0.2">
      <c r="A17" s="8" t="s">
        <v>49</v>
      </c>
      <c r="B17" s="16">
        <f>'[1]Overall $'!G59</f>
        <v>30665344.054450002</v>
      </c>
      <c r="C17" s="16">
        <f>'[1]Restoration ($) Combined'!E47</f>
        <v>12258727.825030332</v>
      </c>
      <c r="D17" s="15">
        <f>IF(B17=0,IF(C17&gt;0,5,0),MAX(-5,MIN(5,ROUND(C17/B17*100,0))))</f>
        <v>5</v>
      </c>
    </row>
    <row r="18" spans="1:10" x14ac:dyDescent="0.2">
      <c r="A18" s="14" t="s">
        <v>48</v>
      </c>
      <c r="B18" s="14" t="s">
        <v>47</v>
      </c>
      <c r="C18" s="14" t="s">
        <v>46</v>
      </c>
      <c r="D18" s="13">
        <f>AVERAGE(D14:D17)</f>
        <v>5</v>
      </c>
    </row>
    <row r="21" spans="1:10" x14ac:dyDescent="0.2">
      <c r="A21" s="4" t="s">
        <v>45</v>
      </c>
      <c r="G21"/>
      <c r="H21"/>
    </row>
    <row r="22" spans="1:10" x14ac:dyDescent="0.2">
      <c r="A22" s="3" t="s">
        <v>30</v>
      </c>
      <c r="B22" s="3" t="s">
        <v>26</v>
      </c>
      <c r="C22" s="3" t="s">
        <v>24</v>
      </c>
      <c r="D22" s="3" t="s">
        <v>44</v>
      </c>
      <c r="E22" s="3" t="s">
        <v>43</v>
      </c>
      <c r="F22" s="3" t="s">
        <v>42</v>
      </c>
      <c r="G22"/>
      <c r="H22"/>
    </row>
    <row r="23" spans="1:10" x14ac:dyDescent="0.2">
      <c r="A23" s="8" t="s">
        <v>41</v>
      </c>
      <c r="B23" s="12">
        <f>'[1]Overall Restoration (Acres)'!Q19</f>
        <v>0</v>
      </c>
      <c r="C23" s="12">
        <f>'[1]Overall Restoration (Acres)'!Q18</f>
        <v>5</v>
      </c>
      <c r="D23" s="12">
        <f>'[1]Overall Restoration (Acres)'!Q17</f>
        <v>5</v>
      </c>
      <c r="E23" s="12">
        <f>'[1]Overall Restoration (Acres)'!Q16</f>
        <v>5</v>
      </c>
      <c r="F23" s="12">
        <f>'[1]Overall Restoration (Acres)'!Q15</f>
        <v>5</v>
      </c>
      <c r="G23"/>
      <c r="H23"/>
    </row>
    <row r="24" spans="1:10" x14ac:dyDescent="0.2">
      <c r="A24" s="8" t="s">
        <v>40</v>
      </c>
      <c r="B24" s="12">
        <f>'[1]Overall $'!R13</f>
        <v>0</v>
      </c>
      <c r="C24" s="7">
        <f>D18</f>
        <v>5</v>
      </c>
      <c r="D24" s="12">
        <f>'[1]Overall $'!O13</f>
        <v>5</v>
      </c>
      <c r="E24" s="12">
        <f>'[1]Overall $'!P13</f>
        <v>5</v>
      </c>
      <c r="F24" s="12">
        <f>'[1]Overall $'!Q13</f>
        <v>5</v>
      </c>
      <c r="G24"/>
      <c r="H24"/>
    </row>
    <row r="25" spans="1:10" x14ac:dyDescent="0.2">
      <c r="A25" s="11" t="s">
        <v>39</v>
      </c>
      <c r="B25" s="10">
        <f>(B23+B24)/2</f>
        <v>0</v>
      </c>
      <c r="C25" s="10">
        <f>(C23+C24)/2</f>
        <v>5</v>
      </c>
      <c r="D25" s="10">
        <f>(D23+D24)/2</f>
        <v>5</v>
      </c>
      <c r="E25" s="10">
        <f>(E23+E24)/2</f>
        <v>5</v>
      </c>
      <c r="F25" s="10">
        <f>(F23+F24)/2</f>
        <v>5</v>
      </c>
      <c r="G25"/>
      <c r="H25"/>
    </row>
    <row r="26" spans="1:10" x14ac:dyDescent="0.2">
      <c r="A26"/>
      <c r="B26"/>
      <c r="C26"/>
      <c r="D26"/>
      <c r="E26"/>
      <c r="F26"/>
      <c r="G26"/>
      <c r="H26"/>
    </row>
    <row r="27" spans="1:10" x14ac:dyDescent="0.2">
      <c r="A27" s="9" t="s">
        <v>38</v>
      </c>
      <c r="B27"/>
      <c r="C27"/>
      <c r="D27"/>
      <c r="E27"/>
      <c r="F27"/>
      <c r="G27"/>
      <c r="H27"/>
    </row>
    <row r="28" spans="1:10" x14ac:dyDescent="0.2">
      <c r="A28" s="4" t="s">
        <v>37</v>
      </c>
    </row>
    <row r="29" spans="1:10" ht="13.5" thickBot="1" x14ac:dyDescent="0.25">
      <c r="A29" s="4" t="s">
        <v>33</v>
      </c>
      <c r="B29" s="4" t="s">
        <v>6</v>
      </c>
    </row>
    <row r="30" spans="1:10" ht="13.5" thickBot="1" x14ac:dyDescent="0.25">
      <c r="A30" s="3" t="s">
        <v>30</v>
      </c>
      <c r="B30" s="3" t="s">
        <v>29</v>
      </c>
      <c r="C30" s="3" t="s">
        <v>26</v>
      </c>
      <c r="D30" s="3" t="s">
        <v>25</v>
      </c>
      <c r="E30" s="3" t="s">
        <v>24</v>
      </c>
      <c r="F30" s="3" t="s">
        <v>23</v>
      </c>
      <c r="G30" s="3" t="s">
        <v>22</v>
      </c>
      <c r="H30" s="3" t="s">
        <v>21</v>
      </c>
      <c r="I30" s="20" t="s">
        <v>20</v>
      </c>
      <c r="J30" s="21" t="s">
        <v>61</v>
      </c>
    </row>
    <row r="31" spans="1:10" x14ac:dyDescent="0.2">
      <c r="A31" s="8" t="s">
        <v>18</v>
      </c>
      <c r="B31" s="8" t="s">
        <v>13</v>
      </c>
      <c r="C31" s="7">
        <f>AVERAGEIFS($E$63:$E$152,$A$63:$A$152,$A31,$B$63:$B$152,$B31,$D$63:$D$152,$B$29)</f>
        <v>0</v>
      </c>
      <c r="D31" s="7">
        <f>AVERAGEIFS($F$63:$F$152,$A$63:$A$152,$A31,$B$63:$B$152,$B31,$D$63:$D$152,$B$29)</f>
        <v>0</v>
      </c>
      <c r="E31" s="7">
        <f>AVERAGEIFS($G$63:$G$152,$A$63:$A$152,$A31,$B$63:$B$152,$B31,$D$63:$D$152,$B$29)</f>
        <v>-4</v>
      </c>
      <c r="F31" s="7">
        <f>AVERAGEIFS($H$63:$H$152,$A$63:$A$152,$A31,$B$63:$B$152,$B31,$D$63:$D$152,$B$29)</f>
        <v>-4</v>
      </c>
      <c r="G31" s="7">
        <f>AVERAGEIFS($I$63:$I$152,$A$63:$A$152,$A31,$B$63:$B$152,$B31,$D$63:$D$152,$B$29)</f>
        <v>0</v>
      </c>
      <c r="H31" s="7">
        <f>AVERAGEIFS($J$63:$J$152,$A$63:$A$152,$A31,$B$63:$B$152,$B31,$D$63:$D$152,$B$29)</f>
        <v>0.75</v>
      </c>
      <c r="I31" s="7">
        <f>AVERAGEIFS($K$63:$K$152,$A$63:$A$152,$A31,$B$63:$B$152,$B31,$D$63:$D$152,$B$29)</f>
        <v>-1</v>
      </c>
    </row>
    <row r="32" spans="1:10" x14ac:dyDescent="0.2">
      <c r="A32" s="8" t="s">
        <v>18</v>
      </c>
      <c r="B32" s="8" t="s">
        <v>2</v>
      </c>
      <c r="C32" s="7">
        <f>AVERAGEIFS($E$63:$E$152,$A$63:$A$152,$A32,$B$63:$B$152,$B32,$D$63:$D$152,$B$29)</f>
        <v>0</v>
      </c>
      <c r="D32" s="7">
        <f>AVERAGEIFS($F$63:$F$152,$A$63:$A$152,$A32,$B$63:$B$152,$B32,$D$63:$D$152,$B$29)</f>
        <v>0</v>
      </c>
      <c r="E32" s="7">
        <f>AVERAGEIFS($G$63:$G$152,$A$63:$A$152,$A32,$B$63:$B$152,$B32,$D$63:$D$152,$B$29)</f>
        <v>-3.5</v>
      </c>
      <c r="F32" s="7">
        <f>AVERAGEIFS($H$63:$H$152,$A$63:$A$152,$A32,$B$63:$B$152,$B32,$D$63:$D$152,$B$29)</f>
        <v>-3.5</v>
      </c>
      <c r="G32" s="7">
        <f>AVERAGEIFS($I$63:$I$152,$A$63:$A$152,$A32,$B$63:$B$152,$B32,$D$63:$D$152,$B$29)</f>
        <v>0</v>
      </c>
      <c r="H32" s="7">
        <f>AVERAGEIFS($J$63:$J$152,$A$63:$A$152,$A32,$B$63:$B$152,$B32,$D$63:$D$152,$B$29)</f>
        <v>1</v>
      </c>
      <c r="I32" s="7">
        <f>AVERAGEIFS($K$63:$K$152,$A$63:$A$152,$A32,$B$63:$B$152,$B32,$D$63:$D$152,$B$29)</f>
        <v>-0.25</v>
      </c>
    </row>
    <row r="33" spans="1:9" x14ac:dyDescent="0.2">
      <c r="A33" s="8" t="s">
        <v>3</v>
      </c>
      <c r="B33" s="8" t="s">
        <v>13</v>
      </c>
      <c r="C33" s="7">
        <f>AVERAGEIFS($E$63:$E$152,$A$63:$A$152,$A33,$B$63:$B$152,$B33,$D$63:$D$152,$B$29)</f>
        <v>0</v>
      </c>
      <c r="D33" s="7">
        <f>AVERAGEIFS($F$63:$F$152,$A$63:$A$152,$A33,$B$63:$B$152,$B33,$D$63:$D$152,$B$29)</f>
        <v>0</v>
      </c>
      <c r="E33" s="7">
        <f>AVERAGEIFS($G$63:$G$152,$A$63:$A$152,$A33,$B$63:$B$152,$B33,$D$63:$D$152,$B$29)</f>
        <v>0.2</v>
      </c>
      <c r="F33" s="7">
        <f>AVERAGEIFS($H$63:$H$152,$A$63:$A$152,$A33,$B$63:$B$152,$B33,$D$63:$D$152,$B$29)</f>
        <v>0.2</v>
      </c>
      <c r="G33" s="7">
        <f>AVERAGEIFS($I$63:$I$152,$A$63:$A$152,$A33,$B$63:$B$152,$B33,$D$63:$D$152,$B$29)</f>
        <v>0</v>
      </c>
      <c r="H33" s="7">
        <f>AVERAGEIFS($J$63:$J$152,$A$63:$A$152,$A33,$B$63:$B$152,$B33,$D$63:$D$152,$B$29)</f>
        <v>0</v>
      </c>
      <c r="I33" s="7">
        <f>AVERAGEIFS($K$63:$K$152,$A$63:$A$152,$A33,$B$63:$B$152,$B33,$D$63:$D$152,$B$29)</f>
        <v>0</v>
      </c>
    </row>
    <row r="34" spans="1:9" x14ac:dyDescent="0.2">
      <c r="A34" s="8" t="s">
        <v>3</v>
      </c>
      <c r="B34" s="8" t="s">
        <v>2</v>
      </c>
      <c r="C34" s="7">
        <f>AVERAGEIFS($E$63:$E$152,$A$63:$A$152,$A34,$B$63:$B$152,$B34,$D$63:$D$152,$B$29)</f>
        <v>0</v>
      </c>
      <c r="D34" s="7">
        <f>AVERAGEIFS($F$63:$F$152,$A$63:$A$152,$A34,$B$63:$B$152,$B34,$D$63:$D$152,$B$29)</f>
        <v>0</v>
      </c>
      <c r="E34" s="7">
        <f>AVERAGEIFS($G$63:$G$152,$A$63:$A$152,$A34,$B$63:$B$152,$B34,$D$63:$D$152,$B$29)</f>
        <v>0</v>
      </c>
      <c r="F34" s="7">
        <f>AVERAGEIFS($H$63:$H$152,$A$63:$A$152,$A34,$B$63:$B$152,$B34,$D$63:$D$152,$B$29)</f>
        <v>0</v>
      </c>
      <c r="G34" s="7">
        <f>AVERAGEIFS($I$63:$I$152,$A$63:$A$152,$A34,$B$63:$B$152,$B34,$D$63:$D$152,$B$29)</f>
        <v>0</v>
      </c>
      <c r="H34" s="7">
        <f>AVERAGEIFS($J$63:$J$152,$A$63:$A$152,$A34,$B$63:$B$152,$B34,$D$63:$D$152,$B$29)</f>
        <v>0</v>
      </c>
      <c r="I34" s="7">
        <f>AVERAGEIFS($K$63:$K$152,$A$63:$A$152,$A34,$B$63:$B$152,$B34,$D$63:$D$152,$B$29)</f>
        <v>0</v>
      </c>
    </row>
    <row r="35" spans="1:9" x14ac:dyDescent="0.2">
      <c r="B35" s="6" t="s">
        <v>36</v>
      </c>
      <c r="C35" s="5">
        <f t="shared" ref="C35:I35" si="1">(C31+C32+C33+C34)/4</f>
        <v>0</v>
      </c>
      <c r="D35" s="5">
        <f t="shared" si="1"/>
        <v>0</v>
      </c>
      <c r="E35" s="5">
        <f t="shared" si="1"/>
        <v>-1.825</v>
      </c>
      <c r="F35" s="5">
        <f t="shared" si="1"/>
        <v>-1.825</v>
      </c>
      <c r="G35" s="5">
        <f t="shared" si="1"/>
        <v>0</v>
      </c>
      <c r="H35" s="5">
        <f t="shared" si="1"/>
        <v>0.4375</v>
      </c>
      <c r="I35" s="5">
        <f t="shared" si="1"/>
        <v>-0.3125</v>
      </c>
    </row>
    <row r="37" spans="1:9" x14ac:dyDescent="0.2">
      <c r="A37" s="4" t="s">
        <v>33</v>
      </c>
      <c r="B37" s="4" t="s">
        <v>5</v>
      </c>
    </row>
    <row r="38" spans="1:9" x14ac:dyDescent="0.2">
      <c r="A38" s="3" t="s">
        <v>30</v>
      </c>
      <c r="B38" s="3" t="s">
        <v>29</v>
      </c>
      <c r="C38" s="3" t="s">
        <v>26</v>
      </c>
      <c r="D38" s="3" t="s">
        <v>25</v>
      </c>
      <c r="E38" s="3" t="s">
        <v>24</v>
      </c>
      <c r="F38" s="3" t="s">
        <v>23</v>
      </c>
      <c r="G38" s="3" t="s">
        <v>22</v>
      </c>
      <c r="H38" s="3" t="s">
        <v>21</v>
      </c>
      <c r="I38" s="3" t="s">
        <v>20</v>
      </c>
    </row>
    <row r="39" spans="1:9" x14ac:dyDescent="0.2">
      <c r="A39" s="8" t="s">
        <v>18</v>
      </c>
      <c r="B39" s="8" t="s">
        <v>13</v>
      </c>
      <c r="C39" s="7">
        <f>AVERAGEIFS($E$63:$E$152,$A$63:$A$152,$A39,$B$63:$B$152,$B39,$D$63:$D$152,$B$37)</f>
        <v>0</v>
      </c>
      <c r="D39" s="7">
        <f>AVERAGEIFS($F$63:$F$152,$A$63:$A$152,$A39,$B$63:$B$152,$B39,$D$63:$D$152,$B$37)</f>
        <v>-0.25</v>
      </c>
      <c r="E39" s="7">
        <f>AVERAGEIFS($G$63:$G$152,$A$63:$A$152,$A39,$B$63:$B$152,$B39,$D$63:$D$152,$B$37)</f>
        <v>1</v>
      </c>
      <c r="F39" s="7">
        <f>AVERAGEIFS($H$63:$H$152,$A$63:$A$152,$A39,$B$63:$B$152,$B39,$D$63:$D$152,$B$37)</f>
        <v>1</v>
      </c>
      <c r="G39" s="7">
        <f>AVERAGEIFS($I$63:$I$152,$A$63:$A$152,$A39,$B$63:$B$152,$B39,$D$63:$D$152,$B$37)</f>
        <v>0</v>
      </c>
      <c r="H39" s="7">
        <f>AVERAGEIFS($J$63:$J$152,$A$63:$A$152,$A39,$B$63:$B$152,$B39,$D$63:$D$152,$B$37)</f>
        <v>0.25</v>
      </c>
      <c r="I39" s="7">
        <f>AVERAGEIFS($K$63:$K$152,$A$63:$A$152,$A39,$B$63:$B$152,$B39,$D$63:$D$152,$B$37)</f>
        <v>-0.5</v>
      </c>
    </row>
    <row r="40" spans="1:9" x14ac:dyDescent="0.2">
      <c r="A40" s="8" t="s">
        <v>18</v>
      </c>
      <c r="B40" s="8" t="s">
        <v>2</v>
      </c>
      <c r="C40" s="7">
        <f>AVERAGEIFS($E$63:$E$152,$A$63:$A$152,$A40,$B$63:$B$152,$B40,$D$63:$D$152,$B$37)</f>
        <v>0</v>
      </c>
      <c r="D40" s="7">
        <f>AVERAGEIFS($F$63:$F$152,$A$63:$A$152,$A40,$B$63:$B$152,$B40,$D$63:$D$152,$B$37)</f>
        <v>-0.75</v>
      </c>
      <c r="E40" s="7">
        <f>AVERAGEIFS($G$63:$G$152,$A$63:$A$152,$A40,$B$63:$B$152,$B40,$D$63:$D$152,$B$37)</f>
        <v>1.25</v>
      </c>
      <c r="F40" s="7">
        <f>AVERAGEIFS($H$63:$H$152,$A$63:$A$152,$A40,$B$63:$B$152,$B40,$D$63:$D$152,$B$37)</f>
        <v>1.25</v>
      </c>
      <c r="G40" s="7">
        <f>AVERAGEIFS($I$63:$I$152,$A$63:$A$152,$A40,$B$63:$B$152,$B40,$D$63:$D$152,$B$37)</f>
        <v>0</v>
      </c>
      <c r="H40" s="7">
        <f>AVERAGEIFS($J$63:$J$152,$A$63:$A$152,$A40,$B$63:$B$152,$B40,$D$63:$D$152,$B$37)</f>
        <v>0.75</v>
      </c>
      <c r="I40" s="7">
        <f>AVERAGEIFS($K$63:$K$152,$A$63:$A$152,$A40,$B$63:$B$152,$B40,$D$63:$D$152,$B$37)</f>
        <v>-0.75</v>
      </c>
    </row>
    <row r="41" spans="1:9" x14ac:dyDescent="0.2">
      <c r="A41" s="8" t="s">
        <v>3</v>
      </c>
      <c r="B41" s="8" t="s">
        <v>13</v>
      </c>
      <c r="C41" s="7">
        <f>AVERAGEIFS($E$63:$E$152,$A$63:$A$152,$A41,$B$63:$B$152,$B41,$D$63:$D$152,$B$37)</f>
        <v>0</v>
      </c>
      <c r="D41" s="7">
        <f>AVERAGEIFS($F$63:$F$152,$A$63:$A$152,$A41,$B$63:$B$152,$B41,$D$63:$D$152,$B$37)</f>
        <v>0</v>
      </c>
      <c r="E41" s="7">
        <f>AVERAGEIFS($G$63:$G$152,$A$63:$A$152,$A41,$B$63:$B$152,$B41,$D$63:$D$152,$B$37)</f>
        <v>0</v>
      </c>
      <c r="F41" s="7">
        <f>AVERAGEIFS($H$63:$H$152,$A$63:$A$152,$A41,$B$63:$B$152,$B41,$D$63:$D$152,$B$37)</f>
        <v>0</v>
      </c>
      <c r="G41" s="7">
        <f>AVERAGEIFS($I$63:$I$152,$A$63:$A$152,$A41,$B$63:$B$152,$B41,$D$63:$D$152,$B$37)</f>
        <v>0</v>
      </c>
      <c r="H41" s="7">
        <f>AVERAGEIFS($J$63:$J$152,$A$63:$A$152,$A41,$B$63:$B$152,$B41,$D$63:$D$152,$B$37)</f>
        <v>0</v>
      </c>
      <c r="I41" s="7">
        <f>AVERAGEIFS($K$63:$K$152,$A$63:$A$152,$A41,$B$63:$B$152,$B41,$D$63:$D$152,$B$37)</f>
        <v>-0.2</v>
      </c>
    </row>
    <row r="42" spans="1:9" x14ac:dyDescent="0.2">
      <c r="A42" s="8" t="s">
        <v>3</v>
      </c>
      <c r="B42" s="8" t="s">
        <v>2</v>
      </c>
      <c r="C42" s="7">
        <f>AVERAGEIFS($E$63:$E$152,$A$63:$A$152,$A42,$B$63:$B$152,$B42,$D$63:$D$152,$B$37)</f>
        <v>0</v>
      </c>
      <c r="D42" s="7">
        <f>AVERAGEIFS($F$63:$F$152,$A$63:$A$152,$A42,$B$63:$B$152,$B42,$D$63:$D$152,$B$37)</f>
        <v>0</v>
      </c>
      <c r="E42" s="7">
        <f>AVERAGEIFS($G$63:$G$152,$A$63:$A$152,$A42,$B$63:$B$152,$B42,$D$63:$D$152,$B$37)</f>
        <v>0</v>
      </c>
      <c r="F42" s="7">
        <f>AVERAGEIFS($H$63:$H$152,$A$63:$A$152,$A42,$B$63:$B$152,$B42,$D$63:$D$152,$B$37)</f>
        <v>0</v>
      </c>
      <c r="G42" s="7">
        <f>AVERAGEIFS($I$63:$I$152,$A$63:$A$152,$A42,$B$63:$B$152,$B42,$D$63:$D$152,$B$37)</f>
        <v>0</v>
      </c>
      <c r="H42" s="7">
        <f>AVERAGEIFS($J$63:$J$152,$A$63:$A$152,$A42,$B$63:$B$152,$B42,$D$63:$D$152,$B$37)</f>
        <v>0</v>
      </c>
      <c r="I42" s="7">
        <f>AVERAGEIFS($K$63:$K$152,$A$63:$A$152,$A42,$B$63:$B$152,$B42,$D$63:$D$152,$B$37)</f>
        <v>-0.2</v>
      </c>
    </row>
    <row r="43" spans="1:9" x14ac:dyDescent="0.2">
      <c r="B43" s="6" t="s">
        <v>35</v>
      </c>
      <c r="C43" s="5">
        <f t="shared" ref="C43:I43" si="2">(C39+C40+C41+C42)/4</f>
        <v>0</v>
      </c>
      <c r="D43" s="5">
        <f t="shared" si="2"/>
        <v>-0.25</v>
      </c>
      <c r="E43" s="5">
        <f t="shared" si="2"/>
        <v>0.5625</v>
      </c>
      <c r="F43" s="5">
        <f t="shared" si="2"/>
        <v>0.5625</v>
      </c>
      <c r="G43" s="5">
        <f t="shared" si="2"/>
        <v>0</v>
      </c>
      <c r="H43" s="5">
        <f t="shared" si="2"/>
        <v>0.25</v>
      </c>
      <c r="I43" s="5">
        <f t="shared" si="2"/>
        <v>-0.41249999999999998</v>
      </c>
    </row>
    <row r="45" spans="1:9" x14ac:dyDescent="0.2">
      <c r="A45" s="4" t="s">
        <v>33</v>
      </c>
      <c r="B45" s="4" t="s">
        <v>4</v>
      </c>
    </row>
    <row r="46" spans="1:9" x14ac:dyDescent="0.2">
      <c r="A46" s="3" t="s">
        <v>30</v>
      </c>
      <c r="B46" s="3" t="s">
        <v>29</v>
      </c>
      <c r="C46" s="3" t="s">
        <v>26</v>
      </c>
      <c r="D46" s="3" t="s">
        <v>25</v>
      </c>
      <c r="E46" s="3" t="s">
        <v>24</v>
      </c>
      <c r="F46" s="3" t="s">
        <v>23</v>
      </c>
      <c r="G46" s="3" t="s">
        <v>22</v>
      </c>
      <c r="H46" s="3" t="s">
        <v>21</v>
      </c>
      <c r="I46" s="3" t="s">
        <v>20</v>
      </c>
    </row>
    <row r="47" spans="1:9" x14ac:dyDescent="0.2">
      <c r="A47" s="8" t="s">
        <v>18</v>
      </c>
      <c r="B47" s="8" t="s">
        <v>13</v>
      </c>
      <c r="C47" s="7">
        <f>AVERAGEIFS($E$63:$E$152,$A$63:$A$152,$A47,$B$63:$B$152,$B47,$D$63:$D$152,$B$45)</f>
        <v>0</v>
      </c>
      <c r="D47" s="7">
        <f>AVERAGEIFS($F$63:$F$152,$A$63:$A$152,$A47,$B$63:$B$152,$B47,$D$63:$D$152,$B$45)</f>
        <v>0</v>
      </c>
      <c r="E47" s="7">
        <f>AVERAGEIFS($G$63:$G$152,$A$63:$A$152,$A47,$B$63:$B$152,$B47,$D$63:$D$152,$B$45)</f>
        <v>0</v>
      </c>
      <c r="F47" s="7">
        <f>AVERAGEIFS($H$63:$H$152,$A$63:$A$152,$A47,$B$63:$B$152,$B47,$D$63:$D$152,$B$45)</f>
        <v>0</v>
      </c>
      <c r="G47" s="7">
        <f>AVERAGEIFS($I$63:$I$152,$A$63:$A$152,$A47,$B$63:$B$152,$B47,$D$63:$D$152,$B$45)</f>
        <v>0</v>
      </c>
      <c r="H47" s="7">
        <f>AVERAGEIFS($J$63:$J$152,$A$63:$A$152,$A47,$B$63:$B$152,$B47,$D$63:$D$152,$B$45)</f>
        <v>0</v>
      </c>
      <c r="I47" s="7">
        <f>AVERAGEIFS($K$63:$K$152,$A$63:$A$152,$A47,$B$63:$B$152,$B47,$D$63:$D$152,$B$45)</f>
        <v>0</v>
      </c>
    </row>
    <row r="48" spans="1:9" x14ac:dyDescent="0.2">
      <c r="A48" s="8" t="s">
        <v>18</v>
      </c>
      <c r="B48" s="8" t="s">
        <v>2</v>
      </c>
      <c r="C48" s="7">
        <f>AVERAGEIFS($E$63:$E$152,$A$63:$A$152,$A48,$B$63:$B$152,$B48,$D$63:$D$152,$B$45)</f>
        <v>0</v>
      </c>
      <c r="D48" s="7">
        <f>AVERAGEIFS($F$63:$F$152,$A$63:$A$152,$A48,$B$63:$B$152,$B48,$D$63:$D$152,$B$45)</f>
        <v>0</v>
      </c>
      <c r="E48" s="7">
        <f>AVERAGEIFS($G$63:$G$152,$A$63:$A$152,$A48,$B$63:$B$152,$B48,$D$63:$D$152,$B$45)</f>
        <v>0</v>
      </c>
      <c r="F48" s="7">
        <f>AVERAGEIFS($H$63:$H$152,$A$63:$A$152,$A48,$B$63:$B$152,$B48,$D$63:$D$152,$B$45)</f>
        <v>0</v>
      </c>
      <c r="G48" s="7">
        <f>AVERAGEIFS($I$63:$I$152,$A$63:$A$152,$A48,$B$63:$B$152,$B48,$D$63:$D$152,$B$45)</f>
        <v>0</v>
      </c>
      <c r="H48" s="7">
        <f>AVERAGEIFS($J$63:$J$152,$A$63:$A$152,$A48,$B$63:$B$152,$B48,$D$63:$D$152,$B$45)</f>
        <v>0</v>
      </c>
      <c r="I48" s="7">
        <f>AVERAGEIFS($K$63:$K$152,$A$63:$A$152,$A48,$B$63:$B$152,$B48,$D$63:$D$152,$B$45)</f>
        <v>0</v>
      </c>
    </row>
    <row r="49" spans="1:11" x14ac:dyDescent="0.2">
      <c r="A49" s="8" t="s">
        <v>3</v>
      </c>
      <c r="B49" s="8" t="s">
        <v>13</v>
      </c>
      <c r="C49" s="7">
        <f>AVERAGEIFS($E$63:$E$152,$A$63:$A$152,$A49,$B$63:$B$152,$B49,$D$63:$D$152,$B$45)</f>
        <v>0</v>
      </c>
      <c r="D49" s="7">
        <f>AVERAGEIFS($F$63:$F$152,$A$63:$A$152,$A49,$B$63:$B$152,$B49,$D$63:$D$152,$B$45)</f>
        <v>0</v>
      </c>
      <c r="E49" s="7">
        <f>AVERAGEIFS($G$63:$G$152,$A$63:$A$152,$A49,$B$63:$B$152,$B49,$D$63:$D$152,$B$45)</f>
        <v>0</v>
      </c>
      <c r="F49" s="7">
        <f>AVERAGEIFS($H$63:$H$152,$A$63:$A$152,$A49,$B$63:$B$152,$B49,$D$63:$D$152,$B$45)</f>
        <v>0</v>
      </c>
      <c r="G49" s="7">
        <f>AVERAGEIFS($I$63:$I$152,$A$63:$A$152,$A49,$B$63:$B$152,$B49,$D$63:$D$152,$B$45)</f>
        <v>0</v>
      </c>
      <c r="H49" s="7">
        <f>AVERAGEIFS($J$63:$J$152,$A$63:$A$152,$A49,$B$63:$B$152,$B49,$D$63:$D$152,$B$45)</f>
        <v>0</v>
      </c>
      <c r="I49" s="7">
        <f>AVERAGEIFS($K$63:$K$152,$A$63:$A$152,$A49,$B$63:$B$152,$B49,$D$63:$D$152,$B$45)</f>
        <v>-0.2</v>
      </c>
    </row>
    <row r="50" spans="1:11" x14ac:dyDescent="0.2">
      <c r="A50" s="8" t="s">
        <v>3</v>
      </c>
      <c r="B50" s="8" t="s">
        <v>2</v>
      </c>
      <c r="C50" s="7">
        <f>AVERAGEIFS($E$63:$E$152,$A$63:$A$152,$A50,$B$63:$B$152,$B50,$D$63:$D$152,$B$45)</f>
        <v>0</v>
      </c>
      <c r="D50" s="7">
        <f>AVERAGEIFS($F$63:$F$152,$A$63:$A$152,$A50,$B$63:$B$152,$B50,$D$63:$D$152,$B$45)</f>
        <v>0</v>
      </c>
      <c r="E50" s="7">
        <f>AVERAGEIFS($G$63:$G$152,$A$63:$A$152,$A50,$B$63:$B$152,$B50,$D$63:$D$152,$B$45)</f>
        <v>0</v>
      </c>
      <c r="F50" s="7">
        <f>AVERAGEIFS($H$63:$H$152,$A$63:$A$152,$A50,$B$63:$B$152,$B50,$D$63:$D$152,$B$45)</f>
        <v>0</v>
      </c>
      <c r="G50" s="7">
        <f>AVERAGEIFS($I$63:$I$152,$A$63:$A$152,$A50,$B$63:$B$152,$B50,$D$63:$D$152,$B$45)</f>
        <v>0</v>
      </c>
      <c r="H50" s="7">
        <f>AVERAGEIFS($J$63:$J$152,$A$63:$A$152,$A50,$B$63:$B$152,$B50,$D$63:$D$152,$B$45)</f>
        <v>0</v>
      </c>
      <c r="I50" s="7">
        <f>AVERAGEIFS($K$63:$K$152,$A$63:$A$152,$A50,$B$63:$B$152,$B50,$D$63:$D$152,$B$45)</f>
        <v>-0.2</v>
      </c>
    </row>
    <row r="51" spans="1:11" x14ac:dyDescent="0.2">
      <c r="B51" s="6" t="s">
        <v>34</v>
      </c>
      <c r="C51" s="5">
        <f t="shared" ref="C51:I51" si="3">(C47+C48+C49+C50)/4</f>
        <v>0</v>
      </c>
      <c r="D51" s="5">
        <f t="shared" si="3"/>
        <v>0</v>
      </c>
      <c r="E51" s="5">
        <f t="shared" si="3"/>
        <v>0</v>
      </c>
      <c r="F51" s="5">
        <f t="shared" si="3"/>
        <v>0</v>
      </c>
      <c r="G51" s="5">
        <f t="shared" si="3"/>
        <v>0</v>
      </c>
      <c r="H51" s="5">
        <f t="shared" si="3"/>
        <v>0</v>
      </c>
      <c r="I51" s="5">
        <f t="shared" si="3"/>
        <v>-0.1</v>
      </c>
    </row>
    <row r="53" spans="1:11" x14ac:dyDescent="0.2">
      <c r="A53" s="4" t="s">
        <v>33</v>
      </c>
      <c r="B53" s="4" t="s">
        <v>0</v>
      </c>
    </row>
    <row r="54" spans="1:11" x14ac:dyDescent="0.2">
      <c r="A54" s="3" t="s">
        <v>30</v>
      </c>
      <c r="B54" s="3" t="s">
        <v>29</v>
      </c>
      <c r="C54" s="3" t="s">
        <v>26</v>
      </c>
      <c r="D54" s="3" t="s">
        <v>25</v>
      </c>
      <c r="E54" s="3" t="s">
        <v>24</v>
      </c>
      <c r="F54" s="3" t="s">
        <v>23</v>
      </c>
      <c r="G54" s="3" t="s">
        <v>22</v>
      </c>
      <c r="H54" s="3" t="s">
        <v>21</v>
      </c>
      <c r="I54" s="3" t="s">
        <v>20</v>
      </c>
    </row>
    <row r="55" spans="1:11" x14ac:dyDescent="0.2">
      <c r="A55" s="8" t="s">
        <v>18</v>
      </c>
      <c r="B55" s="8" t="s">
        <v>13</v>
      </c>
      <c r="C55" s="7">
        <f>AVERAGEIFS($E$63:$E$152,$A$63:$A$152,$A55,$B$63:$B$152,$B55,$D$63:$D$152,$B$53)</f>
        <v>0</v>
      </c>
      <c r="D55" s="7">
        <f>AVERAGEIFS($F$63:$F$152,$A$63:$A$152,$A55,$B$63:$B$152,$B55,$D$63:$D$152,$B$53)</f>
        <v>0</v>
      </c>
      <c r="E55" s="7">
        <f>AVERAGEIFS($G$63:$G$152,$A$63:$A$152,$A55,$B$63:$B$152,$B55,$D$63:$D$152,$B$53)</f>
        <v>0</v>
      </c>
      <c r="F55" s="7">
        <f>AVERAGEIFS($H$63:$H$152,$A$63:$A$152,$A55,$B$63:$B$152,$B55,$D$63:$D$152,$B$53)</f>
        <v>0</v>
      </c>
      <c r="G55" s="7">
        <f>AVERAGEIFS($I$63:$I$152,$A$63:$A$152,$A55,$B$63:$B$152,$B55,$D$63:$D$152,$B$53)</f>
        <v>0</v>
      </c>
      <c r="H55" s="7">
        <f>AVERAGEIFS($J$63:$J$152,$A$63:$A$152,$A55,$B$63:$B$152,$B55,$D$63:$D$152,$B$53)</f>
        <v>0</v>
      </c>
      <c r="I55" s="7">
        <f>AVERAGEIFS($K$63:$K$152,$A$63:$A$152,$A55,$B$63:$B$152,$B55,$D$63:$D$152,$B$53)</f>
        <v>0</v>
      </c>
    </row>
    <row r="56" spans="1:11" x14ac:dyDescent="0.2">
      <c r="A56" s="8" t="s">
        <v>18</v>
      </c>
      <c r="B56" s="8" t="s">
        <v>2</v>
      </c>
      <c r="C56" s="7">
        <f>AVERAGEIFS($E$63:$E$152,$A$63:$A$152,$A56,$B$63:$B$152,$B56,$D$63:$D$152,$B$53)</f>
        <v>0</v>
      </c>
      <c r="D56" s="7">
        <f>AVERAGEIFS($F$63:$F$152,$A$63:$A$152,$A56,$B$63:$B$152,$B56,$D$63:$D$152,$B$53)</f>
        <v>0.25</v>
      </c>
      <c r="E56" s="7">
        <f>AVERAGEIFS($G$63:$G$152,$A$63:$A$152,$A56,$B$63:$B$152,$B56,$D$63:$D$152,$B$53)</f>
        <v>0.75</v>
      </c>
      <c r="F56" s="7">
        <f>AVERAGEIFS($H$63:$H$152,$A$63:$A$152,$A56,$B$63:$B$152,$B56,$D$63:$D$152,$B$53)</f>
        <v>0.5</v>
      </c>
      <c r="G56" s="7">
        <f>AVERAGEIFS($I$63:$I$152,$A$63:$A$152,$A56,$B$63:$B$152,$B56,$D$63:$D$152,$B$53)</f>
        <v>0</v>
      </c>
      <c r="H56" s="7">
        <f>AVERAGEIFS($J$63:$J$152,$A$63:$A$152,$A56,$B$63:$B$152,$B56,$D$63:$D$152,$B$53)</f>
        <v>0</v>
      </c>
      <c r="I56" s="7">
        <f>AVERAGEIFS($K$63:$K$152,$A$63:$A$152,$A56,$B$63:$B$152,$B56,$D$63:$D$152,$B$53)</f>
        <v>0</v>
      </c>
    </row>
    <row r="57" spans="1:11" x14ac:dyDescent="0.2">
      <c r="A57" s="8" t="s">
        <v>3</v>
      </c>
      <c r="B57" s="8" t="s">
        <v>13</v>
      </c>
      <c r="C57" s="7">
        <f>AVERAGEIFS($E$63:$E$152,$A$63:$A$152,$A57,$B$63:$B$152,$B57,$D$63:$D$152,$B$53)</f>
        <v>0</v>
      </c>
      <c r="D57" s="7">
        <f>AVERAGEIFS($F$63:$F$152,$A$63:$A$152,$A57,$B$63:$B$152,$B57,$D$63:$D$152,$B$53)</f>
        <v>0</v>
      </c>
      <c r="E57" s="7">
        <f>AVERAGEIFS($G$63:$G$152,$A$63:$A$152,$A57,$B$63:$B$152,$B57,$D$63:$D$152,$B$53)</f>
        <v>0</v>
      </c>
      <c r="F57" s="7">
        <f>AVERAGEIFS($H$63:$H$152,$A$63:$A$152,$A57,$B$63:$B$152,$B57,$D$63:$D$152,$B$53)</f>
        <v>0</v>
      </c>
      <c r="G57" s="7">
        <f>AVERAGEIFS($I$63:$I$152,$A$63:$A$152,$A57,$B$63:$B$152,$B57,$D$63:$D$152,$B$53)</f>
        <v>0</v>
      </c>
      <c r="H57" s="7">
        <f>AVERAGEIFS($J$63:$J$152,$A$63:$A$152,$A57,$B$63:$B$152,$B57,$D$63:$D$152,$B$53)</f>
        <v>0</v>
      </c>
      <c r="I57" s="7">
        <f>AVERAGEIFS($K$63:$K$152,$A$63:$A$152,$A57,$B$63:$B$152,$B57,$D$63:$D$152,$B$53)</f>
        <v>0</v>
      </c>
    </row>
    <row r="58" spans="1:11" x14ac:dyDescent="0.2">
      <c r="A58" s="8" t="s">
        <v>3</v>
      </c>
      <c r="B58" s="8" t="s">
        <v>2</v>
      </c>
      <c r="C58" s="7">
        <f>AVERAGEIFS($E$63:$E$152,$A$63:$A$152,$A58,$B$63:$B$152,$B58,$D$63:$D$152,$B$53)</f>
        <v>0</v>
      </c>
      <c r="D58" s="7">
        <f>AVERAGEIFS($F$63:$F$152,$A$63:$A$152,$A58,$B$63:$B$152,$B58,$D$63:$D$152,$B$53)</f>
        <v>0</v>
      </c>
      <c r="E58" s="7">
        <f>AVERAGEIFS($G$63:$G$152,$A$63:$A$152,$A58,$B$63:$B$152,$B58,$D$63:$D$152,$B$53)</f>
        <v>0</v>
      </c>
      <c r="F58" s="7">
        <f>AVERAGEIFS($H$63:$H$152,$A$63:$A$152,$A58,$B$63:$B$152,$B58,$D$63:$D$152,$B$53)</f>
        <v>0</v>
      </c>
      <c r="G58" s="7">
        <f>AVERAGEIFS($I$63:$I$152,$A$63:$A$152,$A58,$B$63:$B$152,$B58,$D$63:$D$152,$B$53)</f>
        <v>0</v>
      </c>
      <c r="H58" s="7">
        <f>AVERAGEIFS($J$63:$J$152,$A$63:$A$152,$A58,$B$63:$B$152,$B58,$D$63:$D$152,$B$53)</f>
        <v>0</v>
      </c>
      <c r="I58" s="7">
        <f>AVERAGEIFS($K$63:$K$152,$A$63:$A$152,$A58,$B$63:$B$152,$B58,$D$63:$D$152,$B$53)</f>
        <v>0</v>
      </c>
    </row>
    <row r="59" spans="1:11" x14ac:dyDescent="0.2">
      <c r="B59" s="6" t="s">
        <v>32</v>
      </c>
      <c r="C59" s="5">
        <f t="shared" ref="C59:I59" si="4">(C55+C56+C57+C58)/4</f>
        <v>0</v>
      </c>
      <c r="D59" s="5">
        <f t="shared" si="4"/>
        <v>6.25E-2</v>
      </c>
      <c r="E59" s="5">
        <f t="shared" si="4"/>
        <v>0.1875</v>
      </c>
      <c r="F59" s="5">
        <f t="shared" si="4"/>
        <v>0.125</v>
      </c>
      <c r="G59" s="5">
        <f t="shared" si="4"/>
        <v>0</v>
      </c>
      <c r="H59" s="5">
        <f t="shared" si="4"/>
        <v>0</v>
      </c>
      <c r="I59" s="5">
        <f t="shared" si="4"/>
        <v>0</v>
      </c>
    </row>
    <row r="61" spans="1:11" x14ac:dyDescent="0.2">
      <c r="A61" s="4" t="s">
        <v>31</v>
      </c>
    </row>
    <row r="62" spans="1:11" x14ac:dyDescent="0.2">
      <c r="A62" s="3" t="s">
        <v>30</v>
      </c>
      <c r="B62" s="3" t="s">
        <v>29</v>
      </c>
      <c r="C62" s="3" t="s">
        <v>28</v>
      </c>
      <c r="D62" s="3" t="s">
        <v>27</v>
      </c>
      <c r="E62" s="3" t="s">
        <v>26</v>
      </c>
      <c r="F62" s="3" t="s">
        <v>25</v>
      </c>
      <c r="G62" s="3" t="s">
        <v>24</v>
      </c>
      <c r="H62" s="3" t="s">
        <v>23</v>
      </c>
      <c r="I62" s="3" t="s">
        <v>22</v>
      </c>
      <c r="J62" s="3" t="s">
        <v>21</v>
      </c>
      <c r="K62" s="3" t="s">
        <v>20</v>
      </c>
    </row>
    <row r="63" spans="1:11" x14ac:dyDescent="0.2">
      <c r="A63" s="1" t="s">
        <v>18</v>
      </c>
      <c r="B63" s="1" t="s">
        <v>13</v>
      </c>
      <c r="C63" s="1" t="s">
        <v>19</v>
      </c>
      <c r="D63" s="1" t="s">
        <v>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">
      <c r="A64" s="1" t="s">
        <v>18</v>
      </c>
      <c r="B64" s="1" t="s">
        <v>13</v>
      </c>
      <c r="C64" s="1" t="s">
        <v>19</v>
      </c>
      <c r="D64" s="1" t="s">
        <v>6</v>
      </c>
      <c r="E64" s="2">
        <v>0</v>
      </c>
      <c r="F64" s="2">
        <v>0</v>
      </c>
      <c r="G64" s="2">
        <v>-2</v>
      </c>
      <c r="H64" s="2">
        <v>-2</v>
      </c>
      <c r="I64" s="2">
        <v>0</v>
      </c>
      <c r="J64" s="2">
        <v>1</v>
      </c>
      <c r="K64" s="2">
        <v>-1</v>
      </c>
    </row>
    <row r="65" spans="1:11" x14ac:dyDescent="0.2">
      <c r="A65" s="1" t="s">
        <v>18</v>
      </c>
      <c r="B65" s="1" t="s">
        <v>13</v>
      </c>
      <c r="C65" s="1" t="s">
        <v>19</v>
      </c>
      <c r="D65" s="1" t="s">
        <v>5</v>
      </c>
      <c r="E65" s="2">
        <v>0</v>
      </c>
      <c r="F65" s="2">
        <v>-1</v>
      </c>
      <c r="G65" s="2">
        <v>2</v>
      </c>
      <c r="H65" s="2">
        <v>2</v>
      </c>
      <c r="I65" s="2">
        <v>0</v>
      </c>
      <c r="J65" s="2">
        <v>1</v>
      </c>
      <c r="K65" s="2">
        <v>-1</v>
      </c>
    </row>
    <row r="66" spans="1:11" x14ac:dyDescent="0.2">
      <c r="A66" s="1" t="s">
        <v>18</v>
      </c>
      <c r="B66" s="1" t="s">
        <v>13</v>
      </c>
      <c r="C66" s="1" t="s">
        <v>19</v>
      </c>
      <c r="D66" s="1" t="s">
        <v>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">
      <c r="A67" s="1" t="s">
        <v>18</v>
      </c>
      <c r="B67" s="1" t="s">
        <v>13</v>
      </c>
      <c r="C67" s="1" t="s">
        <v>19</v>
      </c>
      <c r="D67" s="1" t="s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">
      <c r="A68" s="1" t="s">
        <v>18</v>
      </c>
      <c r="B68" s="1" t="s">
        <v>13</v>
      </c>
      <c r="C68" s="1" t="s">
        <v>10</v>
      </c>
      <c r="D68" s="1" t="s">
        <v>7</v>
      </c>
      <c r="E68" s="2">
        <v>0</v>
      </c>
      <c r="F68" s="2">
        <v>0</v>
      </c>
      <c r="G68" s="2">
        <v>-1</v>
      </c>
      <c r="H68" s="2">
        <v>-1</v>
      </c>
      <c r="I68" s="2">
        <v>0</v>
      </c>
      <c r="J68" s="2">
        <v>0</v>
      </c>
      <c r="K68" s="2">
        <v>-1</v>
      </c>
    </row>
    <row r="69" spans="1:11" x14ac:dyDescent="0.2">
      <c r="A69" s="1" t="s">
        <v>18</v>
      </c>
      <c r="B69" s="1" t="s">
        <v>13</v>
      </c>
      <c r="C69" s="1" t="s">
        <v>10</v>
      </c>
      <c r="D69" s="1" t="s">
        <v>6</v>
      </c>
      <c r="E69" s="2">
        <v>0</v>
      </c>
      <c r="F69" s="2">
        <v>0</v>
      </c>
      <c r="G69" s="2">
        <v>-5</v>
      </c>
      <c r="H69" s="2">
        <v>-5</v>
      </c>
      <c r="I69" s="2">
        <v>0</v>
      </c>
      <c r="J69" s="2">
        <v>0</v>
      </c>
      <c r="K69" s="2">
        <v>-2</v>
      </c>
    </row>
    <row r="70" spans="1:11" x14ac:dyDescent="0.2">
      <c r="A70" s="1" t="s">
        <v>18</v>
      </c>
      <c r="B70" s="1" t="s">
        <v>13</v>
      </c>
      <c r="C70" s="1" t="s">
        <v>10</v>
      </c>
      <c r="D70" s="1" t="s">
        <v>5</v>
      </c>
      <c r="E70" s="2">
        <v>0</v>
      </c>
      <c r="F70" s="2">
        <v>0</v>
      </c>
      <c r="G70" s="2">
        <v>1</v>
      </c>
      <c r="H70" s="2">
        <v>1</v>
      </c>
      <c r="I70" s="2">
        <v>0</v>
      </c>
      <c r="J70" s="2">
        <v>0</v>
      </c>
      <c r="K70" s="2">
        <v>-1</v>
      </c>
    </row>
    <row r="71" spans="1:11" x14ac:dyDescent="0.2">
      <c r="A71" s="1" t="s">
        <v>18</v>
      </c>
      <c r="B71" s="1" t="s">
        <v>13</v>
      </c>
      <c r="C71" s="1" t="s">
        <v>10</v>
      </c>
      <c r="D71" s="1" t="s">
        <v>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2">
      <c r="A72" s="1" t="s">
        <v>18</v>
      </c>
      <c r="B72" s="1" t="s">
        <v>13</v>
      </c>
      <c r="C72" s="1" t="s">
        <v>10</v>
      </c>
      <c r="D72" s="1" t="s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">
      <c r="A73" s="1" t="s">
        <v>18</v>
      </c>
      <c r="B73" s="1" t="s">
        <v>13</v>
      </c>
      <c r="C73" s="1" t="s">
        <v>9</v>
      </c>
      <c r="D73" s="1" t="s">
        <v>7</v>
      </c>
      <c r="E73" s="2">
        <v>0</v>
      </c>
      <c r="F73" s="2">
        <v>0</v>
      </c>
      <c r="G73" s="2">
        <v>-1</v>
      </c>
      <c r="H73" s="2">
        <v>-1</v>
      </c>
      <c r="I73" s="2">
        <v>0</v>
      </c>
      <c r="J73" s="2">
        <v>0</v>
      </c>
      <c r="K73" s="2">
        <v>0</v>
      </c>
    </row>
    <row r="74" spans="1:11" x14ac:dyDescent="0.2">
      <c r="A74" s="1" t="s">
        <v>18</v>
      </c>
      <c r="B74" s="1" t="s">
        <v>13</v>
      </c>
      <c r="C74" s="1" t="s">
        <v>9</v>
      </c>
      <c r="D74" s="1" t="s">
        <v>6</v>
      </c>
      <c r="E74" s="2">
        <v>0</v>
      </c>
      <c r="F74" s="2">
        <v>0</v>
      </c>
      <c r="G74" s="2">
        <v>-4</v>
      </c>
      <c r="H74" s="2">
        <v>-4</v>
      </c>
      <c r="I74" s="2">
        <v>0</v>
      </c>
      <c r="J74" s="2">
        <v>1</v>
      </c>
      <c r="K74" s="2">
        <v>-1</v>
      </c>
    </row>
    <row r="75" spans="1:11" x14ac:dyDescent="0.2">
      <c r="A75" s="1" t="s">
        <v>18</v>
      </c>
      <c r="B75" s="1" t="s">
        <v>13</v>
      </c>
      <c r="C75" s="1" t="s">
        <v>9</v>
      </c>
      <c r="D75" s="1" t="s">
        <v>5</v>
      </c>
      <c r="E75" s="2">
        <v>0</v>
      </c>
      <c r="F75" s="2">
        <v>0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</row>
    <row r="76" spans="1:11" x14ac:dyDescent="0.2">
      <c r="A76" s="1" t="s">
        <v>18</v>
      </c>
      <c r="B76" s="1" t="s">
        <v>13</v>
      </c>
      <c r="C76" s="1" t="s">
        <v>9</v>
      </c>
      <c r="D76" s="1" t="s">
        <v>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">
      <c r="A77" s="1" t="s">
        <v>18</v>
      </c>
      <c r="B77" s="1" t="s">
        <v>13</v>
      </c>
      <c r="C77" s="1" t="s">
        <v>9</v>
      </c>
      <c r="D77" s="1" t="s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">
      <c r="A78" s="1" t="s">
        <v>18</v>
      </c>
      <c r="B78" s="1" t="s">
        <v>13</v>
      </c>
      <c r="C78" s="1" t="s">
        <v>8</v>
      </c>
      <c r="D78" s="1" t="s">
        <v>7</v>
      </c>
      <c r="E78" s="2">
        <v>0</v>
      </c>
      <c r="F78" s="2">
        <v>0</v>
      </c>
      <c r="G78" s="2">
        <v>-2</v>
      </c>
      <c r="H78" s="2">
        <v>-2</v>
      </c>
      <c r="I78" s="2">
        <v>0</v>
      </c>
      <c r="J78" s="2">
        <v>0</v>
      </c>
      <c r="K78" s="2">
        <v>0</v>
      </c>
    </row>
    <row r="79" spans="1:11" x14ac:dyDescent="0.2">
      <c r="A79" s="1" t="s">
        <v>18</v>
      </c>
      <c r="B79" s="1" t="s">
        <v>13</v>
      </c>
      <c r="C79" s="1" t="s">
        <v>8</v>
      </c>
      <c r="D79" s="1" t="s">
        <v>6</v>
      </c>
      <c r="E79" s="2">
        <v>0</v>
      </c>
      <c r="F79" s="2">
        <v>0</v>
      </c>
      <c r="G79" s="2">
        <v>-5</v>
      </c>
      <c r="H79" s="2">
        <v>-5</v>
      </c>
      <c r="I79" s="2">
        <v>0</v>
      </c>
      <c r="J79" s="2">
        <v>1</v>
      </c>
      <c r="K79" s="2">
        <v>0</v>
      </c>
    </row>
    <row r="80" spans="1:11" x14ac:dyDescent="0.2">
      <c r="A80" s="1" t="s">
        <v>18</v>
      </c>
      <c r="B80" s="1" t="s">
        <v>13</v>
      </c>
      <c r="C80" s="1" t="s">
        <v>8</v>
      </c>
      <c r="D80" s="1" t="s">
        <v>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">
      <c r="A81" s="1" t="s">
        <v>18</v>
      </c>
      <c r="B81" s="1" t="s">
        <v>13</v>
      </c>
      <c r="C81" s="1" t="s">
        <v>8</v>
      </c>
      <c r="D81" s="1" t="s">
        <v>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2">
      <c r="A82" s="1" t="s">
        <v>18</v>
      </c>
      <c r="B82" s="1" t="s">
        <v>13</v>
      </c>
      <c r="C82" s="1" t="s">
        <v>8</v>
      </c>
      <c r="D82" s="1" t="s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">
      <c r="A83" s="1" t="s">
        <v>18</v>
      </c>
      <c r="B83" s="1" t="s">
        <v>2</v>
      </c>
      <c r="C83" s="1" t="s">
        <v>19</v>
      </c>
      <c r="D83" s="1" t="s">
        <v>7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-1</v>
      </c>
    </row>
    <row r="84" spans="1:11" x14ac:dyDescent="0.2">
      <c r="A84" s="1" t="s">
        <v>18</v>
      </c>
      <c r="B84" s="1" t="s">
        <v>2</v>
      </c>
      <c r="C84" s="1" t="s">
        <v>19</v>
      </c>
      <c r="D84" s="1" t="s">
        <v>6</v>
      </c>
      <c r="E84" s="2">
        <v>0</v>
      </c>
      <c r="F84" s="2">
        <v>0</v>
      </c>
      <c r="G84" s="2">
        <v>-2</v>
      </c>
      <c r="H84" s="2">
        <v>-2</v>
      </c>
      <c r="I84" s="2">
        <v>0</v>
      </c>
      <c r="J84" s="2">
        <v>1</v>
      </c>
      <c r="K84" s="2">
        <v>-1</v>
      </c>
    </row>
    <row r="85" spans="1:11" x14ac:dyDescent="0.2">
      <c r="A85" s="1" t="s">
        <v>18</v>
      </c>
      <c r="B85" s="1" t="s">
        <v>2</v>
      </c>
      <c r="C85" s="1" t="s">
        <v>19</v>
      </c>
      <c r="D85" s="1" t="s">
        <v>5</v>
      </c>
      <c r="E85" s="2">
        <v>0</v>
      </c>
      <c r="F85" s="2">
        <v>-3</v>
      </c>
      <c r="G85" s="2">
        <v>0</v>
      </c>
      <c r="H85" s="2">
        <v>0</v>
      </c>
      <c r="I85" s="2">
        <v>0</v>
      </c>
      <c r="J85" s="2">
        <v>2</v>
      </c>
      <c r="K85" s="2">
        <v>-1</v>
      </c>
    </row>
    <row r="86" spans="1:11" x14ac:dyDescent="0.2">
      <c r="A86" s="1" t="s">
        <v>18</v>
      </c>
      <c r="B86" s="1" t="s">
        <v>2</v>
      </c>
      <c r="C86" s="1" t="s">
        <v>19</v>
      </c>
      <c r="D86" s="1" t="s">
        <v>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">
      <c r="A87" s="1" t="s">
        <v>18</v>
      </c>
      <c r="B87" s="1" t="s">
        <v>2</v>
      </c>
      <c r="C87" s="1" t="s">
        <v>19</v>
      </c>
      <c r="D87" s="1" t="s">
        <v>0</v>
      </c>
      <c r="E87" s="2">
        <v>0</v>
      </c>
      <c r="F87" s="2">
        <v>1</v>
      </c>
      <c r="G87" s="2">
        <v>3</v>
      </c>
      <c r="H87" s="2">
        <v>2</v>
      </c>
      <c r="I87" s="2">
        <v>0</v>
      </c>
      <c r="J87" s="2">
        <v>0</v>
      </c>
      <c r="K87" s="2">
        <v>0</v>
      </c>
    </row>
    <row r="88" spans="1:11" x14ac:dyDescent="0.2">
      <c r="A88" s="1" t="s">
        <v>18</v>
      </c>
      <c r="B88" s="1" t="s">
        <v>2</v>
      </c>
      <c r="C88" s="1" t="s">
        <v>10</v>
      </c>
      <c r="D88" s="1" t="s">
        <v>7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">
      <c r="A89" s="1" t="s">
        <v>18</v>
      </c>
      <c r="B89" s="1" t="s">
        <v>2</v>
      </c>
      <c r="C89" s="1" t="s">
        <v>10</v>
      </c>
      <c r="D89" s="1" t="s">
        <v>6</v>
      </c>
      <c r="E89" s="2">
        <v>0</v>
      </c>
      <c r="F89" s="2">
        <v>0</v>
      </c>
      <c r="G89" s="2">
        <v>-4</v>
      </c>
      <c r="H89" s="2">
        <v>-4</v>
      </c>
      <c r="I89" s="2">
        <v>0</v>
      </c>
      <c r="J89" s="2">
        <v>1</v>
      </c>
      <c r="K89" s="2">
        <v>0</v>
      </c>
    </row>
    <row r="90" spans="1:11" x14ac:dyDescent="0.2">
      <c r="A90" s="1" t="s">
        <v>18</v>
      </c>
      <c r="B90" s="1" t="s">
        <v>2</v>
      </c>
      <c r="C90" s="1" t="s">
        <v>10</v>
      </c>
      <c r="D90" s="1" t="s">
        <v>5</v>
      </c>
      <c r="E90" s="2">
        <v>0</v>
      </c>
      <c r="F90" s="2">
        <v>0</v>
      </c>
      <c r="G90" s="2">
        <v>3</v>
      </c>
      <c r="H90" s="2">
        <v>3</v>
      </c>
      <c r="I90" s="2">
        <v>0</v>
      </c>
      <c r="J90" s="2">
        <v>1</v>
      </c>
      <c r="K90" s="2">
        <v>-1</v>
      </c>
    </row>
    <row r="91" spans="1:11" x14ac:dyDescent="0.2">
      <c r="A91" s="1" t="s">
        <v>18</v>
      </c>
      <c r="B91" s="1" t="s">
        <v>2</v>
      </c>
      <c r="C91" s="1" t="s">
        <v>10</v>
      </c>
      <c r="D91" s="1" t="s">
        <v>4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">
      <c r="A92" s="1" t="s">
        <v>18</v>
      </c>
      <c r="B92" s="1" t="s">
        <v>2</v>
      </c>
      <c r="C92" s="1" t="s">
        <v>10</v>
      </c>
      <c r="D92" s="1" t="s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">
      <c r="A93" s="1" t="s">
        <v>18</v>
      </c>
      <c r="B93" s="1" t="s">
        <v>2</v>
      </c>
      <c r="C93" s="1" t="s">
        <v>9</v>
      </c>
      <c r="D93" s="1" t="s">
        <v>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">
      <c r="A94" s="1" t="s">
        <v>18</v>
      </c>
      <c r="B94" s="1" t="s">
        <v>2</v>
      </c>
      <c r="C94" s="1" t="s">
        <v>9</v>
      </c>
      <c r="D94" s="1" t="s">
        <v>6</v>
      </c>
      <c r="E94" s="2">
        <v>0</v>
      </c>
      <c r="F94" s="2">
        <v>0</v>
      </c>
      <c r="G94" s="2">
        <v>-3</v>
      </c>
      <c r="H94" s="2">
        <v>-3</v>
      </c>
      <c r="I94" s="2">
        <v>0</v>
      </c>
      <c r="J94" s="2">
        <v>1</v>
      </c>
      <c r="K94" s="2">
        <v>0</v>
      </c>
    </row>
    <row r="95" spans="1:11" x14ac:dyDescent="0.2">
      <c r="A95" s="1" t="s">
        <v>18</v>
      </c>
      <c r="B95" s="1" t="s">
        <v>2</v>
      </c>
      <c r="C95" s="1" t="s">
        <v>9</v>
      </c>
      <c r="D95" s="1" t="s">
        <v>5</v>
      </c>
      <c r="E95" s="2">
        <v>0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>
        <v>0</v>
      </c>
    </row>
    <row r="96" spans="1:11" x14ac:dyDescent="0.2">
      <c r="A96" s="1" t="s">
        <v>18</v>
      </c>
      <c r="B96" s="1" t="s">
        <v>2</v>
      </c>
      <c r="C96" s="1" t="s">
        <v>9</v>
      </c>
      <c r="D96" s="1" t="s">
        <v>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">
      <c r="A97" s="1" t="s">
        <v>18</v>
      </c>
      <c r="B97" s="1" t="s">
        <v>2</v>
      </c>
      <c r="C97" s="1" t="s">
        <v>9</v>
      </c>
      <c r="D97" s="1" t="s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">
      <c r="A98" s="1" t="s">
        <v>18</v>
      </c>
      <c r="B98" s="1" t="s">
        <v>2</v>
      </c>
      <c r="C98" s="1" t="s">
        <v>8</v>
      </c>
      <c r="D98" s="1" t="s">
        <v>7</v>
      </c>
      <c r="E98" s="2">
        <v>0</v>
      </c>
      <c r="F98" s="2">
        <v>0</v>
      </c>
      <c r="G98" s="2">
        <v>-2</v>
      </c>
      <c r="H98" s="2">
        <v>-2</v>
      </c>
      <c r="I98" s="2">
        <v>0</v>
      </c>
      <c r="J98" s="2">
        <v>0</v>
      </c>
      <c r="K98" s="2">
        <v>0</v>
      </c>
    </row>
    <row r="99" spans="1:11" x14ac:dyDescent="0.2">
      <c r="A99" s="1" t="s">
        <v>18</v>
      </c>
      <c r="B99" s="1" t="s">
        <v>2</v>
      </c>
      <c r="C99" s="1" t="s">
        <v>8</v>
      </c>
      <c r="D99" s="1" t="s">
        <v>6</v>
      </c>
      <c r="E99" s="2">
        <v>0</v>
      </c>
      <c r="F99" s="2">
        <v>0</v>
      </c>
      <c r="G99" s="2">
        <v>-5</v>
      </c>
      <c r="H99" s="2">
        <v>-5</v>
      </c>
      <c r="I99" s="2">
        <v>0</v>
      </c>
      <c r="J99" s="2">
        <v>1</v>
      </c>
      <c r="K99" s="2">
        <v>0</v>
      </c>
    </row>
    <row r="100" spans="1:11" x14ac:dyDescent="0.2">
      <c r="A100" s="1" t="s">
        <v>18</v>
      </c>
      <c r="B100" s="1" t="s">
        <v>2</v>
      </c>
      <c r="C100" s="1" t="s">
        <v>8</v>
      </c>
      <c r="D100" s="1" t="s">
        <v>5</v>
      </c>
      <c r="E100" s="2">
        <v>0</v>
      </c>
      <c r="F100" s="2">
        <v>0</v>
      </c>
      <c r="G100" s="2">
        <v>1</v>
      </c>
      <c r="H100" s="2">
        <v>1</v>
      </c>
      <c r="I100" s="2">
        <v>0</v>
      </c>
      <c r="J100" s="2">
        <v>0</v>
      </c>
      <c r="K100" s="2">
        <v>-1</v>
      </c>
    </row>
    <row r="101" spans="1:11" x14ac:dyDescent="0.2">
      <c r="A101" s="1" t="s">
        <v>18</v>
      </c>
      <c r="B101" s="1" t="s">
        <v>2</v>
      </c>
      <c r="C101" s="1" t="s">
        <v>8</v>
      </c>
      <c r="D101" s="1" t="s">
        <v>4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">
      <c r="A102" s="1" t="s">
        <v>18</v>
      </c>
      <c r="B102" s="1" t="s">
        <v>2</v>
      </c>
      <c r="C102" s="1" t="s">
        <v>8</v>
      </c>
      <c r="D102" s="1" t="s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">
      <c r="A103" s="1" t="s">
        <v>3</v>
      </c>
      <c r="B103" s="1" t="s">
        <v>13</v>
      </c>
      <c r="C103" s="1" t="s">
        <v>17</v>
      </c>
      <c r="D103" s="1" t="s">
        <v>7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">
      <c r="A104" s="1" t="s">
        <v>3</v>
      </c>
      <c r="B104" s="1" t="s">
        <v>13</v>
      </c>
      <c r="C104" s="1" t="s">
        <v>17</v>
      </c>
      <c r="D104" s="1" t="s">
        <v>6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">
      <c r="A105" s="1" t="s">
        <v>3</v>
      </c>
      <c r="B105" s="1" t="s">
        <v>13</v>
      </c>
      <c r="C105" s="1" t="s">
        <v>17</v>
      </c>
      <c r="D105" s="1" t="s">
        <v>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2">
      <c r="A106" s="1" t="s">
        <v>3</v>
      </c>
      <c r="B106" s="1" t="s">
        <v>13</v>
      </c>
      <c r="C106" s="1" t="s">
        <v>17</v>
      </c>
      <c r="D106" s="1" t="s">
        <v>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">
      <c r="A107" s="1" t="s">
        <v>3</v>
      </c>
      <c r="B107" s="1" t="s">
        <v>13</v>
      </c>
      <c r="C107" s="1" t="s">
        <v>17</v>
      </c>
      <c r="D107" s="1" t="s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">
      <c r="A108" s="1" t="s">
        <v>3</v>
      </c>
      <c r="B108" s="1" t="s">
        <v>13</v>
      </c>
      <c r="C108" s="1" t="s">
        <v>16</v>
      </c>
      <c r="D108" s="1" t="s">
        <v>7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">
      <c r="A109" s="1" t="s">
        <v>3</v>
      </c>
      <c r="B109" s="1" t="s">
        <v>13</v>
      </c>
      <c r="C109" s="1" t="s">
        <v>16</v>
      </c>
      <c r="D109" s="1" t="s">
        <v>6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2">
      <c r="A110" s="1" t="s">
        <v>3</v>
      </c>
      <c r="B110" s="1" t="s">
        <v>13</v>
      </c>
      <c r="C110" s="1" t="s">
        <v>16</v>
      </c>
      <c r="D110" s="1" t="s">
        <v>5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">
      <c r="A111" s="1" t="s">
        <v>3</v>
      </c>
      <c r="B111" s="1" t="s">
        <v>13</v>
      </c>
      <c r="C111" s="1" t="s">
        <v>16</v>
      </c>
      <c r="D111" s="1" t="s">
        <v>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2">
      <c r="A112" s="1" t="s">
        <v>3</v>
      </c>
      <c r="B112" s="1" t="s">
        <v>13</v>
      </c>
      <c r="C112" s="1" t="s">
        <v>16</v>
      </c>
      <c r="D112" s="1" t="s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">
      <c r="A113" s="1" t="s">
        <v>3</v>
      </c>
      <c r="B113" s="1" t="s">
        <v>13</v>
      </c>
      <c r="C113" s="1" t="s">
        <v>15</v>
      </c>
      <c r="D113" s="1" t="s">
        <v>7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2">
      <c r="A114" s="1" t="s">
        <v>3</v>
      </c>
      <c r="B114" s="1" t="s">
        <v>13</v>
      </c>
      <c r="C114" s="1" t="s">
        <v>15</v>
      </c>
      <c r="D114" s="1" t="s">
        <v>6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">
      <c r="A115" s="1" t="s">
        <v>3</v>
      </c>
      <c r="B115" s="1" t="s">
        <v>13</v>
      </c>
      <c r="C115" s="1" t="s">
        <v>15</v>
      </c>
      <c r="D115" s="1" t="s">
        <v>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-1</v>
      </c>
    </row>
    <row r="116" spans="1:11" x14ac:dyDescent="0.2">
      <c r="A116" s="1" t="s">
        <v>3</v>
      </c>
      <c r="B116" s="1" t="s">
        <v>13</v>
      </c>
      <c r="C116" s="1" t="s">
        <v>15</v>
      </c>
      <c r="D116" s="1" t="s">
        <v>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-1</v>
      </c>
    </row>
    <row r="117" spans="1:11" x14ac:dyDescent="0.2">
      <c r="A117" s="1" t="s">
        <v>3</v>
      </c>
      <c r="B117" s="1" t="s">
        <v>13</v>
      </c>
      <c r="C117" s="1" t="s">
        <v>15</v>
      </c>
      <c r="D117" s="1" t="s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">
      <c r="A118" s="1" t="s">
        <v>3</v>
      </c>
      <c r="B118" s="1" t="s">
        <v>13</v>
      </c>
      <c r="C118" s="1" t="s">
        <v>14</v>
      </c>
      <c r="D118" s="1" t="s">
        <v>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">
      <c r="A119" s="1" t="s">
        <v>3</v>
      </c>
      <c r="B119" s="1" t="s">
        <v>13</v>
      </c>
      <c r="C119" s="1" t="s">
        <v>14</v>
      </c>
      <c r="D119" s="1" t="s">
        <v>6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">
      <c r="A120" s="1" t="s">
        <v>3</v>
      </c>
      <c r="B120" s="1" t="s">
        <v>13</v>
      </c>
      <c r="C120" s="1" t="s">
        <v>14</v>
      </c>
      <c r="D120" s="1" t="s">
        <v>5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">
      <c r="A121" s="1" t="s">
        <v>3</v>
      </c>
      <c r="B121" s="1" t="s">
        <v>13</v>
      </c>
      <c r="C121" s="1" t="s">
        <v>14</v>
      </c>
      <c r="D121" s="1" t="s">
        <v>4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">
      <c r="A122" s="1" t="s">
        <v>3</v>
      </c>
      <c r="B122" s="1" t="s">
        <v>13</v>
      </c>
      <c r="C122" s="1" t="s">
        <v>14</v>
      </c>
      <c r="D122" s="1" t="s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">
      <c r="A123" s="1" t="s">
        <v>3</v>
      </c>
      <c r="B123" s="1" t="s">
        <v>13</v>
      </c>
      <c r="C123" s="1" t="s">
        <v>12</v>
      </c>
      <c r="D123" s="1" t="s">
        <v>7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">
      <c r="A124" s="1" t="s">
        <v>3</v>
      </c>
      <c r="B124" s="1" t="s">
        <v>13</v>
      </c>
      <c r="C124" s="1" t="s">
        <v>12</v>
      </c>
      <c r="D124" s="1" t="s">
        <v>6</v>
      </c>
      <c r="E124" s="2">
        <v>0</v>
      </c>
      <c r="F124" s="2">
        <v>0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</row>
    <row r="125" spans="1:11" x14ac:dyDescent="0.2">
      <c r="A125" s="1" t="s">
        <v>3</v>
      </c>
      <c r="B125" s="1" t="s">
        <v>13</v>
      </c>
      <c r="C125" s="1" t="s">
        <v>12</v>
      </c>
      <c r="D125" s="1" t="s">
        <v>5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">
      <c r="A126" s="1" t="s">
        <v>3</v>
      </c>
      <c r="B126" s="1" t="s">
        <v>13</v>
      </c>
      <c r="C126" s="1" t="s">
        <v>12</v>
      </c>
      <c r="D126" s="1" t="s">
        <v>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">
      <c r="A127" s="1" t="s">
        <v>3</v>
      </c>
      <c r="B127" s="1" t="s">
        <v>13</v>
      </c>
      <c r="C127" s="1" t="s">
        <v>12</v>
      </c>
      <c r="D127" s="1" t="s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">
      <c r="A128" s="1" t="s">
        <v>3</v>
      </c>
      <c r="B128" s="1" t="s">
        <v>2</v>
      </c>
      <c r="C128" s="1" t="s">
        <v>11</v>
      </c>
      <c r="D128" s="1" t="s">
        <v>7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2">
      <c r="A129" s="1" t="s">
        <v>3</v>
      </c>
      <c r="B129" s="1" t="s">
        <v>2</v>
      </c>
      <c r="C129" s="1" t="s">
        <v>11</v>
      </c>
      <c r="D129" s="1" t="s">
        <v>6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2">
      <c r="A130" s="1" t="s">
        <v>3</v>
      </c>
      <c r="B130" s="1" t="s">
        <v>2</v>
      </c>
      <c r="C130" s="1" t="s">
        <v>11</v>
      </c>
      <c r="D130" s="1" t="s">
        <v>5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">
      <c r="A131" s="1" t="s">
        <v>3</v>
      </c>
      <c r="B131" s="1" t="s">
        <v>2</v>
      </c>
      <c r="C131" s="1" t="s">
        <v>11</v>
      </c>
      <c r="D131" s="1" t="s">
        <v>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">
      <c r="A132" s="1" t="s">
        <v>3</v>
      </c>
      <c r="B132" s="1" t="s">
        <v>2</v>
      </c>
      <c r="C132" s="1" t="s">
        <v>11</v>
      </c>
      <c r="D132" s="1" t="s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">
      <c r="A133" s="1" t="s">
        <v>3</v>
      </c>
      <c r="B133" s="1" t="s">
        <v>2</v>
      </c>
      <c r="C133" s="1" t="s">
        <v>10</v>
      </c>
      <c r="D133" s="1" t="s">
        <v>7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">
      <c r="A134" s="1" t="s">
        <v>3</v>
      </c>
      <c r="B134" s="1" t="s">
        <v>2</v>
      </c>
      <c r="C134" s="1" t="s">
        <v>10</v>
      </c>
      <c r="D134" s="1" t="s">
        <v>6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">
      <c r="A135" s="1" t="s">
        <v>3</v>
      </c>
      <c r="B135" s="1" t="s">
        <v>2</v>
      </c>
      <c r="C135" s="1" t="s">
        <v>10</v>
      </c>
      <c r="D135" s="1" t="s">
        <v>5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2">
      <c r="A136" s="1" t="s">
        <v>3</v>
      </c>
      <c r="B136" s="1" t="s">
        <v>2</v>
      </c>
      <c r="C136" s="1" t="s">
        <v>10</v>
      </c>
      <c r="D136" s="1" t="s">
        <v>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2">
      <c r="A137" s="1" t="s">
        <v>3</v>
      </c>
      <c r="B137" s="1" t="s">
        <v>2</v>
      </c>
      <c r="C137" s="1" t="s">
        <v>10</v>
      </c>
      <c r="D137" s="1" t="s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">
      <c r="A138" s="1" t="s">
        <v>3</v>
      </c>
      <c r="B138" s="1" t="s">
        <v>2</v>
      </c>
      <c r="C138" s="1" t="s">
        <v>9</v>
      </c>
      <c r="D138" s="1" t="s">
        <v>7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2">
      <c r="A139" s="1" t="s">
        <v>3</v>
      </c>
      <c r="B139" s="1" t="s">
        <v>2</v>
      </c>
      <c r="C139" s="1" t="s">
        <v>9</v>
      </c>
      <c r="D139" s="1" t="s">
        <v>6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">
      <c r="A140" s="1" t="s">
        <v>3</v>
      </c>
      <c r="B140" s="1" t="s">
        <v>2</v>
      </c>
      <c r="C140" s="1" t="s">
        <v>9</v>
      </c>
      <c r="D140" s="1" t="s">
        <v>5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-1</v>
      </c>
    </row>
    <row r="141" spans="1:11" x14ac:dyDescent="0.2">
      <c r="A141" s="1" t="s">
        <v>3</v>
      </c>
      <c r="B141" s="1" t="s">
        <v>2</v>
      </c>
      <c r="C141" s="1" t="s">
        <v>9</v>
      </c>
      <c r="D141" s="1" t="s">
        <v>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-1</v>
      </c>
    </row>
    <row r="142" spans="1:11" x14ac:dyDescent="0.2">
      <c r="A142" s="1" t="s">
        <v>3</v>
      </c>
      <c r="B142" s="1" t="s">
        <v>2</v>
      </c>
      <c r="C142" s="1" t="s">
        <v>9</v>
      </c>
      <c r="D142" s="1" t="s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">
      <c r="A143" s="1" t="s">
        <v>3</v>
      </c>
      <c r="B143" s="1" t="s">
        <v>2</v>
      </c>
      <c r="C143" s="1" t="s">
        <v>8</v>
      </c>
      <c r="D143" s="1" t="s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2">
      <c r="A144" s="1" t="s">
        <v>3</v>
      </c>
      <c r="B144" s="1" t="s">
        <v>2</v>
      </c>
      <c r="C144" s="1" t="s">
        <v>8</v>
      </c>
      <c r="D144" s="1" t="s">
        <v>6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">
      <c r="A145" s="1" t="s">
        <v>3</v>
      </c>
      <c r="B145" s="1" t="s">
        <v>2</v>
      </c>
      <c r="C145" s="1" t="s">
        <v>8</v>
      </c>
      <c r="D145" s="1" t="s">
        <v>5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">
      <c r="A146" s="1" t="s">
        <v>3</v>
      </c>
      <c r="B146" s="1" t="s">
        <v>2</v>
      </c>
      <c r="C146" s="1" t="s">
        <v>8</v>
      </c>
      <c r="D146" s="1" t="s">
        <v>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">
      <c r="A147" s="1" t="s">
        <v>3</v>
      </c>
      <c r="B147" s="1" t="s">
        <v>2</v>
      </c>
      <c r="C147" s="1" t="s">
        <v>8</v>
      </c>
      <c r="D147" s="1" t="s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">
      <c r="A148" s="1" t="s">
        <v>3</v>
      </c>
      <c r="B148" s="1" t="s">
        <v>2</v>
      </c>
      <c r="C148" s="1" t="s">
        <v>1</v>
      </c>
      <c r="D148" s="1" t="s">
        <v>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2">
      <c r="A149" s="1" t="s">
        <v>3</v>
      </c>
      <c r="B149" s="1" t="s">
        <v>2</v>
      </c>
      <c r="C149" s="1" t="s">
        <v>1</v>
      </c>
      <c r="D149" s="1" t="s">
        <v>6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2">
      <c r="A150" s="1" t="s">
        <v>3</v>
      </c>
      <c r="B150" s="1" t="s">
        <v>2</v>
      </c>
      <c r="C150" s="1" t="s">
        <v>1</v>
      </c>
      <c r="D150" s="1" t="s">
        <v>5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">
      <c r="A151" s="1" t="s">
        <v>3</v>
      </c>
      <c r="B151" s="1" t="s">
        <v>2</v>
      </c>
      <c r="C151" s="1" t="s">
        <v>1</v>
      </c>
      <c r="D151" s="1" t="s">
        <v>4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">
      <c r="A152" s="1" t="s">
        <v>3</v>
      </c>
      <c r="B152" s="1" t="s">
        <v>2</v>
      </c>
      <c r="C152" s="1" t="s">
        <v>1</v>
      </c>
      <c r="D152" s="1" t="s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Recreation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Sanchez Terrazas</dc:creator>
  <cp:lastModifiedBy>Isaac Sanchez Terrazas</cp:lastModifiedBy>
  <dcterms:created xsi:type="dcterms:W3CDTF">2026-10-26T21:04:21Z</dcterms:created>
  <dcterms:modified xsi:type="dcterms:W3CDTF">2026-10-26T21:20:12Z</dcterms:modified>
</cp:coreProperties>
</file>