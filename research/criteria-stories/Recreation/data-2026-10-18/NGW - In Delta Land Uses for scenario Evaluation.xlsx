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PhD Works\2026 Salinity MRPI Scenarios\RMA &amp; Tiered Outflows V2\R worked RMA Data\Activity Blind Data Recreation\"/>
    </mc:Choice>
  </mc:AlternateContent>
  <xr:revisionPtr revIDLastSave="0" documentId="13_ncr:1_{B961F765-967E-428D-AE56-373AD6FA92A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Overall" sheetId="5" r:id="rId1"/>
    <sheet name="Regional Habitat Acres" sheetId="6" r:id="rId2"/>
    <sheet name="Sub Scenario 1 100 restoration" sheetId="1" r:id="rId3"/>
    <sheet name="Sub Scenario 2 (primary scenari" sheetId="2" r:id="rId4"/>
    <sheet name="Sub sceneario 32575" sheetId="3" r:id="rId5"/>
    <sheet name="Reference all tracts and acreag" sheetId="4" r:id="rId6"/>
  </sheets>
  <definedNames>
    <definedName name="_xlnm._FilterDatabase" localSheetId="0" hidden="1">Overall!$B$91:$B$126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1" l="1"/>
  <c r="J44" i="1"/>
  <c r="K44" i="1"/>
  <c r="L44" i="1"/>
  <c r="M44" i="1"/>
  <c r="N44" i="1"/>
  <c r="O44" i="1"/>
  <c r="P44" i="1"/>
  <c r="Q44" i="1"/>
  <c r="R44" i="1"/>
  <c r="H44" i="1"/>
  <c r="I42" i="3"/>
  <c r="J42" i="3"/>
  <c r="K42" i="3"/>
  <c r="L42" i="3"/>
  <c r="M42" i="3"/>
  <c r="N42" i="3"/>
  <c r="O42" i="3"/>
  <c r="P42" i="3"/>
  <c r="Q42" i="3"/>
  <c r="R42" i="3"/>
  <c r="H42" i="3"/>
  <c r="I41" i="3"/>
  <c r="J41" i="3"/>
  <c r="K41" i="3"/>
  <c r="L41" i="3"/>
  <c r="M41" i="3"/>
  <c r="N41" i="3"/>
  <c r="O41" i="3"/>
  <c r="P41" i="3"/>
  <c r="Q41" i="3"/>
  <c r="R41" i="3"/>
  <c r="H41" i="3"/>
  <c r="I40" i="3"/>
  <c r="J40" i="3"/>
  <c r="K40" i="3"/>
  <c r="L40" i="3"/>
  <c r="M40" i="3"/>
  <c r="N40" i="3"/>
  <c r="O40" i="3"/>
  <c r="P40" i="3"/>
  <c r="Q40" i="3"/>
  <c r="R40" i="3"/>
  <c r="H40" i="3"/>
  <c r="I43" i="1"/>
  <c r="J43" i="1"/>
  <c r="K43" i="1"/>
  <c r="L43" i="1"/>
  <c r="M43" i="1"/>
  <c r="N43" i="1"/>
  <c r="O43" i="1"/>
  <c r="P43" i="1"/>
  <c r="Q43" i="1"/>
  <c r="R43" i="1"/>
  <c r="H43" i="1"/>
  <c r="I42" i="1"/>
  <c r="J42" i="1"/>
  <c r="K42" i="1"/>
  <c r="L42" i="1"/>
  <c r="M42" i="1"/>
  <c r="N42" i="1"/>
  <c r="O42" i="1"/>
  <c r="P42" i="1"/>
  <c r="Q42" i="1"/>
  <c r="R42" i="1"/>
  <c r="H42" i="1"/>
  <c r="D48" i="1"/>
  <c r="D46" i="1"/>
  <c r="D47" i="1"/>
  <c r="D45" i="1"/>
  <c r="D42" i="2"/>
  <c r="D43" i="3"/>
  <c r="I4" i="6"/>
  <c r="H4" i="6"/>
  <c r="R31" i="2"/>
  <c r="Q31" i="2"/>
  <c r="P31" i="2"/>
  <c r="O31" i="2"/>
  <c r="N31" i="2"/>
  <c r="M31" i="2"/>
  <c r="L31" i="2"/>
  <c r="K31" i="2"/>
  <c r="J31" i="2"/>
  <c r="I31" i="2"/>
  <c r="H31" i="2"/>
  <c r="H31" i="1"/>
  <c r="I31" i="1"/>
  <c r="J31" i="1"/>
  <c r="K31" i="1"/>
  <c r="L31" i="1"/>
  <c r="M31" i="1"/>
  <c r="N31" i="1"/>
  <c r="O31" i="1"/>
  <c r="P31" i="1"/>
  <c r="Q31" i="1"/>
  <c r="R31" i="1"/>
  <c r="I3" i="1"/>
  <c r="J3" i="1"/>
  <c r="K3" i="1"/>
  <c r="L3" i="1"/>
  <c r="M3" i="1"/>
  <c r="N3" i="1"/>
  <c r="O3" i="1"/>
  <c r="P3" i="1"/>
  <c r="Q3" i="1"/>
  <c r="R3" i="1"/>
  <c r="H3" i="1"/>
  <c r="I3" i="2"/>
  <c r="J3" i="2"/>
  <c r="K3" i="2"/>
  <c r="L3" i="2"/>
  <c r="M3" i="2"/>
  <c r="N3" i="2"/>
  <c r="O3" i="2"/>
  <c r="P3" i="2"/>
  <c r="Q3" i="2"/>
  <c r="R3" i="2"/>
  <c r="H3" i="2"/>
  <c r="H4" i="2"/>
  <c r="I3" i="3"/>
  <c r="J3" i="3"/>
  <c r="K3" i="3"/>
  <c r="L3" i="3"/>
  <c r="M3" i="3"/>
  <c r="N3" i="3"/>
  <c r="O3" i="3"/>
  <c r="P3" i="3"/>
  <c r="Q3" i="3"/>
  <c r="R3" i="3"/>
  <c r="H3" i="3"/>
  <c r="H12" i="2"/>
  <c r="H8" i="2"/>
  <c r="H4" i="1"/>
  <c r="R39" i="3" l="1"/>
  <c r="Q39" i="3"/>
  <c r="P39" i="3"/>
  <c r="O39" i="3"/>
  <c r="N39" i="3"/>
  <c r="M39" i="3"/>
  <c r="L39" i="3"/>
  <c r="K39" i="3"/>
  <c r="J39" i="3"/>
  <c r="I39" i="3"/>
  <c r="H39" i="3"/>
  <c r="R38" i="3"/>
  <c r="Q38" i="3"/>
  <c r="P38" i="3"/>
  <c r="O38" i="3"/>
  <c r="N38" i="3"/>
  <c r="M38" i="3"/>
  <c r="L38" i="3"/>
  <c r="K38" i="3"/>
  <c r="J38" i="3"/>
  <c r="I38" i="3"/>
  <c r="H38" i="3"/>
  <c r="R37" i="3"/>
  <c r="Q37" i="3"/>
  <c r="P37" i="3"/>
  <c r="O37" i="3"/>
  <c r="N37" i="3"/>
  <c r="M37" i="3"/>
  <c r="L37" i="3"/>
  <c r="K37" i="3"/>
  <c r="J37" i="3"/>
  <c r="I37" i="3"/>
  <c r="H37" i="3"/>
  <c r="R36" i="3"/>
  <c r="Q36" i="3"/>
  <c r="P36" i="3"/>
  <c r="O36" i="3"/>
  <c r="N36" i="3"/>
  <c r="M36" i="3"/>
  <c r="L36" i="3"/>
  <c r="K36" i="3"/>
  <c r="J36" i="3"/>
  <c r="I36" i="3"/>
  <c r="H36" i="3"/>
  <c r="R35" i="3"/>
  <c r="Q35" i="3"/>
  <c r="P35" i="3"/>
  <c r="O35" i="3"/>
  <c r="N35" i="3"/>
  <c r="M35" i="3"/>
  <c r="L35" i="3"/>
  <c r="K35" i="3"/>
  <c r="J35" i="3"/>
  <c r="I35" i="3"/>
  <c r="H35" i="3"/>
  <c r="R34" i="3"/>
  <c r="Q34" i="3"/>
  <c r="P34" i="3"/>
  <c r="O34" i="3"/>
  <c r="N34" i="3"/>
  <c r="M34" i="3"/>
  <c r="L34" i="3"/>
  <c r="K34" i="3"/>
  <c r="J34" i="3"/>
  <c r="I34" i="3"/>
  <c r="H34" i="3"/>
  <c r="R33" i="3"/>
  <c r="Q33" i="3"/>
  <c r="P33" i="3"/>
  <c r="O33" i="3"/>
  <c r="N33" i="3"/>
  <c r="M33" i="3"/>
  <c r="L33" i="3"/>
  <c r="K33" i="3"/>
  <c r="J33" i="3"/>
  <c r="I33" i="3"/>
  <c r="H33" i="3"/>
  <c r="R32" i="3"/>
  <c r="Q32" i="3"/>
  <c r="P32" i="3"/>
  <c r="O32" i="3"/>
  <c r="N32" i="3"/>
  <c r="M32" i="3"/>
  <c r="L32" i="3"/>
  <c r="K32" i="3"/>
  <c r="J32" i="3"/>
  <c r="I32" i="3"/>
  <c r="H32" i="3"/>
  <c r="R31" i="3"/>
  <c r="Q31" i="3"/>
  <c r="P31" i="3"/>
  <c r="O31" i="3"/>
  <c r="N31" i="3"/>
  <c r="M31" i="3"/>
  <c r="L31" i="3"/>
  <c r="K31" i="3"/>
  <c r="J31" i="3"/>
  <c r="I31" i="3"/>
  <c r="H31" i="3"/>
  <c r="R30" i="3"/>
  <c r="Q30" i="3"/>
  <c r="P30" i="3"/>
  <c r="O30" i="3"/>
  <c r="N30" i="3"/>
  <c r="M30" i="3"/>
  <c r="L30" i="3"/>
  <c r="K30" i="3"/>
  <c r="J30" i="3"/>
  <c r="I30" i="3"/>
  <c r="H30" i="3"/>
  <c r="R28" i="3"/>
  <c r="Q28" i="3"/>
  <c r="P28" i="3"/>
  <c r="O28" i="3"/>
  <c r="N28" i="3"/>
  <c r="M28" i="3"/>
  <c r="L28" i="3"/>
  <c r="K28" i="3"/>
  <c r="J28" i="3"/>
  <c r="I28" i="3"/>
  <c r="H28" i="3"/>
  <c r="R27" i="3"/>
  <c r="Q27" i="3"/>
  <c r="P27" i="3"/>
  <c r="O27" i="3"/>
  <c r="N27" i="3"/>
  <c r="M27" i="3"/>
  <c r="L27" i="3"/>
  <c r="K27" i="3"/>
  <c r="J27" i="3"/>
  <c r="I27" i="3"/>
  <c r="H27" i="3"/>
  <c r="R26" i="3"/>
  <c r="Q26" i="3"/>
  <c r="P26" i="3"/>
  <c r="O26" i="3"/>
  <c r="N26" i="3"/>
  <c r="M26" i="3"/>
  <c r="L26" i="3"/>
  <c r="K26" i="3"/>
  <c r="J26" i="3"/>
  <c r="I26" i="3"/>
  <c r="H26" i="3"/>
  <c r="R25" i="3"/>
  <c r="Q25" i="3"/>
  <c r="P25" i="3"/>
  <c r="O25" i="3"/>
  <c r="N25" i="3"/>
  <c r="M25" i="3"/>
  <c r="L25" i="3"/>
  <c r="K25" i="3"/>
  <c r="J25" i="3"/>
  <c r="I25" i="3"/>
  <c r="H25" i="3"/>
  <c r="R24" i="3"/>
  <c r="Q24" i="3"/>
  <c r="P24" i="3"/>
  <c r="O24" i="3"/>
  <c r="N24" i="3"/>
  <c r="M24" i="3"/>
  <c r="L24" i="3"/>
  <c r="K24" i="3"/>
  <c r="J24" i="3"/>
  <c r="I24" i="3"/>
  <c r="H24" i="3"/>
  <c r="R23" i="3"/>
  <c r="Q23" i="3"/>
  <c r="P23" i="3"/>
  <c r="O23" i="3"/>
  <c r="N23" i="3"/>
  <c r="M23" i="3"/>
  <c r="L23" i="3"/>
  <c r="K23" i="3"/>
  <c r="J23" i="3"/>
  <c r="I23" i="3"/>
  <c r="H23" i="3"/>
  <c r="R22" i="3"/>
  <c r="Q22" i="3"/>
  <c r="P22" i="3"/>
  <c r="O22" i="3"/>
  <c r="N22" i="3"/>
  <c r="M22" i="3"/>
  <c r="L22" i="3"/>
  <c r="K22" i="3"/>
  <c r="J22" i="3"/>
  <c r="I22" i="3"/>
  <c r="H22" i="3"/>
  <c r="R21" i="3"/>
  <c r="Q21" i="3"/>
  <c r="P21" i="3"/>
  <c r="O21" i="3"/>
  <c r="N21" i="3"/>
  <c r="M21" i="3"/>
  <c r="L21" i="3"/>
  <c r="K21" i="3"/>
  <c r="J21" i="3"/>
  <c r="I21" i="3"/>
  <c r="H21" i="3"/>
  <c r="R20" i="3"/>
  <c r="Q20" i="3"/>
  <c r="P20" i="3"/>
  <c r="O20" i="3"/>
  <c r="N20" i="3"/>
  <c r="M20" i="3"/>
  <c r="L20" i="3"/>
  <c r="K20" i="3"/>
  <c r="J20" i="3"/>
  <c r="I20" i="3"/>
  <c r="H20" i="3"/>
  <c r="R19" i="3"/>
  <c r="Q19" i="3"/>
  <c r="P19" i="3"/>
  <c r="O19" i="3"/>
  <c r="N19" i="3"/>
  <c r="M19" i="3"/>
  <c r="L19" i="3"/>
  <c r="K19" i="3"/>
  <c r="J19" i="3"/>
  <c r="I19" i="3"/>
  <c r="H19" i="3"/>
  <c r="R18" i="3"/>
  <c r="Q18" i="3"/>
  <c r="P18" i="3"/>
  <c r="O18" i="3"/>
  <c r="N18" i="3"/>
  <c r="M18" i="3"/>
  <c r="L18" i="3"/>
  <c r="K18" i="3"/>
  <c r="J18" i="3"/>
  <c r="I18" i="3"/>
  <c r="H18" i="3"/>
  <c r="R17" i="3"/>
  <c r="Q17" i="3"/>
  <c r="P17" i="3"/>
  <c r="O17" i="3"/>
  <c r="N17" i="3"/>
  <c r="M17" i="3"/>
  <c r="L17" i="3"/>
  <c r="K17" i="3"/>
  <c r="J17" i="3"/>
  <c r="I17" i="3"/>
  <c r="H17" i="3"/>
  <c r="R16" i="3"/>
  <c r="Q16" i="3"/>
  <c r="P16" i="3"/>
  <c r="O16" i="3"/>
  <c r="N16" i="3"/>
  <c r="M16" i="3"/>
  <c r="L16" i="3"/>
  <c r="K16" i="3"/>
  <c r="J16" i="3"/>
  <c r="I16" i="3"/>
  <c r="H16" i="3"/>
  <c r="R15" i="3"/>
  <c r="Q15" i="3"/>
  <c r="P15" i="3"/>
  <c r="O15" i="3"/>
  <c r="N15" i="3"/>
  <c r="M15" i="3"/>
  <c r="L15" i="3"/>
  <c r="K15" i="3"/>
  <c r="J15" i="3"/>
  <c r="I15" i="3"/>
  <c r="H15" i="3"/>
  <c r="R14" i="3"/>
  <c r="Q14" i="3"/>
  <c r="P14" i="3"/>
  <c r="O14" i="3"/>
  <c r="N14" i="3"/>
  <c r="M14" i="3"/>
  <c r="L14" i="3"/>
  <c r="K14" i="3"/>
  <c r="J14" i="3"/>
  <c r="I14" i="3"/>
  <c r="H14" i="3"/>
  <c r="R13" i="3"/>
  <c r="Q13" i="3"/>
  <c r="P13" i="3"/>
  <c r="O13" i="3"/>
  <c r="N13" i="3"/>
  <c r="M13" i="3"/>
  <c r="L13" i="3"/>
  <c r="K13" i="3"/>
  <c r="J13" i="3"/>
  <c r="I13" i="3"/>
  <c r="H13" i="3"/>
  <c r="R12" i="3"/>
  <c r="Q12" i="3"/>
  <c r="P12" i="3"/>
  <c r="O12" i="3"/>
  <c r="N12" i="3"/>
  <c r="M12" i="3"/>
  <c r="L12" i="3"/>
  <c r="K12" i="3"/>
  <c r="J12" i="3"/>
  <c r="I12" i="3"/>
  <c r="H12" i="3"/>
  <c r="R11" i="3"/>
  <c r="Q11" i="3"/>
  <c r="P11" i="3"/>
  <c r="O11" i="3"/>
  <c r="N11" i="3"/>
  <c r="M11" i="3"/>
  <c r="L11" i="3"/>
  <c r="K11" i="3"/>
  <c r="J11" i="3"/>
  <c r="I11" i="3"/>
  <c r="H11" i="3"/>
  <c r="R10" i="3"/>
  <c r="Q10" i="3"/>
  <c r="P10" i="3"/>
  <c r="O10" i="3"/>
  <c r="N10" i="3"/>
  <c r="M10" i="3"/>
  <c r="L10" i="3"/>
  <c r="K10" i="3"/>
  <c r="J10" i="3"/>
  <c r="I10" i="3"/>
  <c r="H10" i="3"/>
  <c r="R9" i="3"/>
  <c r="Q9" i="3"/>
  <c r="P9" i="3"/>
  <c r="O9" i="3"/>
  <c r="N9" i="3"/>
  <c r="M9" i="3"/>
  <c r="L9" i="3"/>
  <c r="K9" i="3"/>
  <c r="J9" i="3"/>
  <c r="I9" i="3"/>
  <c r="H9" i="3"/>
  <c r="R8" i="3"/>
  <c r="Q8" i="3"/>
  <c r="P8" i="3"/>
  <c r="O8" i="3"/>
  <c r="N8" i="3"/>
  <c r="M8" i="3"/>
  <c r="L8" i="3"/>
  <c r="K8" i="3"/>
  <c r="J8" i="3"/>
  <c r="I8" i="3"/>
  <c r="H8" i="3"/>
  <c r="R7" i="3"/>
  <c r="Q7" i="3"/>
  <c r="P7" i="3"/>
  <c r="O7" i="3"/>
  <c r="N7" i="3"/>
  <c r="M7" i="3"/>
  <c r="L7" i="3"/>
  <c r="K7" i="3"/>
  <c r="J7" i="3"/>
  <c r="I7" i="3"/>
  <c r="H7" i="3"/>
  <c r="R6" i="3"/>
  <c r="Q6" i="3"/>
  <c r="P6" i="3"/>
  <c r="O6" i="3"/>
  <c r="N6" i="3"/>
  <c r="M6" i="3"/>
  <c r="L6" i="3"/>
  <c r="K6" i="3"/>
  <c r="J6" i="3"/>
  <c r="I6" i="3"/>
  <c r="H6" i="3"/>
  <c r="R5" i="3"/>
  <c r="Q5" i="3"/>
  <c r="P5" i="3"/>
  <c r="O5" i="3"/>
  <c r="N5" i="3"/>
  <c r="M5" i="3"/>
  <c r="L5" i="3"/>
  <c r="K5" i="3"/>
  <c r="J5" i="3"/>
  <c r="I5" i="3"/>
  <c r="H5" i="3"/>
  <c r="R4" i="3"/>
  <c r="Q4" i="3"/>
  <c r="P4" i="3"/>
  <c r="O4" i="3"/>
  <c r="N4" i="3"/>
  <c r="M4" i="3"/>
  <c r="L4" i="3"/>
  <c r="K4" i="3"/>
  <c r="J4" i="3"/>
  <c r="I4" i="3"/>
  <c r="H4" i="3"/>
  <c r="R41" i="2"/>
  <c r="Q41" i="2"/>
  <c r="P41" i="2"/>
  <c r="O41" i="2"/>
  <c r="N41" i="2"/>
  <c r="M41" i="2"/>
  <c r="L41" i="2"/>
  <c r="K41" i="2"/>
  <c r="J41" i="2"/>
  <c r="I41" i="2"/>
  <c r="H41" i="2"/>
  <c r="R40" i="2"/>
  <c r="Q40" i="2"/>
  <c r="P40" i="2"/>
  <c r="O40" i="2"/>
  <c r="N40" i="2"/>
  <c r="M40" i="2"/>
  <c r="L40" i="2"/>
  <c r="K40" i="2"/>
  <c r="J40" i="2"/>
  <c r="I40" i="2"/>
  <c r="H40" i="2"/>
  <c r="R39" i="2"/>
  <c r="Q39" i="2"/>
  <c r="P39" i="2"/>
  <c r="O39" i="2"/>
  <c r="N39" i="2"/>
  <c r="M39" i="2"/>
  <c r="L39" i="2"/>
  <c r="K39" i="2"/>
  <c r="J39" i="2"/>
  <c r="I39" i="2"/>
  <c r="H39" i="2"/>
  <c r="R38" i="2"/>
  <c r="Q38" i="2"/>
  <c r="P38" i="2"/>
  <c r="O38" i="2"/>
  <c r="N38" i="2"/>
  <c r="M38" i="2"/>
  <c r="L38" i="2"/>
  <c r="K38" i="2"/>
  <c r="J38" i="2"/>
  <c r="I38" i="2"/>
  <c r="H38" i="2"/>
  <c r="R37" i="2"/>
  <c r="Q37" i="2"/>
  <c r="P37" i="2"/>
  <c r="O37" i="2"/>
  <c r="N37" i="2"/>
  <c r="M37" i="2"/>
  <c r="L37" i="2"/>
  <c r="K37" i="2"/>
  <c r="J37" i="2"/>
  <c r="I37" i="2"/>
  <c r="H37" i="2"/>
  <c r="R36" i="2"/>
  <c r="Q36" i="2"/>
  <c r="P36" i="2"/>
  <c r="O36" i="2"/>
  <c r="N36" i="2"/>
  <c r="M36" i="2"/>
  <c r="L36" i="2"/>
  <c r="K36" i="2"/>
  <c r="J36" i="2"/>
  <c r="I36" i="2"/>
  <c r="H36" i="2"/>
  <c r="R35" i="2"/>
  <c r="Q35" i="2"/>
  <c r="P35" i="2"/>
  <c r="O35" i="2"/>
  <c r="N35" i="2"/>
  <c r="M35" i="2"/>
  <c r="L35" i="2"/>
  <c r="K35" i="2"/>
  <c r="J35" i="2"/>
  <c r="I35" i="2"/>
  <c r="H35" i="2"/>
  <c r="R34" i="2"/>
  <c r="Q34" i="2"/>
  <c r="P34" i="2"/>
  <c r="O34" i="2"/>
  <c r="N34" i="2"/>
  <c r="M34" i="2"/>
  <c r="L34" i="2"/>
  <c r="K34" i="2"/>
  <c r="J34" i="2"/>
  <c r="I34" i="2"/>
  <c r="H34" i="2"/>
  <c r="R33" i="2"/>
  <c r="Q33" i="2"/>
  <c r="P33" i="2"/>
  <c r="O33" i="2"/>
  <c r="N33" i="2"/>
  <c r="M33" i="2"/>
  <c r="L33" i="2"/>
  <c r="K33" i="2"/>
  <c r="J33" i="2"/>
  <c r="I33" i="2"/>
  <c r="H33" i="2"/>
  <c r="R32" i="2"/>
  <c r="Q32" i="2"/>
  <c r="P32" i="2"/>
  <c r="O32" i="2"/>
  <c r="N32" i="2"/>
  <c r="M32" i="2"/>
  <c r="L32" i="2"/>
  <c r="K32" i="2"/>
  <c r="J32" i="2"/>
  <c r="I32" i="2"/>
  <c r="H32" i="2"/>
  <c r="R30" i="2"/>
  <c r="Q30" i="2"/>
  <c r="P30" i="2"/>
  <c r="O30" i="2"/>
  <c r="N30" i="2"/>
  <c r="M30" i="2"/>
  <c r="L30" i="2"/>
  <c r="K30" i="2"/>
  <c r="J30" i="2"/>
  <c r="I30" i="2"/>
  <c r="H30" i="2"/>
  <c r="R29" i="2"/>
  <c r="Q29" i="2"/>
  <c r="P29" i="2"/>
  <c r="O29" i="2"/>
  <c r="N29" i="2"/>
  <c r="M29" i="2"/>
  <c r="L29" i="2"/>
  <c r="K29" i="2"/>
  <c r="J29" i="2"/>
  <c r="I29" i="2"/>
  <c r="H29" i="2"/>
  <c r="R28" i="2"/>
  <c r="Q28" i="2"/>
  <c r="P28" i="2"/>
  <c r="O28" i="2"/>
  <c r="N28" i="2"/>
  <c r="M28" i="2"/>
  <c r="L28" i="2"/>
  <c r="K28" i="2"/>
  <c r="J28" i="2"/>
  <c r="I28" i="2"/>
  <c r="H28" i="2"/>
  <c r="R27" i="2"/>
  <c r="Q27" i="2"/>
  <c r="P27" i="2"/>
  <c r="O27" i="2"/>
  <c r="N27" i="2"/>
  <c r="M27" i="2"/>
  <c r="L27" i="2"/>
  <c r="K27" i="2"/>
  <c r="J27" i="2"/>
  <c r="I27" i="2"/>
  <c r="H27" i="2"/>
  <c r="R26" i="2"/>
  <c r="Q26" i="2"/>
  <c r="P26" i="2"/>
  <c r="O26" i="2"/>
  <c r="N26" i="2"/>
  <c r="M26" i="2"/>
  <c r="L26" i="2"/>
  <c r="K26" i="2"/>
  <c r="J26" i="2"/>
  <c r="I26" i="2"/>
  <c r="H26" i="2"/>
  <c r="R25" i="2"/>
  <c r="Q25" i="2"/>
  <c r="P25" i="2"/>
  <c r="O25" i="2"/>
  <c r="N25" i="2"/>
  <c r="M25" i="2"/>
  <c r="L25" i="2"/>
  <c r="K25" i="2"/>
  <c r="J25" i="2"/>
  <c r="I25" i="2"/>
  <c r="H25" i="2"/>
  <c r="R24" i="2"/>
  <c r="Q24" i="2"/>
  <c r="P24" i="2"/>
  <c r="O24" i="2"/>
  <c r="N24" i="2"/>
  <c r="M24" i="2"/>
  <c r="L24" i="2"/>
  <c r="K24" i="2"/>
  <c r="J24" i="2"/>
  <c r="I24" i="2"/>
  <c r="H24" i="2"/>
  <c r="R23" i="2"/>
  <c r="Q23" i="2"/>
  <c r="P23" i="2"/>
  <c r="O23" i="2"/>
  <c r="N23" i="2"/>
  <c r="M23" i="2"/>
  <c r="L23" i="2"/>
  <c r="K23" i="2"/>
  <c r="J23" i="2"/>
  <c r="I23" i="2"/>
  <c r="H23" i="2"/>
  <c r="R22" i="2"/>
  <c r="Q22" i="2"/>
  <c r="P22" i="2"/>
  <c r="O22" i="2"/>
  <c r="N22" i="2"/>
  <c r="M22" i="2"/>
  <c r="L22" i="2"/>
  <c r="K22" i="2"/>
  <c r="J22" i="2"/>
  <c r="I22" i="2"/>
  <c r="H22" i="2"/>
  <c r="R21" i="2"/>
  <c r="Q21" i="2"/>
  <c r="P21" i="2"/>
  <c r="O21" i="2"/>
  <c r="N21" i="2"/>
  <c r="M21" i="2"/>
  <c r="L21" i="2"/>
  <c r="K21" i="2"/>
  <c r="J21" i="2"/>
  <c r="I21" i="2"/>
  <c r="H21" i="2"/>
  <c r="R20" i="2"/>
  <c r="Q20" i="2"/>
  <c r="P20" i="2"/>
  <c r="O20" i="2"/>
  <c r="N20" i="2"/>
  <c r="M20" i="2"/>
  <c r="L20" i="2"/>
  <c r="K20" i="2"/>
  <c r="J20" i="2"/>
  <c r="I20" i="2"/>
  <c r="H20" i="2"/>
  <c r="R19" i="2"/>
  <c r="Q19" i="2"/>
  <c r="P19" i="2"/>
  <c r="O19" i="2"/>
  <c r="N19" i="2"/>
  <c r="M19" i="2"/>
  <c r="L19" i="2"/>
  <c r="K19" i="2"/>
  <c r="J19" i="2"/>
  <c r="I19" i="2"/>
  <c r="H19" i="2"/>
  <c r="R18" i="2"/>
  <c r="Q18" i="2"/>
  <c r="P18" i="2"/>
  <c r="O18" i="2"/>
  <c r="N18" i="2"/>
  <c r="M18" i="2"/>
  <c r="L18" i="2"/>
  <c r="K18" i="2"/>
  <c r="J18" i="2"/>
  <c r="I18" i="2"/>
  <c r="H18" i="2"/>
  <c r="R17" i="2"/>
  <c r="Q17" i="2"/>
  <c r="P17" i="2"/>
  <c r="O17" i="2"/>
  <c r="N17" i="2"/>
  <c r="M17" i="2"/>
  <c r="L17" i="2"/>
  <c r="K17" i="2"/>
  <c r="J17" i="2"/>
  <c r="I17" i="2"/>
  <c r="H17" i="2"/>
  <c r="R16" i="2"/>
  <c r="Q16" i="2"/>
  <c r="P16" i="2"/>
  <c r="O16" i="2"/>
  <c r="N16" i="2"/>
  <c r="M16" i="2"/>
  <c r="L16" i="2"/>
  <c r="K16" i="2"/>
  <c r="J16" i="2"/>
  <c r="I16" i="2"/>
  <c r="H16" i="2"/>
  <c r="R15" i="2"/>
  <c r="Q15" i="2"/>
  <c r="P15" i="2"/>
  <c r="O15" i="2"/>
  <c r="N15" i="2"/>
  <c r="M15" i="2"/>
  <c r="L15" i="2"/>
  <c r="K15" i="2"/>
  <c r="J15" i="2"/>
  <c r="I15" i="2"/>
  <c r="H15" i="2"/>
  <c r="R14" i="2"/>
  <c r="Q14" i="2"/>
  <c r="P14" i="2"/>
  <c r="O14" i="2"/>
  <c r="N14" i="2"/>
  <c r="M14" i="2"/>
  <c r="L14" i="2"/>
  <c r="K14" i="2"/>
  <c r="J14" i="2"/>
  <c r="I14" i="2"/>
  <c r="H14" i="2"/>
  <c r="R13" i="2"/>
  <c r="Q13" i="2"/>
  <c r="P13" i="2"/>
  <c r="O13" i="2"/>
  <c r="N13" i="2"/>
  <c r="M13" i="2"/>
  <c r="L13" i="2"/>
  <c r="K13" i="2"/>
  <c r="J13" i="2"/>
  <c r="I13" i="2"/>
  <c r="H13" i="2"/>
  <c r="R12" i="2"/>
  <c r="Q12" i="2"/>
  <c r="P12" i="2"/>
  <c r="O12" i="2"/>
  <c r="N12" i="2"/>
  <c r="M12" i="2"/>
  <c r="L12" i="2"/>
  <c r="K12" i="2"/>
  <c r="J12" i="2"/>
  <c r="I12" i="2"/>
  <c r="R11" i="2"/>
  <c r="Q11" i="2"/>
  <c r="P11" i="2"/>
  <c r="O11" i="2"/>
  <c r="N11" i="2"/>
  <c r="M11" i="2"/>
  <c r="L11" i="2"/>
  <c r="K11" i="2"/>
  <c r="J11" i="2"/>
  <c r="I11" i="2"/>
  <c r="H11" i="2"/>
  <c r="R10" i="2"/>
  <c r="Q10" i="2"/>
  <c r="P10" i="2"/>
  <c r="O10" i="2"/>
  <c r="N10" i="2"/>
  <c r="M10" i="2"/>
  <c r="L10" i="2"/>
  <c r="K10" i="2"/>
  <c r="J10" i="2"/>
  <c r="I10" i="2"/>
  <c r="H10" i="2"/>
  <c r="R9" i="2"/>
  <c r="Q9" i="2"/>
  <c r="P9" i="2"/>
  <c r="O9" i="2"/>
  <c r="N9" i="2"/>
  <c r="M9" i="2"/>
  <c r="L9" i="2"/>
  <c r="K9" i="2"/>
  <c r="J9" i="2"/>
  <c r="I9" i="2"/>
  <c r="H9" i="2"/>
  <c r="R8" i="2"/>
  <c r="Q8" i="2"/>
  <c r="P8" i="2"/>
  <c r="O8" i="2"/>
  <c r="N8" i="2"/>
  <c r="M8" i="2"/>
  <c r="L8" i="2"/>
  <c r="K8" i="2"/>
  <c r="J8" i="2"/>
  <c r="I8" i="2"/>
  <c r="R7" i="2"/>
  <c r="Q7" i="2"/>
  <c r="P7" i="2"/>
  <c r="O7" i="2"/>
  <c r="N7" i="2"/>
  <c r="M7" i="2"/>
  <c r="L7" i="2"/>
  <c r="K7" i="2"/>
  <c r="J7" i="2"/>
  <c r="I7" i="2"/>
  <c r="H7" i="2"/>
  <c r="R6" i="2"/>
  <c r="Q6" i="2"/>
  <c r="P6" i="2"/>
  <c r="O6" i="2"/>
  <c r="N6" i="2"/>
  <c r="M6" i="2"/>
  <c r="L6" i="2"/>
  <c r="K6" i="2"/>
  <c r="J6" i="2"/>
  <c r="I6" i="2"/>
  <c r="H6" i="2"/>
  <c r="R5" i="2"/>
  <c r="Q5" i="2"/>
  <c r="P5" i="2"/>
  <c r="O5" i="2"/>
  <c r="N5" i="2"/>
  <c r="M5" i="2"/>
  <c r="L5" i="2"/>
  <c r="K5" i="2"/>
  <c r="J5" i="2"/>
  <c r="I5" i="2"/>
  <c r="H5" i="2"/>
  <c r="R4" i="2"/>
  <c r="Q4" i="2"/>
  <c r="P4" i="2"/>
  <c r="O4" i="2"/>
  <c r="N4" i="2"/>
  <c r="M4" i="2"/>
  <c r="L4" i="2"/>
  <c r="K4" i="2"/>
  <c r="J4" i="2"/>
  <c r="I4" i="2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2" i="1"/>
  <c r="R33" i="1"/>
  <c r="R34" i="1"/>
  <c r="R35" i="1"/>
  <c r="R36" i="1"/>
  <c r="R37" i="1"/>
  <c r="R38" i="1"/>
  <c r="R39" i="1"/>
  <c r="R40" i="1"/>
  <c r="R41" i="1"/>
  <c r="R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2" i="1"/>
  <c r="Q33" i="1"/>
  <c r="Q34" i="1"/>
  <c r="Q35" i="1"/>
  <c r="Q36" i="1"/>
  <c r="Q37" i="1"/>
  <c r="Q38" i="1"/>
  <c r="Q39" i="1"/>
  <c r="Q40" i="1"/>
  <c r="Q41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2" i="1"/>
  <c r="P33" i="1"/>
  <c r="P34" i="1"/>
  <c r="P35" i="1"/>
  <c r="P36" i="1"/>
  <c r="P37" i="1"/>
  <c r="P38" i="1"/>
  <c r="P39" i="1"/>
  <c r="P40" i="1"/>
  <c r="P41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2" i="1"/>
  <c r="O33" i="1"/>
  <c r="O34" i="1"/>
  <c r="O35" i="1"/>
  <c r="O36" i="1"/>
  <c r="O37" i="1"/>
  <c r="O38" i="1"/>
  <c r="O39" i="1"/>
  <c r="O40" i="1"/>
  <c r="O41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2" i="1"/>
  <c r="N33" i="1"/>
  <c r="N34" i="1"/>
  <c r="N35" i="1"/>
  <c r="N36" i="1"/>
  <c r="N37" i="1"/>
  <c r="N38" i="1"/>
  <c r="N39" i="1"/>
  <c r="N40" i="1"/>
  <c r="N41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2" i="1"/>
  <c r="M33" i="1"/>
  <c r="M34" i="1"/>
  <c r="M35" i="1"/>
  <c r="M36" i="1"/>
  <c r="M37" i="1"/>
  <c r="M38" i="1"/>
  <c r="M39" i="1"/>
  <c r="M40" i="1"/>
  <c r="M41" i="1"/>
  <c r="M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2" i="1"/>
  <c r="L33" i="1"/>
  <c r="L34" i="1"/>
  <c r="L35" i="1"/>
  <c r="L36" i="1"/>
  <c r="L37" i="1"/>
  <c r="L38" i="1"/>
  <c r="L39" i="1"/>
  <c r="L40" i="1"/>
  <c r="L41" i="1"/>
  <c r="L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2" i="1"/>
  <c r="K33" i="1"/>
  <c r="K34" i="1"/>
  <c r="K35" i="1"/>
  <c r="K36" i="1"/>
  <c r="K37" i="1"/>
  <c r="K38" i="1"/>
  <c r="K39" i="1"/>
  <c r="K40" i="1"/>
  <c r="K41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2" i="1"/>
  <c r="J33" i="1"/>
  <c r="J34" i="1"/>
  <c r="J35" i="1"/>
  <c r="J36" i="1"/>
  <c r="J37" i="1"/>
  <c r="J38" i="1"/>
  <c r="J39" i="1"/>
  <c r="J40" i="1"/>
  <c r="J41" i="1"/>
  <c r="J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2" i="1"/>
  <c r="I33" i="1"/>
  <c r="I34" i="1"/>
  <c r="I35" i="1"/>
  <c r="I36" i="1"/>
  <c r="I37" i="1"/>
  <c r="I38" i="1"/>
  <c r="I39" i="1"/>
  <c r="I40" i="1"/>
  <c r="I41" i="1"/>
  <c r="I4" i="1"/>
  <c r="H2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2" i="1"/>
  <c r="H23" i="1"/>
  <c r="H24" i="1"/>
  <c r="H25" i="1"/>
  <c r="H26" i="1"/>
  <c r="H27" i="1"/>
  <c r="H28" i="1"/>
  <c r="H29" i="1"/>
  <c r="H30" i="1"/>
  <c r="H32" i="1"/>
  <c r="H33" i="1"/>
  <c r="H34" i="1"/>
  <c r="H35" i="1"/>
  <c r="H36" i="1"/>
  <c r="H37" i="1"/>
  <c r="H38" i="1"/>
  <c r="H39" i="1"/>
  <c r="H40" i="1"/>
  <c r="H41" i="1"/>
  <c r="E44" i="4"/>
  <c r="E45" i="4" s="1"/>
  <c r="E43" i="4"/>
  <c r="E42" i="4"/>
  <c r="C39" i="4"/>
  <c r="K42" i="2" l="1"/>
  <c r="H42" i="2"/>
  <c r="L42" i="2"/>
  <c r="R42" i="2"/>
  <c r="M42" i="2"/>
  <c r="N42" i="2"/>
  <c r="O42" i="2"/>
  <c r="P42" i="2"/>
  <c r="J42" i="2"/>
  <c r="Q42" i="2"/>
  <c r="I42" i="2"/>
  <c r="M45" i="1"/>
  <c r="P45" i="1"/>
  <c r="I45" i="1"/>
  <c r="K45" i="1"/>
  <c r="O45" i="1"/>
  <c r="Q45" i="1"/>
  <c r="H45" i="1"/>
  <c r="J45" i="1"/>
  <c r="R45" i="1"/>
  <c r="L45" i="1"/>
  <c r="N45" i="1"/>
  <c r="Q43" i="3"/>
  <c r="R43" i="3"/>
  <c r="H43" i="3"/>
  <c r="I43" i="3"/>
  <c r="J43" i="3"/>
  <c r="K43" i="3"/>
  <c r="L43" i="3"/>
  <c r="M43" i="3"/>
  <c r="N43" i="3"/>
  <c r="O43" i="3"/>
  <c r="P43" i="3"/>
</calcChain>
</file>

<file path=xl/sharedStrings.xml><?xml version="1.0" encoding="utf-8"?>
<sst xmlns="http://schemas.openxmlformats.org/spreadsheetml/2006/main" count="1074" uniqueCount="127">
  <si>
    <t>Island</t>
  </si>
  <si>
    <t>ArcGIS object ID</t>
  </si>
  <si>
    <t>Acres</t>
  </si>
  <si>
    <t>Elevation (categorical)</t>
  </si>
  <si>
    <t>Landcover Type (R = Rice; MW = Managed Wetland)</t>
  </si>
  <si>
    <t>Grand Island</t>
  </si>
  <si>
    <t>Mimimal</t>
  </si>
  <si>
    <t>MW</t>
  </si>
  <si>
    <t>Ryer Island</t>
  </si>
  <si>
    <t>Minimal</t>
  </si>
  <si>
    <t>Tyler Island</t>
  </si>
  <si>
    <t>Key:</t>
  </si>
  <si>
    <t>Staten Island</t>
  </si>
  <si>
    <t>Moderate</t>
  </si>
  <si>
    <t>grey = restoration/managed wetlands</t>
  </si>
  <si>
    <t>Brannan Island</t>
  </si>
  <si>
    <t>Severe</t>
  </si>
  <si>
    <t>tan - Wet soil agriculture (rice)</t>
  </si>
  <si>
    <t>Bouldin Island</t>
  </si>
  <si>
    <t>Venice Island</t>
  </si>
  <si>
    <t>Medford Island</t>
  </si>
  <si>
    <t>Empire Tract</t>
  </si>
  <si>
    <t>King Island</t>
  </si>
  <si>
    <t>Terminous Tract</t>
  </si>
  <si>
    <t>Rindge Tract</t>
  </si>
  <si>
    <t>Wright-Elmwood Tract</t>
  </si>
  <si>
    <t>McDonald Tract</t>
  </si>
  <si>
    <t>Jones Tract</t>
  </si>
  <si>
    <t>Rough and Ready</t>
  </si>
  <si>
    <t>Roberts Island</t>
  </si>
  <si>
    <t>31 + 22 + 12+23+ 8</t>
  </si>
  <si>
    <t>Union Island</t>
  </si>
  <si>
    <t>Victoria Island</t>
  </si>
  <si>
    <t>Woodward Island</t>
  </si>
  <si>
    <t>Coney Island</t>
  </si>
  <si>
    <t>Orowood Tract</t>
  </si>
  <si>
    <t>Palm Tract</t>
  </si>
  <si>
    <t>Bacon Island</t>
  </si>
  <si>
    <t>Holland Tract</t>
  </si>
  <si>
    <t>Quinby Island</t>
  </si>
  <si>
    <t>Mandeville Island</t>
  </si>
  <si>
    <t>Bethel Island</t>
  </si>
  <si>
    <t>Jersey Island</t>
  </si>
  <si>
    <t>Webb Tract</t>
  </si>
  <si>
    <t>Bradford Island</t>
  </si>
  <si>
    <t>Sherman Island</t>
  </si>
  <si>
    <t>Twitchell Island</t>
  </si>
  <si>
    <t>Dead Horse Island</t>
  </si>
  <si>
    <t>Sutter Island</t>
  </si>
  <si>
    <t>New Hope Tract</t>
  </si>
  <si>
    <t>Canal Ranch Tract</t>
  </si>
  <si>
    <t>Rice Acreage</t>
  </si>
  <si>
    <t>Rice Proportion</t>
  </si>
  <si>
    <t>50/50 (R = Rice; MW = Managed Wetland)</t>
  </si>
  <si>
    <t>R</t>
  </si>
  <si>
    <t>Total Acreage</t>
  </si>
  <si>
    <t>Total Rice Acreage</t>
  </si>
  <si>
    <t>Proportion of Rice Acres</t>
  </si>
  <si>
    <t>Landcover Type (R = Rice; MW = managed wetland)</t>
  </si>
  <si>
    <t>Total Rice Area:</t>
  </si>
  <si>
    <t xml:space="preserve">Total Rice Proportion: </t>
  </si>
  <si>
    <t>50/50</t>
  </si>
  <si>
    <t>25/75</t>
  </si>
  <si>
    <t>Not assigned to anything</t>
  </si>
  <si>
    <t>No polygon for this one because it's URBAN</t>
  </si>
  <si>
    <t>Note - only ~20% is subsided</t>
  </si>
  <si>
    <t xml:space="preserve">brack tract? </t>
  </si>
  <si>
    <t>East of Canal Ranch Tract</t>
  </si>
  <si>
    <t>Sum of Wet Soil Ag (not including points that have no corresponding name in spreadsheet)</t>
  </si>
  <si>
    <t>proportion of total Delta land area</t>
  </si>
  <si>
    <t>Wetland function</t>
  </si>
  <si>
    <t>US$/acre/yr (2000)</t>
  </si>
  <si>
    <t>Flood control</t>
  </si>
  <si>
    <t>Recreational fishing</t>
  </si>
  <si>
    <t>Amenity/recreation</t>
  </si>
  <si>
    <t>Water filtering</t>
  </si>
  <si>
    <t>Biodiversity</t>
  </si>
  <si>
    <t>Habitat nursery</t>
  </si>
  <si>
    <t>Recreational hunting</t>
  </si>
  <si>
    <t>Water supply</t>
  </si>
  <si>
    <t>Materials</t>
  </si>
  <si>
    <t>Fuel wood</t>
  </si>
  <si>
    <t>Sum of all ten</t>
  </si>
  <si>
    <t>US$/acre/yr (2025)</t>
  </si>
  <si>
    <t>Benefits US$/acre/yr (2025)</t>
  </si>
  <si>
    <r>
      <rPr>
        <b/>
        <sz val="14"/>
        <color rgb="FF000000"/>
        <rFont val="Arial"/>
        <family val="2"/>
        <scheme val="minor"/>
      </rPr>
      <t>Sources:</t>
    </r>
    <r>
      <rPr>
        <sz val="10"/>
        <color rgb="FF000000"/>
        <rFont val="Arial"/>
        <family val="2"/>
        <scheme val="minor"/>
      </rPr>
      <t xml:space="preserve">
1. 2025 CPI Index: https://www.bls.gov/regions/mid-atlantic/data/ConsumerPriceIndexHistorical_US_Table.htm
2. 2000 Wetland Functions: Brander, L., &amp; Schuyt, K. (2004). The economic values of the world's wetlands.
</t>
    </r>
  </si>
  <si>
    <t>Totals per Benefit</t>
  </si>
  <si>
    <t>Region</t>
  </si>
  <si>
    <t>North Delta</t>
  </si>
  <si>
    <t>North-Central</t>
  </si>
  <si>
    <t>South Delta</t>
  </si>
  <si>
    <t>North-South</t>
  </si>
  <si>
    <t>Central Delta</t>
  </si>
  <si>
    <r>
      <rPr>
        <b/>
        <sz val="18"/>
        <color rgb="FF000000"/>
        <rFont val="Arial"/>
        <family val="2"/>
        <scheme val="minor"/>
      </rPr>
      <t>Price adjustment Formula:</t>
    </r>
    <r>
      <rPr>
        <sz val="14"/>
        <color rgb="FF000000"/>
        <rFont val="Arial"/>
        <family val="2"/>
        <scheme val="minor"/>
      </rPr>
      <t xml:space="preserve"> (original formula based on Median values)
$-Value</t>
    </r>
    <r>
      <rPr>
        <i/>
        <sz val="12"/>
        <color rgb="FF000000"/>
        <rFont val="Arial"/>
        <family val="2"/>
        <scheme val="minor"/>
      </rPr>
      <t>2025</t>
    </r>
    <r>
      <rPr>
        <sz val="12"/>
        <color rgb="FF000000"/>
        <rFont val="Arial"/>
        <family val="2"/>
        <scheme val="minor"/>
      </rPr>
      <t xml:space="preserve"> </t>
    </r>
    <r>
      <rPr>
        <sz val="14"/>
        <color rgb="FF000000"/>
        <rFont val="Arial"/>
        <family val="2"/>
        <scheme val="minor"/>
      </rPr>
      <t>= Value</t>
    </r>
    <r>
      <rPr>
        <i/>
        <sz val="12"/>
        <color rgb="FF000000"/>
        <rFont val="Arial"/>
        <family val="2"/>
        <scheme val="minor"/>
      </rPr>
      <t>2000</t>
    </r>
    <r>
      <rPr>
        <sz val="14"/>
        <color rgb="FF000000"/>
        <rFont val="Arial"/>
        <family val="2"/>
        <scheme val="minor"/>
      </rPr>
      <t xml:space="preserve"> x (CPI</t>
    </r>
    <r>
      <rPr>
        <i/>
        <sz val="12"/>
        <color rgb="FF000000"/>
        <rFont val="Arial"/>
        <family val="2"/>
        <scheme val="minor"/>
      </rPr>
      <t>2025</t>
    </r>
    <r>
      <rPr>
        <sz val="14"/>
        <color rgb="FF000000"/>
        <rFont val="Arial"/>
        <family val="2"/>
        <scheme val="minor"/>
      </rPr>
      <t>/CPI</t>
    </r>
    <r>
      <rPr>
        <i/>
        <sz val="12"/>
        <color rgb="FF000000"/>
        <rFont val="Arial"/>
        <family val="2"/>
        <scheme val="minor"/>
      </rPr>
      <t>2000</t>
    </r>
    <r>
      <rPr>
        <sz val="14"/>
        <color rgb="FF000000"/>
        <rFont val="Arial"/>
        <family val="2"/>
        <scheme val="minor"/>
      </rPr>
      <t xml:space="preserve">)
</t>
    </r>
    <r>
      <rPr>
        <b/>
        <sz val="18"/>
        <color rgb="FF000000"/>
        <rFont val="Arial"/>
        <family val="2"/>
        <scheme val="minor"/>
      </rPr>
      <t xml:space="preserve">Hectares to Acres Formula: </t>
    </r>
    <r>
      <rPr>
        <sz val="14"/>
        <color rgb="FF000000"/>
        <rFont val="Arial"/>
        <family val="2"/>
        <scheme val="minor"/>
      </rPr>
      <t xml:space="preserve">
US Acre = (1-Hectare) / (2.47105-Acres)</t>
    </r>
  </si>
  <si>
    <t>Totals summed</t>
  </si>
  <si>
    <t>100% Restoration</t>
  </si>
  <si>
    <t>75% Restoration</t>
  </si>
  <si>
    <t>Suisun Marsh</t>
  </si>
  <si>
    <t>Suisun</t>
  </si>
  <si>
    <t>Tidal</t>
  </si>
  <si>
    <t>Franks Tract</t>
  </si>
  <si>
    <t>Flooded</t>
  </si>
  <si>
    <t>West</t>
  </si>
  <si>
    <t>tidal</t>
  </si>
  <si>
    <t>Central</t>
  </si>
  <si>
    <t>Convergence Zone</t>
  </si>
  <si>
    <t>North</t>
  </si>
  <si>
    <t>soil</t>
  </si>
  <si>
    <t>South</t>
  </si>
  <si>
    <t>transitional</t>
  </si>
  <si>
    <t>Regional Acres</t>
  </si>
  <si>
    <t>Region_Code</t>
  </si>
  <si>
    <t>Region_Nam</t>
  </si>
  <si>
    <t>Habitat Type</t>
  </si>
  <si>
    <t xml:space="preserve">Transitional </t>
  </si>
  <si>
    <t>Soil</t>
  </si>
  <si>
    <t xml:space="preserve">North </t>
  </si>
  <si>
    <t>Non-Delta</t>
  </si>
  <si>
    <t>Upland</t>
  </si>
  <si>
    <t>Meadows</t>
  </si>
  <si>
    <t>Floodplain</t>
  </si>
  <si>
    <t>Full Restoration</t>
  </si>
  <si>
    <t>Slight Restoration</t>
  </si>
  <si>
    <t>Wetland</t>
  </si>
  <si>
    <t>Upper Bound</t>
  </si>
  <si>
    <t>Lower Bound</t>
  </si>
  <si>
    <t xml:space="preserve">1. In-Delta Values derive from NGW and Eco Machine in-Delta Acres, and these sheets, used 100% Restoration for this slide
2. Upland restoration values derive from Slide 56 BDSC Presentation
Note: only Full Restoration analyzed with In-Delta restoration Objectives, while upper and lower bounds included for upland restoration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</si>
</sst>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sz val="11"/>
      <color rgb="FF0061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name val="Calibri"/>
      <family val="2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C6EFCE"/>
      </patternFill>
    </fill>
    <fill>
      <patternFill patternType="solid">
        <fgColor rgb="FFE6E6E6"/>
        <bgColor rgb="FFE6E6E6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4" fillId="6" borderId="0" applyNumberFormat="0" applyBorder="0" applyAlignment="0" applyProtection="0"/>
    <xf numFmtId="44" fontId="15" fillId="0" borderId="0" applyFont="0" applyFill="0" applyBorder="0" applyAlignment="0" applyProtection="0"/>
    <xf numFmtId="0" fontId="3" fillId="0" borderId="0"/>
    <xf numFmtId="0" fontId="16" fillId="7" borderId="1">
      <alignment horizontal="left"/>
    </xf>
  </cellStyleXfs>
  <cellXfs count="61">
    <xf numFmtId="0" fontId="0" fillId="0" borderId="0" xfId="0"/>
    <xf numFmtId="0" fontId="4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0" borderId="0" xfId="0" applyFont="1"/>
    <xf numFmtId="0" fontId="5" fillId="4" borderId="0" xfId="0" applyFont="1" applyFill="1"/>
    <xf numFmtId="0" fontId="5" fillId="5" borderId="0" xfId="0" applyFont="1" applyFill="1"/>
    <xf numFmtId="3" fontId="5" fillId="0" borderId="0" xfId="0" applyNumberFormat="1" applyFont="1"/>
    <xf numFmtId="3" fontId="4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4" fontId="7" fillId="0" borderId="0" xfId="0" applyNumberFormat="1" applyFont="1" applyAlignment="1">
      <alignment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64" fontId="0" fillId="0" borderId="0" xfId="0" applyNumberFormat="1"/>
    <xf numFmtId="0" fontId="7" fillId="0" borderId="0" xfId="0" applyFont="1"/>
    <xf numFmtId="9" fontId="14" fillId="6" borderId="0" xfId="1" applyNumberFormat="1"/>
    <xf numFmtId="0" fontId="14" fillId="6" borderId="0" xfId="1"/>
    <xf numFmtId="0" fontId="6" fillId="0" borderId="0" xfId="0" applyFont="1"/>
    <xf numFmtId="44" fontId="6" fillId="0" borderId="0" xfId="2" applyFont="1"/>
    <xf numFmtId="0" fontId="3" fillId="0" borderId="0" xfId="3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3" fontId="5" fillId="3" borderId="0" xfId="0" applyNumberFormat="1" applyFont="1" applyFill="1"/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3" applyBorder="1"/>
    <xf numFmtId="0" fontId="3" fillId="0" borderId="6" xfId="3" applyBorder="1"/>
    <xf numFmtId="0" fontId="2" fillId="0" borderId="0" xfId="3" applyFont="1" applyBorder="1"/>
    <xf numFmtId="0" fontId="1" fillId="0" borderId="0" xfId="3" applyFont="1" applyBorder="1"/>
    <xf numFmtId="3" fontId="3" fillId="0" borderId="6" xfId="3" applyNumberFormat="1" applyBorder="1"/>
    <xf numFmtId="0" fontId="1" fillId="0" borderId="8" xfId="3" applyFont="1" applyBorder="1"/>
    <xf numFmtId="0" fontId="3" fillId="0" borderId="8" xfId="3" applyBorder="1"/>
    <xf numFmtId="3" fontId="3" fillId="0" borderId="9" xfId="3" applyNumberFormat="1" applyBorder="1"/>
    <xf numFmtId="0" fontId="16" fillId="7" borderId="10" xfId="4" applyBorder="1">
      <alignment horizontal="left"/>
    </xf>
    <xf numFmtId="0" fontId="16" fillId="7" borderId="11" xfId="4" applyBorder="1">
      <alignment horizontal="left"/>
    </xf>
    <xf numFmtId="0" fontId="16" fillId="7" borderId="12" xfId="4" applyBorder="1">
      <alignment horizontal="left"/>
    </xf>
    <xf numFmtId="0" fontId="3" fillId="0" borderId="5" xfId="3" applyBorder="1"/>
    <xf numFmtId="0" fontId="2" fillId="0" borderId="5" xfId="3" applyFont="1" applyBorder="1"/>
    <xf numFmtId="0" fontId="1" fillId="0" borderId="5" xfId="3" applyFont="1" applyBorder="1"/>
    <xf numFmtId="0" fontId="1" fillId="0" borderId="7" xfId="3" applyFont="1" applyBorder="1"/>
    <xf numFmtId="0" fontId="16" fillId="7" borderId="3" xfId="4" applyBorder="1">
      <alignment horizontal="left"/>
    </xf>
    <xf numFmtId="3" fontId="3" fillId="0" borderId="0" xfId="3" applyNumberFormat="1" applyBorder="1"/>
    <xf numFmtId="0" fontId="3" fillId="0" borderId="13" xfId="3" applyBorder="1"/>
    <xf numFmtId="0" fontId="3" fillId="0" borderId="14" xfId="3" applyBorder="1"/>
    <xf numFmtId="0" fontId="17" fillId="0" borderId="5" xfId="3" applyFont="1" applyBorder="1" applyAlignment="1">
      <alignment horizontal="center" vertical="center" wrapText="1"/>
    </xf>
    <xf numFmtId="0" fontId="17" fillId="0" borderId="7" xfId="3" applyFont="1" applyBorder="1" applyAlignment="1">
      <alignment horizontal="center" vertical="center" wrapText="1"/>
    </xf>
    <xf numFmtId="0" fontId="17" fillId="0" borderId="14" xfId="3" applyFont="1" applyBorder="1"/>
    <xf numFmtId="0" fontId="17" fillId="0" borderId="15" xfId="3" applyFont="1" applyBorder="1"/>
    <xf numFmtId="0" fontId="1" fillId="0" borderId="2" xfId="3" applyFont="1" applyBorder="1" applyAlignment="1">
      <alignment horizontal="center" vertical="center" wrapText="1"/>
    </xf>
    <xf numFmtId="0" fontId="3" fillId="0" borderId="3" xfId="3" applyBorder="1" applyAlignment="1">
      <alignment horizontal="center" vertical="center"/>
    </xf>
    <xf numFmtId="0" fontId="3" fillId="0" borderId="4" xfId="3" applyBorder="1" applyAlignment="1">
      <alignment horizontal="center" vertical="center"/>
    </xf>
    <xf numFmtId="0" fontId="3" fillId="0" borderId="5" xfId="3" applyBorder="1" applyAlignment="1">
      <alignment horizontal="center" vertical="center"/>
    </xf>
    <xf numFmtId="0" fontId="3" fillId="0" borderId="0" xfId="3" applyBorder="1" applyAlignment="1">
      <alignment horizontal="center" vertical="center"/>
    </xf>
    <xf numFmtId="0" fontId="3" fillId="0" borderId="6" xfId="3" applyBorder="1" applyAlignment="1">
      <alignment horizontal="center" vertical="center"/>
    </xf>
    <xf numFmtId="0" fontId="3" fillId="0" borderId="7" xfId="3" applyBorder="1" applyAlignment="1">
      <alignment horizontal="center" vertical="center"/>
    </xf>
    <xf numFmtId="0" fontId="3" fillId="0" borderId="8" xfId="3" applyBorder="1" applyAlignment="1">
      <alignment horizontal="center" vertical="center"/>
    </xf>
    <xf numFmtId="0" fontId="3" fillId="0" borderId="9" xfId="3" applyBorder="1" applyAlignment="1">
      <alignment horizontal="center" vertical="center"/>
    </xf>
  </cellXfs>
  <cellStyles count="5">
    <cellStyle name="Currency" xfId="2" builtinId="4"/>
    <cellStyle name="Good" xfId="1" builtinId="26"/>
    <cellStyle name="Normal" xfId="0" builtinId="0"/>
    <cellStyle name="Normal 2" xfId="3" xr:uid="{27835D22-73CB-49A6-B776-A731103F1566}"/>
    <cellStyle name="STYLE0" xfId="4" xr:uid="{128B944E-D4F0-45FB-AF63-D0537D19D9C3}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Benefits:</a:t>
            </a:r>
            <a:r>
              <a:rPr lang="en-US" baseline="0"/>
              <a:t> </a:t>
            </a:r>
            <a:r>
              <a:rPr lang="en-US"/>
              <a:t>acre/yr (2025$)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Overall!$E$89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Overall!$B$91:$C$127</c15:sqref>
                  </c15:fullRef>
                </c:ext>
              </c:extLst>
              <c:f>(Overall!$B$91:$C$97,Overall!$B$113:$C$113,Overall!$B$120:$C$126)</c:f>
              <c:multiLvlStrCache>
                <c:ptCount val="15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Rindge Tract</c:v>
                  </c:pt>
                  <c:pt idx="8">
                    <c:v>Coney Island</c:v>
                  </c:pt>
                  <c:pt idx="9">
                    <c:v>Orowood Tract</c:v>
                  </c:pt>
                  <c:pt idx="10">
                    <c:v>Palm Tract</c:v>
                  </c:pt>
                  <c:pt idx="11">
                    <c:v>Bacon Island</c:v>
                  </c:pt>
                  <c:pt idx="12">
                    <c:v>Holland Tract</c:v>
                  </c:pt>
                  <c:pt idx="13">
                    <c:v>Quinby Island</c:v>
                  </c:pt>
                  <c:pt idx="14">
                    <c:v>Mandeville Island</c:v>
                  </c:pt>
                </c:lvl>
                <c:lvl>
                  <c:pt idx="0">
                    <c:v>Central Delta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Overall!$E$91:$E$127</c15:sqref>
                  </c15:fullRef>
                </c:ext>
              </c:extLst>
              <c:f>(Overall!$E$91:$E$97,Overall!$E$113,Overall!$E$120:$E$126)</c:f>
              <c:numCache>
                <c:formatCode>_([$$-409]* #,##0.00_);_([$$-409]* \(#,##0.00\);_([$$-409]* "-"??_);_(@_)</c:formatCode>
                <c:ptCount val="15"/>
                <c:pt idx="0">
                  <c:v>911742.99999999988</c:v>
                </c:pt>
                <c:pt idx="1">
                  <c:v>979415.85</c:v>
                </c:pt>
                <c:pt idx="2">
                  <c:v>1539203.4</c:v>
                </c:pt>
                <c:pt idx="3">
                  <c:v>604525.25</c:v>
                </c:pt>
                <c:pt idx="4">
                  <c:v>2881900.6999999997</c:v>
                </c:pt>
                <c:pt idx="5">
                  <c:v>390746.99999999994</c:v>
                </c:pt>
                <c:pt idx="6">
                  <c:v>1007730.85</c:v>
                </c:pt>
                <c:pt idx="7">
                  <c:v>1909280.45</c:v>
                </c:pt>
                <c:pt idx="8">
                  <c:v>273239.75</c:v>
                </c:pt>
                <c:pt idx="9">
                  <c:v>674746.45</c:v>
                </c:pt>
                <c:pt idx="10">
                  <c:v>699380.5</c:v>
                </c:pt>
                <c:pt idx="11">
                  <c:v>1566668.95</c:v>
                </c:pt>
                <c:pt idx="12">
                  <c:v>1193194.0999999999</c:v>
                </c:pt>
                <c:pt idx="13">
                  <c:v>219158.09999999998</c:v>
                </c:pt>
                <c:pt idx="14">
                  <c:v>1477193.5499999998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CC-4532-A247-9F91E4C568A2}"/>
            </c:ext>
          </c:extLst>
        </c:ser>
        <c:ser>
          <c:idx val="2"/>
          <c:order val="2"/>
          <c:tx>
            <c:strRef>
              <c:f>Overall!$F$89</c:f>
              <c:strCache>
                <c:ptCount val="1"/>
                <c:pt idx="0">
                  <c:v>Amenity/recreation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Overall!$B$91:$C$127</c15:sqref>
                  </c15:fullRef>
                </c:ext>
              </c:extLst>
              <c:f>(Overall!$B$91:$C$97,Overall!$B$113:$C$113,Overall!$B$120:$C$126)</c:f>
              <c:multiLvlStrCache>
                <c:ptCount val="15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Rindge Tract</c:v>
                  </c:pt>
                  <c:pt idx="8">
                    <c:v>Coney Island</c:v>
                  </c:pt>
                  <c:pt idx="9">
                    <c:v>Orowood Tract</c:v>
                  </c:pt>
                  <c:pt idx="10">
                    <c:v>Palm Tract</c:v>
                  </c:pt>
                  <c:pt idx="11">
                    <c:v>Bacon Island</c:v>
                  </c:pt>
                  <c:pt idx="12">
                    <c:v>Holland Tract</c:v>
                  </c:pt>
                  <c:pt idx="13">
                    <c:v>Quinby Island</c:v>
                  </c:pt>
                  <c:pt idx="14">
                    <c:v>Mandeville Island</c:v>
                  </c:pt>
                </c:lvl>
                <c:lvl>
                  <c:pt idx="0">
                    <c:v>Central Delta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Overall!$F$91:$F$127</c15:sqref>
                  </c15:fullRef>
                </c:ext>
              </c:extLst>
              <c:f>(Overall!$F$91:$F$97,Overall!$F$113,Overall!$F$120:$F$126)</c:f>
              <c:numCache>
                <c:formatCode>_([$$-409]* #,##0.00_);_([$$-409]* \(#,##0.00\);_([$$-409]* "-"??_);_(@_)</c:formatCode>
                <c:ptCount val="15"/>
                <c:pt idx="0">
                  <c:v>1199417.8</c:v>
                </c:pt>
                <c:pt idx="1">
                  <c:v>1288442.9099999999</c:v>
                </c:pt>
                <c:pt idx="2">
                  <c:v>2024855.6400000001</c:v>
                </c:pt>
                <c:pt idx="3">
                  <c:v>795266.15</c:v>
                </c:pt>
                <c:pt idx="4">
                  <c:v>3791203.22</c:v>
                </c:pt>
                <c:pt idx="5">
                  <c:v>514036.2</c:v>
                </c:pt>
                <c:pt idx="6">
                  <c:v>1325691.9099999999</c:v>
                </c:pt>
                <c:pt idx="7">
                  <c:v>2511700.0699999998</c:v>
                </c:pt>
                <c:pt idx="8">
                  <c:v>359452.85000000003</c:v>
                </c:pt>
                <c:pt idx="9">
                  <c:v>887643.67</c:v>
                </c:pt>
                <c:pt idx="10">
                  <c:v>920050.3</c:v>
                </c:pt>
                <c:pt idx="11">
                  <c:v>2060987.1700000002</c:v>
                </c:pt>
                <c:pt idx="12">
                  <c:v>1569672.86</c:v>
                </c:pt>
                <c:pt idx="13">
                  <c:v>288307.26</c:v>
                </c:pt>
                <c:pt idx="14">
                  <c:v>1943280.33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CC-4532-A247-9F91E4C568A2}"/>
            </c:ext>
          </c:extLst>
        </c:ser>
        <c:ser>
          <c:idx val="4"/>
          <c:order val="4"/>
          <c:tx>
            <c:strRef>
              <c:f>Overall!$H$89</c:f>
              <c:strCache>
                <c:ptCount val="1"/>
                <c:pt idx="0">
                  <c:v>Biodiversity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Overall!$B$91:$C$127</c15:sqref>
                  </c15:fullRef>
                </c:ext>
              </c:extLst>
              <c:f>(Overall!$B$91:$C$97,Overall!$B$113:$C$113,Overall!$B$120:$C$126)</c:f>
              <c:multiLvlStrCache>
                <c:ptCount val="15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Rindge Tract</c:v>
                  </c:pt>
                  <c:pt idx="8">
                    <c:v>Coney Island</c:v>
                  </c:pt>
                  <c:pt idx="9">
                    <c:v>Orowood Tract</c:v>
                  </c:pt>
                  <c:pt idx="10">
                    <c:v>Palm Tract</c:v>
                  </c:pt>
                  <c:pt idx="11">
                    <c:v>Bacon Island</c:v>
                  </c:pt>
                  <c:pt idx="12">
                    <c:v>Holland Tract</c:v>
                  </c:pt>
                  <c:pt idx="13">
                    <c:v>Quinby Island</c:v>
                  </c:pt>
                  <c:pt idx="14">
                    <c:v>Mandeville Island</c:v>
                  </c:pt>
                </c:lvl>
                <c:lvl>
                  <c:pt idx="0">
                    <c:v>Central Delta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Overall!$H$91:$H$127</c15:sqref>
                  </c15:fullRef>
                </c:ext>
              </c:extLst>
              <c:f>(Overall!$H$91:$H$97,Overall!$H$113,Overall!$H$120:$H$126)</c:f>
              <c:numCache>
                <c:formatCode>_([$$-409]* #,##0.00_);_([$$-409]* \(#,##0.00\);_([$$-409]* "-"??_);_(@_)</c:formatCode>
                <c:ptCount val="15"/>
                <c:pt idx="0">
                  <c:v>521704.4</c:v>
                </c:pt>
                <c:pt idx="1">
                  <c:v>560427.18000000005</c:v>
                </c:pt>
                <c:pt idx="2">
                  <c:v>880740.72000000009</c:v>
                </c:pt>
                <c:pt idx="3">
                  <c:v>345912.7</c:v>
                </c:pt>
                <c:pt idx="4">
                  <c:v>1649039.56</c:v>
                </c:pt>
                <c:pt idx="5">
                  <c:v>223587.6</c:v>
                </c:pt>
                <c:pt idx="6">
                  <c:v>576629.18000000005</c:v>
                </c:pt>
                <c:pt idx="7">
                  <c:v>1092500.8600000001</c:v>
                </c:pt>
                <c:pt idx="8">
                  <c:v>156349.30000000002</c:v>
                </c:pt>
                <c:pt idx="9">
                  <c:v>386093.66000000003</c:v>
                </c:pt>
                <c:pt idx="10">
                  <c:v>400189.4</c:v>
                </c:pt>
                <c:pt idx="11">
                  <c:v>896456.66</c:v>
                </c:pt>
                <c:pt idx="12">
                  <c:v>682752.28</c:v>
                </c:pt>
                <c:pt idx="13">
                  <c:v>125403.48000000001</c:v>
                </c:pt>
                <c:pt idx="14">
                  <c:v>845258.34000000008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CC-4532-A247-9F91E4C568A2}"/>
            </c:ext>
          </c:extLst>
        </c:ser>
        <c:ser>
          <c:idx val="6"/>
          <c:order val="6"/>
          <c:tx>
            <c:strRef>
              <c:f>Overall!$J$89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Overall!$B$91:$C$127</c15:sqref>
                  </c15:fullRef>
                </c:ext>
              </c:extLst>
              <c:f>(Overall!$B$91:$C$97,Overall!$B$113:$C$113,Overall!$B$120:$C$126)</c:f>
              <c:multiLvlStrCache>
                <c:ptCount val="15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Rindge Tract</c:v>
                  </c:pt>
                  <c:pt idx="8">
                    <c:v>Coney Island</c:v>
                  </c:pt>
                  <c:pt idx="9">
                    <c:v>Orowood Tract</c:v>
                  </c:pt>
                  <c:pt idx="10">
                    <c:v>Palm Tract</c:v>
                  </c:pt>
                  <c:pt idx="11">
                    <c:v>Bacon Island</c:v>
                  </c:pt>
                  <c:pt idx="12">
                    <c:v>Holland Tract</c:v>
                  </c:pt>
                  <c:pt idx="13">
                    <c:v>Quinby Island</c:v>
                  </c:pt>
                  <c:pt idx="14">
                    <c:v>Mandeville Island</c:v>
                  </c:pt>
                </c:lvl>
                <c:lvl>
                  <c:pt idx="0">
                    <c:v>Central Delta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Overall!$J$91:$J$127</c15:sqref>
                  </c15:fullRef>
                </c:ext>
              </c:extLst>
              <c:f>(Overall!$J$91:$J$97,Overall!$J$113,Overall!$J$120:$J$126)</c:f>
              <c:numCache>
                <c:formatCode>_([$$-409]* #,##0.00_);_([$$-409]* \(#,##0.00\);_([$$-409]* "-"??_);_(@_)</c:formatCode>
                <c:ptCount val="15"/>
                <c:pt idx="0">
                  <c:v>299846.40000000002</c:v>
                </c:pt>
                <c:pt idx="1">
                  <c:v>322102.08</c:v>
                </c:pt>
                <c:pt idx="2">
                  <c:v>506200.32000000001</c:v>
                </c:pt>
                <c:pt idx="3">
                  <c:v>198811.2</c:v>
                </c:pt>
                <c:pt idx="4">
                  <c:v>947775.3600000001</c:v>
                </c:pt>
                <c:pt idx="5">
                  <c:v>128505.60000000001</c:v>
                </c:pt>
                <c:pt idx="6">
                  <c:v>331414.08</c:v>
                </c:pt>
                <c:pt idx="7">
                  <c:v>627908.16</c:v>
                </c:pt>
                <c:pt idx="8">
                  <c:v>89860.800000000003</c:v>
                </c:pt>
                <c:pt idx="9">
                  <c:v>221904.96000000002</c:v>
                </c:pt>
                <c:pt idx="10">
                  <c:v>230006.40000000002</c:v>
                </c:pt>
                <c:pt idx="11">
                  <c:v>515232.96</c:v>
                </c:pt>
                <c:pt idx="12">
                  <c:v>392407.68</c:v>
                </c:pt>
                <c:pt idx="13">
                  <c:v>72074.880000000005</c:v>
                </c:pt>
                <c:pt idx="14">
                  <c:v>485807.04000000004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CC-4532-A247-9F91E4C56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647599"/>
        <c:axId val="2229871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Overall!$D$89</c15:sqref>
                        </c15:formulaRef>
                      </c:ext>
                    </c:extLst>
                    <c:strCache>
                      <c:ptCount val="1"/>
                      <c:pt idx="0">
                        <c:v>Flood control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ullRef>
                          <c15:sqref>Overall!$B$91:$C$127</c15:sqref>
                        </c15:fullRef>
                        <c15:formulaRef>
                          <c15:sqref>(Overall!$B$91:$C$97,Overall!$B$113:$C$113,Overall!$B$120:$C$126)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Overall!$D$91:$D$127</c15:sqref>
                        </c15:fullRef>
                        <c15:formulaRef>
                          <c15:sqref>(Overall!$D$91:$D$97,Overall!$D$113,Overall!$D$120:$D$126)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1131153.8</c:v>
                      </c:pt>
                      <c:pt idx="1">
                        <c:v>1215112.1100000001</c:v>
                      </c:pt>
                      <c:pt idx="2">
                        <c:v>1909612.4400000002</c:v>
                      </c:pt>
                      <c:pt idx="3">
                        <c:v>750004.15</c:v>
                      </c:pt>
                      <c:pt idx="4">
                        <c:v>3575429.62</c:v>
                      </c:pt>
                      <c:pt idx="5">
                        <c:v>484780.2</c:v>
                      </c:pt>
                      <c:pt idx="6">
                        <c:v>1250241.1100000001</c:v>
                      </c:pt>
                      <c:pt idx="7">
                        <c:v>2368748.4700000002</c:v>
                      </c:pt>
                      <c:pt idx="8">
                        <c:v>338994.85000000003</c:v>
                      </c:pt>
                      <c:pt idx="9">
                        <c:v>837124.07000000007</c:v>
                      </c:pt>
                      <c:pt idx="10">
                        <c:v>867686.3</c:v>
                      </c:pt>
                      <c:pt idx="11">
                        <c:v>1943687.57</c:v>
                      </c:pt>
                      <c:pt idx="12">
                        <c:v>1480336.06</c:v>
                      </c:pt>
                      <c:pt idx="13">
                        <c:v>271898.46000000002</c:v>
                      </c:pt>
                      <c:pt idx="14">
                        <c:v>1832679.9300000002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ACC-4532-A247-9F91E4C568A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Overall!$G$89</c15:sqref>
                        </c15:formulaRef>
                      </c:ext>
                    </c:extLst>
                    <c:strCache>
                      <c:ptCount val="1"/>
                      <c:pt idx="0">
                        <c:v>Water filtering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Overall!$B$91:$C$127</c15:sqref>
                        </c15:fullRef>
                        <c15:formulaRef>
                          <c15:sqref>(Overall!$B$91:$C$97,Overall!$B$113:$C$113,Overall!$B$120:$C$126)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Overall!$G$91:$G$127</c15:sqref>
                        </c15:fullRef>
                        <c15:formulaRef>
                          <c15:sqref>(Overall!$G$91:$G$97,Overall!$G$113,Overall!$G$120:$G$126)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702088.79999999993</c:v>
                      </c:pt>
                      <c:pt idx="1">
                        <c:v>754200.36</c:v>
                      </c:pt>
                      <c:pt idx="2">
                        <c:v>1185265.44</c:v>
                      </c:pt>
                      <c:pt idx="3">
                        <c:v>465515.39999999997</c:v>
                      </c:pt>
                      <c:pt idx="4">
                        <c:v>2219211.12</c:v>
                      </c:pt>
                      <c:pt idx="5">
                        <c:v>300895.2</c:v>
                      </c:pt>
                      <c:pt idx="6">
                        <c:v>776004.36</c:v>
                      </c:pt>
                      <c:pt idx="7">
                        <c:v>1470243.72</c:v>
                      </c:pt>
                      <c:pt idx="8">
                        <c:v>210408.6</c:v>
                      </c:pt>
                      <c:pt idx="9">
                        <c:v>519589.32</c:v>
                      </c:pt>
                      <c:pt idx="10">
                        <c:v>538558.79999999993</c:v>
                      </c:pt>
                      <c:pt idx="11">
                        <c:v>1206415.32</c:v>
                      </c:pt>
                      <c:pt idx="12">
                        <c:v>918820.55999999994</c:v>
                      </c:pt>
                      <c:pt idx="13">
                        <c:v>168762.96</c:v>
                      </c:pt>
                      <c:pt idx="14">
                        <c:v>1137514.68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CC-4532-A247-9F91E4C568A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Overall!$I$89</c15:sqref>
                        </c15:formulaRef>
                      </c:ext>
                    </c:extLst>
                    <c:strCache>
                      <c:ptCount val="1"/>
                      <c:pt idx="0">
                        <c:v>Habitat nursery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Overall!$B$91:$C$127</c15:sqref>
                        </c15:fullRef>
                        <c15:formulaRef>
                          <c15:sqref>(Overall!$B$91:$C$97,Overall!$B$113:$C$113,Overall!$B$120:$C$126)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Overall!$I$91:$I$127</c15:sqref>
                        </c15:fullRef>
                        <c15:formulaRef>
                          <c15:sqref>(Overall!$I$91:$I$97,Overall!$I$113,Overall!$I$120:$I$126)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489987.39999999997</c:v>
                      </c:pt>
                      <c:pt idx="1">
                        <c:v>526356.02999999991</c:v>
                      </c:pt>
                      <c:pt idx="2">
                        <c:v>827196.11999999988</c:v>
                      </c:pt>
                      <c:pt idx="3">
                        <c:v>324882.94999999995</c:v>
                      </c:pt>
                      <c:pt idx="4">
                        <c:v>1548786.2599999998</c:v>
                      </c:pt>
                      <c:pt idx="5">
                        <c:v>209994.59999999998</c:v>
                      </c:pt>
                      <c:pt idx="6">
                        <c:v>541573.02999999991</c:v>
                      </c:pt>
                      <c:pt idx="7">
                        <c:v>1026082.3099999999</c:v>
                      </c:pt>
                      <c:pt idx="8">
                        <c:v>146844.04999999999</c:v>
                      </c:pt>
                      <c:pt idx="9">
                        <c:v>362621.11</c:v>
                      </c:pt>
                      <c:pt idx="10">
                        <c:v>375859.89999999997</c:v>
                      </c:pt>
                      <c:pt idx="11">
                        <c:v>841956.61</c:v>
                      </c:pt>
                      <c:pt idx="12">
                        <c:v>641244.38</c:v>
                      </c:pt>
                      <c:pt idx="13">
                        <c:v>117779.57999999999</c:v>
                      </c:pt>
                      <c:pt idx="14">
                        <c:v>793870.8899999999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CC-4532-A247-9F91E4C568A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Overall!$K$89</c15:sqref>
                        </c15:formulaRef>
                      </c:ext>
                    </c:extLst>
                    <c:strCache>
                      <c:ptCount val="1"/>
                      <c:pt idx="0">
                        <c:v>Water supply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Overall!$B$91:$C$127</c15:sqref>
                        </c15:fullRef>
                        <c15:formulaRef>
                          <c15:sqref>(Overall!$B$91:$C$97,Overall!$B$113:$C$113,Overall!$B$120:$C$126)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Overall!$K$91:$K$127</c15:sqref>
                        </c15:fullRef>
                        <c15:formulaRef>
                          <c15:sqref>(Overall!$K$91:$K$97,Overall!$K$113,Overall!$K$120:$K$126)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109705.4</c:v>
                      </c:pt>
                      <c:pt idx="1">
                        <c:v>117848.13</c:v>
                      </c:pt>
                      <c:pt idx="2">
                        <c:v>185204.52</c:v>
                      </c:pt>
                      <c:pt idx="3">
                        <c:v>72739.45</c:v>
                      </c:pt>
                      <c:pt idx="4">
                        <c:v>346764.46</c:v>
                      </c:pt>
                      <c:pt idx="5">
                        <c:v>47016.6</c:v>
                      </c:pt>
                      <c:pt idx="6">
                        <c:v>121255.13</c:v>
                      </c:pt>
                      <c:pt idx="7">
                        <c:v>229734.01</c:v>
                      </c:pt>
                      <c:pt idx="8">
                        <c:v>32877.550000000003</c:v>
                      </c:pt>
                      <c:pt idx="9">
                        <c:v>81188.81</c:v>
                      </c:pt>
                      <c:pt idx="10">
                        <c:v>84152.9</c:v>
                      </c:pt>
                      <c:pt idx="11">
                        <c:v>188509.31</c:v>
                      </c:pt>
                      <c:pt idx="12">
                        <c:v>143570.98000000001</c:v>
                      </c:pt>
                      <c:pt idx="13">
                        <c:v>26370.18</c:v>
                      </c:pt>
                      <c:pt idx="14">
                        <c:v>177743.19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CC-4532-A247-9F91E4C568A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Overall!$L$89</c15:sqref>
                        </c15:formulaRef>
                      </c:ext>
                    </c:extLst>
                    <c:strCache>
                      <c:ptCount val="1"/>
                      <c:pt idx="0">
                        <c:v>Materials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Overall!$B$91:$C$127</c15:sqref>
                        </c15:fullRef>
                        <c15:formulaRef>
                          <c15:sqref>(Overall!$B$91:$C$97,Overall!$B$113:$C$113,Overall!$B$120:$C$126)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Overall!$L$91:$L$127</c15:sqref>
                        </c15:fullRef>
                        <c15:formulaRef>
                          <c15:sqref>(Overall!$L$91:$L$97,Overall!$L$113,Overall!$L$120:$L$126)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109705.4</c:v>
                      </c:pt>
                      <c:pt idx="1">
                        <c:v>117848.13</c:v>
                      </c:pt>
                      <c:pt idx="2">
                        <c:v>185204.52</c:v>
                      </c:pt>
                      <c:pt idx="3">
                        <c:v>72739.45</c:v>
                      </c:pt>
                      <c:pt idx="4">
                        <c:v>346764.46</c:v>
                      </c:pt>
                      <c:pt idx="5">
                        <c:v>47016.6</c:v>
                      </c:pt>
                      <c:pt idx="6">
                        <c:v>121255.13</c:v>
                      </c:pt>
                      <c:pt idx="7">
                        <c:v>229734.01</c:v>
                      </c:pt>
                      <c:pt idx="8">
                        <c:v>32877.550000000003</c:v>
                      </c:pt>
                      <c:pt idx="9">
                        <c:v>81188.81</c:v>
                      </c:pt>
                      <c:pt idx="10">
                        <c:v>84152.9</c:v>
                      </c:pt>
                      <c:pt idx="11">
                        <c:v>188509.31</c:v>
                      </c:pt>
                      <c:pt idx="12">
                        <c:v>143570.98000000001</c:v>
                      </c:pt>
                      <c:pt idx="13">
                        <c:v>26370.18</c:v>
                      </c:pt>
                      <c:pt idx="14">
                        <c:v>177743.19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CC-4532-A247-9F91E4C568A2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Overall!$M$89</c15:sqref>
                        </c15:formulaRef>
                      </c:ext>
                    </c:extLst>
                    <c:strCache>
                      <c:ptCount val="1"/>
                      <c:pt idx="0">
                        <c:v>Fuel wood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Overall!$B$91:$C$127</c15:sqref>
                        </c15:fullRef>
                        <c15:formulaRef>
                          <c15:sqref>(Overall!$B$91:$C$97,Overall!$B$113:$C$113,Overall!$B$120:$C$126)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Overall!$M$91:$M$127</c15:sqref>
                        </c15:fullRef>
                        <c15:formulaRef>
                          <c15:sqref>(Overall!$M$91:$M$97,Overall!$M$113,Overall!$M$120:$M$126)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34132</c:v>
                      </c:pt>
                      <c:pt idx="1">
                        <c:v>36665.4</c:v>
                      </c:pt>
                      <c:pt idx="2">
                        <c:v>57621.599999999999</c:v>
                      </c:pt>
                      <c:pt idx="3">
                        <c:v>22631</c:v>
                      </c:pt>
                      <c:pt idx="4">
                        <c:v>107886.8</c:v>
                      </c:pt>
                      <c:pt idx="5">
                        <c:v>14628</c:v>
                      </c:pt>
                      <c:pt idx="6">
                        <c:v>37725.4</c:v>
                      </c:pt>
                      <c:pt idx="7">
                        <c:v>71475.8</c:v>
                      </c:pt>
                      <c:pt idx="8">
                        <c:v>10229</c:v>
                      </c:pt>
                      <c:pt idx="9">
                        <c:v>25259.8</c:v>
                      </c:pt>
                      <c:pt idx="10">
                        <c:v>26182</c:v>
                      </c:pt>
                      <c:pt idx="11">
                        <c:v>58649.799999999996</c:v>
                      </c:pt>
                      <c:pt idx="12">
                        <c:v>44668.4</c:v>
                      </c:pt>
                      <c:pt idx="13">
                        <c:v>8204.4</c:v>
                      </c:pt>
                      <c:pt idx="14">
                        <c:v>55300.2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CC-4532-A247-9F91E4C568A2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Overall!$N$89</c15:sqref>
                        </c15:formulaRef>
                      </c:ext>
                    </c:extLst>
                    <c:strCache>
                      <c:ptCount val="1"/>
                      <c:pt idx="0">
                        <c:v>Sum of all ten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Overall!$B$91:$C$127</c15:sqref>
                        </c15:fullRef>
                        <c15:formulaRef>
                          <c15:sqref>(Overall!$B$91:$C$97,Overall!$B$113:$C$113,Overall!$B$120:$C$126)</c15:sqref>
                        </c15:formulaRef>
                      </c:ext>
                    </c:extLst>
                    <c:multiLvlStrCache>
                      <c:ptCount val="15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Rindge Tract</c:v>
                        </c:pt>
                        <c:pt idx="8">
                          <c:v>Coney Island</c:v>
                        </c:pt>
                        <c:pt idx="9">
                          <c:v>Orowood Tract</c:v>
                        </c:pt>
                        <c:pt idx="10">
                          <c:v>Palm Tract</c:v>
                        </c:pt>
                        <c:pt idx="11">
                          <c:v>Bacon Island</c:v>
                        </c:pt>
                        <c:pt idx="12">
                          <c:v>Holland Tract</c:v>
                        </c:pt>
                        <c:pt idx="13">
                          <c:v>Quinby Island</c:v>
                        </c:pt>
                        <c:pt idx="14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Overall!$N$91:$N$127</c15:sqref>
                        </c15:fullRef>
                        <c15:formulaRef>
                          <c15:sqref>(Overall!$N$91:$N$97,Overall!$N$113,Overall!$N$120:$N$126)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15"/>
                      <c:pt idx="0">
                        <c:v>5509484.4000000004</c:v>
                      </c:pt>
                      <c:pt idx="1">
                        <c:v>5918418.1799999997</c:v>
                      </c:pt>
                      <c:pt idx="2">
                        <c:v>9301104.7200000007</c:v>
                      </c:pt>
                      <c:pt idx="3">
                        <c:v>3653027.7</c:v>
                      </c:pt>
                      <c:pt idx="4">
                        <c:v>17414761.559999999</c:v>
                      </c:pt>
                      <c:pt idx="5">
                        <c:v>2361207.6</c:v>
                      </c:pt>
                      <c:pt idx="6">
                        <c:v>6089520.1799999997</c:v>
                      </c:pt>
                      <c:pt idx="7">
                        <c:v>11537407.859999999</c:v>
                      </c:pt>
                      <c:pt idx="8">
                        <c:v>1651134.3</c:v>
                      </c:pt>
                      <c:pt idx="9">
                        <c:v>4077360.66</c:v>
                      </c:pt>
                      <c:pt idx="10">
                        <c:v>4226219.4000000004</c:v>
                      </c:pt>
                      <c:pt idx="11">
                        <c:v>9467073.6600000001</c:v>
                      </c:pt>
                      <c:pt idx="12">
                        <c:v>7210238.2800000003</c:v>
                      </c:pt>
                      <c:pt idx="13">
                        <c:v>1324329.48</c:v>
                      </c:pt>
                      <c:pt idx="14">
                        <c:v>8926391.3399999999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CC-4532-A247-9F91E4C568A2}"/>
                  </c:ext>
                </c:extLst>
              </c15:ser>
            </c15:filteredLineSeries>
          </c:ext>
        </c:extLst>
      </c:lineChart>
      <c:catAx>
        <c:axId val="30264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987119"/>
        <c:crosses val="autoZero"/>
        <c:auto val="1"/>
        <c:lblAlgn val="ctr"/>
        <c:lblOffset val="100"/>
        <c:noMultiLvlLbl val="0"/>
      </c:catAx>
      <c:valAx>
        <c:axId val="22298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47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Benefits: acre/yr (2025$)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Overall!$E$3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Overall!$B$5:$C$42</c:f>
              <c:multiLvlStrCache>
                <c:ptCount val="38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Grand Island</c:v>
                  </c:pt>
                  <c:pt idx="8">
                    <c:v>Ryer Island</c:v>
                  </c:pt>
                  <c:pt idx="9">
                    <c:v>Tyler Island</c:v>
                  </c:pt>
                  <c:pt idx="10">
                    <c:v>Staten Island</c:v>
                  </c:pt>
                  <c:pt idx="11">
                    <c:v>Dead Horse Island</c:v>
                  </c:pt>
                  <c:pt idx="12">
                    <c:v>Sutter Island</c:v>
                  </c:pt>
                  <c:pt idx="13">
                    <c:v>New Hope Tract</c:v>
                  </c:pt>
                  <c:pt idx="14">
                    <c:v>Canal Ranch Tract</c:v>
                  </c:pt>
                  <c:pt idx="15">
                    <c:v>Brannan Island</c:v>
                  </c:pt>
                  <c:pt idx="16">
                    <c:v>Terminous Tract</c:v>
                  </c:pt>
                  <c:pt idx="17">
                    <c:v>Bouldin Island</c:v>
                  </c:pt>
                  <c:pt idx="18">
                    <c:v>Venice Island</c:v>
                  </c:pt>
                  <c:pt idx="19">
                    <c:v>Medford Island</c:v>
                  </c:pt>
                  <c:pt idx="20">
                    <c:v>Empire Tract</c:v>
                  </c:pt>
                  <c:pt idx="21">
                    <c:v>King Island</c:v>
                  </c:pt>
                  <c:pt idx="22">
                    <c:v>Rindge Tract</c:v>
                  </c:pt>
                  <c:pt idx="23">
                    <c:v>Wright-Elmwood Tract</c:v>
                  </c:pt>
                  <c:pt idx="24">
                    <c:v>McDonald Tract</c:v>
                  </c:pt>
                  <c:pt idx="25">
                    <c:v>Jones Tract</c:v>
                  </c:pt>
                  <c:pt idx="26">
                    <c:v>Rough and Ready</c:v>
                  </c:pt>
                  <c:pt idx="27">
                    <c:v>Roberts Island</c:v>
                  </c:pt>
                  <c:pt idx="28">
                    <c:v>Union Island</c:v>
                  </c:pt>
                  <c:pt idx="29">
                    <c:v>Victoria Island</c:v>
                  </c:pt>
                  <c:pt idx="30">
                    <c:v>Woodward Island</c:v>
                  </c:pt>
                  <c:pt idx="31">
                    <c:v>Coney Island</c:v>
                  </c:pt>
                  <c:pt idx="32">
                    <c:v>Orowood Tract</c:v>
                  </c:pt>
                  <c:pt idx="33">
                    <c:v>Palm Tract</c:v>
                  </c:pt>
                  <c:pt idx="34">
                    <c:v>Bacon Island</c:v>
                  </c:pt>
                  <c:pt idx="35">
                    <c:v>Holland Tract</c:v>
                  </c:pt>
                  <c:pt idx="36">
                    <c:v>Quinby Island</c:v>
                  </c:pt>
                  <c:pt idx="37">
                    <c:v>Mandeville Island</c:v>
                  </c:pt>
                </c:lvl>
                <c:lvl>
                  <c:pt idx="0">
                    <c:v>Central Delta</c:v>
                  </c:pt>
                  <c:pt idx="7">
                    <c:v>North Delta</c:v>
                  </c:pt>
                  <c:pt idx="15">
                    <c:v>North-Central</c:v>
                  </c:pt>
                  <c:pt idx="16">
                    <c:v>North-South</c:v>
                  </c:pt>
                  <c:pt idx="17">
                    <c:v>South Delta</c:v>
                  </c:pt>
                </c:lvl>
              </c:multiLvlStrCache>
            </c:multiLvlStrRef>
          </c:cat>
          <c:val>
            <c:numRef>
              <c:f>Overall!$E$5:$E$42</c:f>
              <c:numCache>
                <c:formatCode>_([$$-409]* #,##0.00_);_([$$-409]* \(#,##0.00\);_([$$-409]* "-"??_);_(@_)</c:formatCode>
                <c:ptCount val="38"/>
                <c:pt idx="0">
                  <c:v>911742.99999999988</c:v>
                </c:pt>
                <c:pt idx="1">
                  <c:v>979415.85</c:v>
                </c:pt>
                <c:pt idx="2">
                  <c:v>1539203.4</c:v>
                </c:pt>
                <c:pt idx="3">
                  <c:v>604525.25</c:v>
                </c:pt>
                <c:pt idx="4">
                  <c:v>2881900.6999999997</c:v>
                </c:pt>
                <c:pt idx="5">
                  <c:v>390746.99999999994</c:v>
                </c:pt>
                <c:pt idx="6">
                  <c:v>1007730.85</c:v>
                </c:pt>
                <c:pt idx="7">
                  <c:v>4684150.4499999993</c:v>
                </c:pt>
                <c:pt idx="8">
                  <c:v>3340603.6999999997</c:v>
                </c:pt>
                <c:pt idx="9">
                  <c:v>2491436.8499999996</c:v>
                </c:pt>
                <c:pt idx="10">
                  <c:v>2579779.65</c:v>
                </c:pt>
                <c:pt idx="11">
                  <c:v>58895.199999999997</c:v>
                </c:pt>
                <c:pt idx="12">
                  <c:v>711839.1</c:v>
                </c:pt>
                <c:pt idx="13">
                  <c:v>2608094.65</c:v>
                </c:pt>
                <c:pt idx="14">
                  <c:v>831328.39999999991</c:v>
                </c:pt>
                <c:pt idx="15">
                  <c:v>3654617.05</c:v>
                </c:pt>
                <c:pt idx="16">
                  <c:v>2932867.6999999997</c:v>
                </c:pt>
                <c:pt idx="17">
                  <c:v>1680778.4</c:v>
                </c:pt>
                <c:pt idx="18">
                  <c:v>876066.1</c:v>
                </c:pt>
                <c:pt idx="19">
                  <c:v>329869.75</c:v>
                </c:pt>
                <c:pt idx="20">
                  <c:v>1026418.7499999999</c:v>
                </c:pt>
                <c:pt idx="21">
                  <c:v>910610.39999999991</c:v>
                </c:pt>
                <c:pt idx="22">
                  <c:v>1909280.45</c:v>
                </c:pt>
                <c:pt idx="23">
                  <c:v>596030.75</c:v>
                </c:pt>
                <c:pt idx="24">
                  <c:v>1715888.9999999998</c:v>
                </c:pt>
                <c:pt idx="25">
                  <c:v>3433760.05</c:v>
                </c:pt>
                <c:pt idx="26">
                  <c:v>396693.14999999997</c:v>
                </c:pt>
                <c:pt idx="27">
                  <c:v>10097978.449999999</c:v>
                </c:pt>
                <c:pt idx="28">
                  <c:v>7007962.4999999991</c:v>
                </c:pt>
                <c:pt idx="29">
                  <c:v>2036697.9499999997</c:v>
                </c:pt>
                <c:pt idx="30">
                  <c:v>512218.35</c:v>
                </c:pt>
                <c:pt idx="31">
                  <c:v>273239.75</c:v>
                </c:pt>
                <c:pt idx="32">
                  <c:v>674746.45</c:v>
                </c:pt>
                <c:pt idx="33">
                  <c:v>699380.5</c:v>
                </c:pt>
                <c:pt idx="34">
                  <c:v>1566668.95</c:v>
                </c:pt>
                <c:pt idx="35">
                  <c:v>1193194.0999999999</c:v>
                </c:pt>
                <c:pt idx="36">
                  <c:v>219158.09999999998</c:v>
                </c:pt>
                <c:pt idx="37">
                  <c:v>1477193.5499999998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A8-427B-AA93-5916DA9C7784}"/>
            </c:ext>
          </c:extLst>
        </c:ser>
        <c:ser>
          <c:idx val="2"/>
          <c:order val="2"/>
          <c:tx>
            <c:strRef>
              <c:f>Overall!$F$3</c:f>
              <c:strCache>
                <c:ptCount val="1"/>
                <c:pt idx="0">
                  <c:v>Amenity/recreation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Overall!$B$5:$C$42</c:f>
              <c:multiLvlStrCache>
                <c:ptCount val="38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Grand Island</c:v>
                  </c:pt>
                  <c:pt idx="8">
                    <c:v>Ryer Island</c:v>
                  </c:pt>
                  <c:pt idx="9">
                    <c:v>Tyler Island</c:v>
                  </c:pt>
                  <c:pt idx="10">
                    <c:v>Staten Island</c:v>
                  </c:pt>
                  <c:pt idx="11">
                    <c:v>Dead Horse Island</c:v>
                  </c:pt>
                  <c:pt idx="12">
                    <c:v>Sutter Island</c:v>
                  </c:pt>
                  <c:pt idx="13">
                    <c:v>New Hope Tract</c:v>
                  </c:pt>
                  <c:pt idx="14">
                    <c:v>Canal Ranch Tract</c:v>
                  </c:pt>
                  <c:pt idx="15">
                    <c:v>Brannan Island</c:v>
                  </c:pt>
                  <c:pt idx="16">
                    <c:v>Terminous Tract</c:v>
                  </c:pt>
                  <c:pt idx="17">
                    <c:v>Bouldin Island</c:v>
                  </c:pt>
                  <c:pt idx="18">
                    <c:v>Venice Island</c:v>
                  </c:pt>
                  <c:pt idx="19">
                    <c:v>Medford Island</c:v>
                  </c:pt>
                  <c:pt idx="20">
                    <c:v>Empire Tract</c:v>
                  </c:pt>
                  <c:pt idx="21">
                    <c:v>King Island</c:v>
                  </c:pt>
                  <c:pt idx="22">
                    <c:v>Rindge Tract</c:v>
                  </c:pt>
                  <c:pt idx="23">
                    <c:v>Wright-Elmwood Tract</c:v>
                  </c:pt>
                  <c:pt idx="24">
                    <c:v>McDonald Tract</c:v>
                  </c:pt>
                  <c:pt idx="25">
                    <c:v>Jones Tract</c:v>
                  </c:pt>
                  <c:pt idx="26">
                    <c:v>Rough and Ready</c:v>
                  </c:pt>
                  <c:pt idx="27">
                    <c:v>Roberts Island</c:v>
                  </c:pt>
                  <c:pt idx="28">
                    <c:v>Union Island</c:v>
                  </c:pt>
                  <c:pt idx="29">
                    <c:v>Victoria Island</c:v>
                  </c:pt>
                  <c:pt idx="30">
                    <c:v>Woodward Island</c:v>
                  </c:pt>
                  <c:pt idx="31">
                    <c:v>Coney Island</c:v>
                  </c:pt>
                  <c:pt idx="32">
                    <c:v>Orowood Tract</c:v>
                  </c:pt>
                  <c:pt idx="33">
                    <c:v>Palm Tract</c:v>
                  </c:pt>
                  <c:pt idx="34">
                    <c:v>Bacon Island</c:v>
                  </c:pt>
                  <c:pt idx="35">
                    <c:v>Holland Tract</c:v>
                  </c:pt>
                  <c:pt idx="36">
                    <c:v>Quinby Island</c:v>
                  </c:pt>
                  <c:pt idx="37">
                    <c:v>Mandeville Island</c:v>
                  </c:pt>
                </c:lvl>
                <c:lvl>
                  <c:pt idx="0">
                    <c:v>Central Delta</c:v>
                  </c:pt>
                  <c:pt idx="7">
                    <c:v>North Delta</c:v>
                  </c:pt>
                  <c:pt idx="15">
                    <c:v>North-Central</c:v>
                  </c:pt>
                  <c:pt idx="16">
                    <c:v>North-South</c:v>
                  </c:pt>
                  <c:pt idx="17">
                    <c:v>South Delta</c:v>
                  </c:pt>
                </c:lvl>
              </c:multiLvlStrCache>
            </c:multiLvlStrRef>
          </c:cat>
          <c:val>
            <c:numRef>
              <c:f>Overall!$F$5:$F$42</c:f>
              <c:numCache>
                <c:formatCode>_([$$-409]* #,##0.00_);_([$$-409]* \(#,##0.00\);_([$$-409]* "-"??_);_(@_)</c:formatCode>
                <c:ptCount val="38"/>
                <c:pt idx="0">
                  <c:v>1199417.8</c:v>
                </c:pt>
                <c:pt idx="1">
                  <c:v>1288442.9099999999</c:v>
                </c:pt>
                <c:pt idx="2">
                  <c:v>2024855.6400000001</c:v>
                </c:pt>
                <c:pt idx="3">
                  <c:v>795266.15</c:v>
                </c:pt>
                <c:pt idx="4">
                  <c:v>3791203.22</c:v>
                </c:pt>
                <c:pt idx="5">
                  <c:v>514036.2</c:v>
                </c:pt>
                <c:pt idx="6">
                  <c:v>1325691.9099999999</c:v>
                </c:pt>
                <c:pt idx="7">
                  <c:v>6162102.0700000003</c:v>
                </c:pt>
                <c:pt idx="8">
                  <c:v>4394637.0200000005</c:v>
                </c:pt>
                <c:pt idx="9">
                  <c:v>3277539.5100000002</c:v>
                </c:pt>
                <c:pt idx="10">
                  <c:v>3393756.39</c:v>
                </c:pt>
                <c:pt idx="11">
                  <c:v>77477.919999999998</c:v>
                </c:pt>
                <c:pt idx="12">
                  <c:v>936439.86</c:v>
                </c:pt>
                <c:pt idx="13">
                  <c:v>3431005.39</c:v>
                </c:pt>
                <c:pt idx="14">
                  <c:v>1093630.6400000001</c:v>
                </c:pt>
                <c:pt idx="15">
                  <c:v>4807728.43</c:v>
                </c:pt>
                <c:pt idx="16">
                  <c:v>3858251.42</c:v>
                </c:pt>
                <c:pt idx="17">
                  <c:v>2211100.64</c:v>
                </c:pt>
                <c:pt idx="18">
                  <c:v>1152484.06</c:v>
                </c:pt>
                <c:pt idx="19">
                  <c:v>433950.85000000003</c:v>
                </c:pt>
                <c:pt idx="20">
                  <c:v>1350276.25</c:v>
                </c:pt>
                <c:pt idx="21">
                  <c:v>1197927.8400000001</c:v>
                </c:pt>
                <c:pt idx="22">
                  <c:v>2511700.0699999998</c:v>
                </c:pt>
                <c:pt idx="23">
                  <c:v>784091.45000000007</c:v>
                </c:pt>
                <c:pt idx="24">
                  <c:v>2257289.4</c:v>
                </c:pt>
                <c:pt idx="25">
                  <c:v>4517186.2300000004</c:v>
                </c:pt>
                <c:pt idx="26">
                  <c:v>521858.49</c:v>
                </c:pt>
                <c:pt idx="27">
                  <c:v>13284110.870000001</c:v>
                </c:pt>
                <c:pt idx="28">
                  <c:v>9219127.5</c:v>
                </c:pt>
                <c:pt idx="29">
                  <c:v>2679320.5700000003</c:v>
                </c:pt>
                <c:pt idx="30">
                  <c:v>673834.41</c:v>
                </c:pt>
                <c:pt idx="31">
                  <c:v>359452.85000000003</c:v>
                </c:pt>
                <c:pt idx="32">
                  <c:v>887643.67</c:v>
                </c:pt>
                <c:pt idx="33">
                  <c:v>920050.3</c:v>
                </c:pt>
                <c:pt idx="34">
                  <c:v>2060987.1700000002</c:v>
                </c:pt>
                <c:pt idx="35">
                  <c:v>1569672.86</c:v>
                </c:pt>
                <c:pt idx="36">
                  <c:v>288307.26</c:v>
                </c:pt>
                <c:pt idx="37">
                  <c:v>1943280.33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A8-427B-AA93-5916DA9C7784}"/>
            </c:ext>
          </c:extLst>
        </c:ser>
        <c:ser>
          <c:idx val="4"/>
          <c:order val="4"/>
          <c:tx>
            <c:strRef>
              <c:f>Overall!$H$3</c:f>
              <c:strCache>
                <c:ptCount val="1"/>
                <c:pt idx="0">
                  <c:v>Biodiversity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Overall!$B$5:$C$42</c:f>
              <c:multiLvlStrCache>
                <c:ptCount val="38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Grand Island</c:v>
                  </c:pt>
                  <c:pt idx="8">
                    <c:v>Ryer Island</c:v>
                  </c:pt>
                  <c:pt idx="9">
                    <c:v>Tyler Island</c:v>
                  </c:pt>
                  <c:pt idx="10">
                    <c:v>Staten Island</c:v>
                  </c:pt>
                  <c:pt idx="11">
                    <c:v>Dead Horse Island</c:v>
                  </c:pt>
                  <c:pt idx="12">
                    <c:v>Sutter Island</c:v>
                  </c:pt>
                  <c:pt idx="13">
                    <c:v>New Hope Tract</c:v>
                  </c:pt>
                  <c:pt idx="14">
                    <c:v>Canal Ranch Tract</c:v>
                  </c:pt>
                  <c:pt idx="15">
                    <c:v>Brannan Island</c:v>
                  </c:pt>
                  <c:pt idx="16">
                    <c:v>Terminous Tract</c:v>
                  </c:pt>
                  <c:pt idx="17">
                    <c:v>Bouldin Island</c:v>
                  </c:pt>
                  <c:pt idx="18">
                    <c:v>Venice Island</c:v>
                  </c:pt>
                  <c:pt idx="19">
                    <c:v>Medford Island</c:v>
                  </c:pt>
                  <c:pt idx="20">
                    <c:v>Empire Tract</c:v>
                  </c:pt>
                  <c:pt idx="21">
                    <c:v>King Island</c:v>
                  </c:pt>
                  <c:pt idx="22">
                    <c:v>Rindge Tract</c:v>
                  </c:pt>
                  <c:pt idx="23">
                    <c:v>Wright-Elmwood Tract</c:v>
                  </c:pt>
                  <c:pt idx="24">
                    <c:v>McDonald Tract</c:v>
                  </c:pt>
                  <c:pt idx="25">
                    <c:v>Jones Tract</c:v>
                  </c:pt>
                  <c:pt idx="26">
                    <c:v>Rough and Ready</c:v>
                  </c:pt>
                  <c:pt idx="27">
                    <c:v>Roberts Island</c:v>
                  </c:pt>
                  <c:pt idx="28">
                    <c:v>Union Island</c:v>
                  </c:pt>
                  <c:pt idx="29">
                    <c:v>Victoria Island</c:v>
                  </c:pt>
                  <c:pt idx="30">
                    <c:v>Woodward Island</c:v>
                  </c:pt>
                  <c:pt idx="31">
                    <c:v>Coney Island</c:v>
                  </c:pt>
                  <c:pt idx="32">
                    <c:v>Orowood Tract</c:v>
                  </c:pt>
                  <c:pt idx="33">
                    <c:v>Palm Tract</c:v>
                  </c:pt>
                  <c:pt idx="34">
                    <c:v>Bacon Island</c:v>
                  </c:pt>
                  <c:pt idx="35">
                    <c:v>Holland Tract</c:v>
                  </c:pt>
                  <c:pt idx="36">
                    <c:v>Quinby Island</c:v>
                  </c:pt>
                  <c:pt idx="37">
                    <c:v>Mandeville Island</c:v>
                  </c:pt>
                </c:lvl>
                <c:lvl>
                  <c:pt idx="0">
                    <c:v>Central Delta</c:v>
                  </c:pt>
                  <c:pt idx="7">
                    <c:v>North Delta</c:v>
                  </c:pt>
                  <c:pt idx="15">
                    <c:v>North-Central</c:v>
                  </c:pt>
                  <c:pt idx="16">
                    <c:v>North-South</c:v>
                  </c:pt>
                  <c:pt idx="17">
                    <c:v>South Delta</c:v>
                  </c:pt>
                </c:lvl>
              </c:multiLvlStrCache>
            </c:multiLvlStrRef>
          </c:cat>
          <c:val>
            <c:numRef>
              <c:f>Overall!$H$5:$H$42</c:f>
              <c:numCache>
                <c:formatCode>_([$$-409]* #,##0.00_);_([$$-409]* \(#,##0.00\);_([$$-409]* "-"??_);_(@_)</c:formatCode>
                <c:ptCount val="38"/>
                <c:pt idx="0">
                  <c:v>521704.4</c:v>
                </c:pt>
                <c:pt idx="1">
                  <c:v>560427.18000000005</c:v>
                </c:pt>
                <c:pt idx="2">
                  <c:v>880740.72000000009</c:v>
                </c:pt>
                <c:pt idx="3">
                  <c:v>345912.7</c:v>
                </c:pt>
                <c:pt idx="4">
                  <c:v>1649039.56</c:v>
                </c:pt>
                <c:pt idx="5">
                  <c:v>223587.6</c:v>
                </c:pt>
                <c:pt idx="6">
                  <c:v>576629.18000000005</c:v>
                </c:pt>
                <c:pt idx="7">
                  <c:v>2680296.8600000003</c:v>
                </c:pt>
                <c:pt idx="8">
                  <c:v>1911511.9600000002</c:v>
                </c:pt>
                <c:pt idx="9">
                  <c:v>1425613.98</c:v>
                </c:pt>
                <c:pt idx="10">
                  <c:v>1476164.2200000002</c:v>
                </c:pt>
                <c:pt idx="11">
                  <c:v>33700.160000000003</c:v>
                </c:pt>
                <c:pt idx="12">
                  <c:v>407318.28</c:v>
                </c:pt>
                <c:pt idx="13">
                  <c:v>1492366.2200000002</c:v>
                </c:pt>
                <c:pt idx="14">
                  <c:v>475690.72000000003</c:v>
                </c:pt>
                <c:pt idx="15">
                  <c:v>2091192.1400000001</c:v>
                </c:pt>
                <c:pt idx="16">
                  <c:v>1678203.1600000001</c:v>
                </c:pt>
                <c:pt idx="17">
                  <c:v>961750.72000000009</c:v>
                </c:pt>
                <c:pt idx="18">
                  <c:v>501289.88</c:v>
                </c:pt>
                <c:pt idx="19">
                  <c:v>188753.30000000002</c:v>
                </c:pt>
                <c:pt idx="20">
                  <c:v>587322.5</c:v>
                </c:pt>
                <c:pt idx="21">
                  <c:v>521056.32</c:v>
                </c:pt>
                <c:pt idx="22">
                  <c:v>1092500.8600000001</c:v>
                </c:pt>
                <c:pt idx="23">
                  <c:v>341052.10000000003</c:v>
                </c:pt>
                <c:pt idx="24">
                  <c:v>981841.20000000007</c:v>
                </c:pt>
                <c:pt idx="25">
                  <c:v>1964816.54</c:v>
                </c:pt>
                <c:pt idx="26">
                  <c:v>226990.02000000002</c:v>
                </c:pt>
                <c:pt idx="27">
                  <c:v>5778119.2600000007</c:v>
                </c:pt>
                <c:pt idx="28">
                  <c:v>4009995.0000000005</c:v>
                </c:pt>
                <c:pt idx="29">
                  <c:v>1165409.8600000001</c:v>
                </c:pt>
                <c:pt idx="30">
                  <c:v>293094.18</c:v>
                </c:pt>
                <c:pt idx="31">
                  <c:v>156349.30000000002</c:v>
                </c:pt>
                <c:pt idx="32">
                  <c:v>386093.66000000003</c:v>
                </c:pt>
                <c:pt idx="33">
                  <c:v>400189.4</c:v>
                </c:pt>
                <c:pt idx="34">
                  <c:v>896456.66</c:v>
                </c:pt>
                <c:pt idx="35">
                  <c:v>682752.28</c:v>
                </c:pt>
                <c:pt idx="36">
                  <c:v>125403.48000000001</c:v>
                </c:pt>
                <c:pt idx="37">
                  <c:v>845258.34000000008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A8-427B-AA93-5916DA9C7784}"/>
            </c:ext>
          </c:extLst>
        </c:ser>
        <c:ser>
          <c:idx val="6"/>
          <c:order val="6"/>
          <c:tx>
            <c:strRef>
              <c:f>Overall!$J$3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Overall!$B$5:$C$42</c:f>
              <c:multiLvlStrCache>
                <c:ptCount val="38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Grand Island</c:v>
                  </c:pt>
                  <c:pt idx="8">
                    <c:v>Ryer Island</c:v>
                  </c:pt>
                  <c:pt idx="9">
                    <c:v>Tyler Island</c:v>
                  </c:pt>
                  <c:pt idx="10">
                    <c:v>Staten Island</c:v>
                  </c:pt>
                  <c:pt idx="11">
                    <c:v>Dead Horse Island</c:v>
                  </c:pt>
                  <c:pt idx="12">
                    <c:v>Sutter Island</c:v>
                  </c:pt>
                  <c:pt idx="13">
                    <c:v>New Hope Tract</c:v>
                  </c:pt>
                  <c:pt idx="14">
                    <c:v>Canal Ranch Tract</c:v>
                  </c:pt>
                  <c:pt idx="15">
                    <c:v>Brannan Island</c:v>
                  </c:pt>
                  <c:pt idx="16">
                    <c:v>Terminous Tract</c:v>
                  </c:pt>
                  <c:pt idx="17">
                    <c:v>Bouldin Island</c:v>
                  </c:pt>
                  <c:pt idx="18">
                    <c:v>Venice Island</c:v>
                  </c:pt>
                  <c:pt idx="19">
                    <c:v>Medford Island</c:v>
                  </c:pt>
                  <c:pt idx="20">
                    <c:v>Empire Tract</c:v>
                  </c:pt>
                  <c:pt idx="21">
                    <c:v>King Island</c:v>
                  </c:pt>
                  <c:pt idx="22">
                    <c:v>Rindge Tract</c:v>
                  </c:pt>
                  <c:pt idx="23">
                    <c:v>Wright-Elmwood Tract</c:v>
                  </c:pt>
                  <c:pt idx="24">
                    <c:v>McDonald Tract</c:v>
                  </c:pt>
                  <c:pt idx="25">
                    <c:v>Jones Tract</c:v>
                  </c:pt>
                  <c:pt idx="26">
                    <c:v>Rough and Ready</c:v>
                  </c:pt>
                  <c:pt idx="27">
                    <c:v>Roberts Island</c:v>
                  </c:pt>
                  <c:pt idx="28">
                    <c:v>Union Island</c:v>
                  </c:pt>
                  <c:pt idx="29">
                    <c:v>Victoria Island</c:v>
                  </c:pt>
                  <c:pt idx="30">
                    <c:v>Woodward Island</c:v>
                  </c:pt>
                  <c:pt idx="31">
                    <c:v>Coney Island</c:v>
                  </c:pt>
                  <c:pt idx="32">
                    <c:v>Orowood Tract</c:v>
                  </c:pt>
                  <c:pt idx="33">
                    <c:v>Palm Tract</c:v>
                  </c:pt>
                  <c:pt idx="34">
                    <c:v>Bacon Island</c:v>
                  </c:pt>
                  <c:pt idx="35">
                    <c:v>Holland Tract</c:v>
                  </c:pt>
                  <c:pt idx="36">
                    <c:v>Quinby Island</c:v>
                  </c:pt>
                  <c:pt idx="37">
                    <c:v>Mandeville Island</c:v>
                  </c:pt>
                </c:lvl>
                <c:lvl>
                  <c:pt idx="0">
                    <c:v>Central Delta</c:v>
                  </c:pt>
                  <c:pt idx="7">
                    <c:v>North Delta</c:v>
                  </c:pt>
                  <c:pt idx="15">
                    <c:v>North-Central</c:v>
                  </c:pt>
                  <c:pt idx="16">
                    <c:v>North-South</c:v>
                  </c:pt>
                  <c:pt idx="17">
                    <c:v>South Delta</c:v>
                  </c:pt>
                </c:lvl>
              </c:multiLvlStrCache>
            </c:multiLvlStrRef>
          </c:cat>
          <c:val>
            <c:numRef>
              <c:f>Overall!$J$5:$J$42</c:f>
              <c:numCache>
                <c:formatCode>_([$$-409]* #,##0.00_);_([$$-409]* \(#,##0.00\);_([$$-409]* "-"??_);_(@_)</c:formatCode>
                <c:ptCount val="38"/>
                <c:pt idx="0">
                  <c:v>299846.40000000002</c:v>
                </c:pt>
                <c:pt idx="1">
                  <c:v>322102.08</c:v>
                </c:pt>
                <c:pt idx="2">
                  <c:v>506200.32000000001</c:v>
                </c:pt>
                <c:pt idx="3">
                  <c:v>198811.2</c:v>
                </c:pt>
                <c:pt idx="4">
                  <c:v>947775.3600000001</c:v>
                </c:pt>
                <c:pt idx="5">
                  <c:v>128505.60000000001</c:v>
                </c:pt>
                <c:pt idx="6">
                  <c:v>331414.08</c:v>
                </c:pt>
                <c:pt idx="7">
                  <c:v>1540484.1600000001</c:v>
                </c:pt>
                <c:pt idx="8">
                  <c:v>1098629.76</c:v>
                </c:pt>
                <c:pt idx="9">
                  <c:v>819362.88</c:v>
                </c:pt>
                <c:pt idx="10">
                  <c:v>848416.32000000007</c:v>
                </c:pt>
                <c:pt idx="11">
                  <c:v>19368.96</c:v>
                </c:pt>
                <c:pt idx="12">
                  <c:v>234103.68000000002</c:v>
                </c:pt>
                <c:pt idx="13">
                  <c:v>857728.32000000007</c:v>
                </c:pt>
                <c:pt idx="14">
                  <c:v>273400.32000000001</c:v>
                </c:pt>
                <c:pt idx="15">
                  <c:v>1201899.8400000001</c:v>
                </c:pt>
                <c:pt idx="16">
                  <c:v>964536.96000000008</c:v>
                </c:pt>
                <c:pt idx="17">
                  <c:v>552760.32000000007</c:v>
                </c:pt>
                <c:pt idx="18">
                  <c:v>288113.28000000003</c:v>
                </c:pt>
                <c:pt idx="19">
                  <c:v>108484.8</c:v>
                </c:pt>
                <c:pt idx="20">
                  <c:v>337560</c:v>
                </c:pt>
                <c:pt idx="21">
                  <c:v>299473.92000000004</c:v>
                </c:pt>
                <c:pt idx="22">
                  <c:v>627908.16</c:v>
                </c:pt>
                <c:pt idx="23">
                  <c:v>196017.6</c:v>
                </c:pt>
                <c:pt idx="24">
                  <c:v>564307.20000000007</c:v>
                </c:pt>
                <c:pt idx="25">
                  <c:v>1129266.24</c:v>
                </c:pt>
                <c:pt idx="26">
                  <c:v>130461.12000000001</c:v>
                </c:pt>
                <c:pt idx="27">
                  <c:v>3320938.56</c:v>
                </c:pt>
                <c:pt idx="28">
                  <c:v>2304720</c:v>
                </c:pt>
                <c:pt idx="29">
                  <c:v>669812.16</c:v>
                </c:pt>
                <c:pt idx="30">
                  <c:v>168454.08000000002</c:v>
                </c:pt>
                <c:pt idx="31">
                  <c:v>89860.800000000003</c:v>
                </c:pt>
                <c:pt idx="32">
                  <c:v>221904.96000000002</c:v>
                </c:pt>
                <c:pt idx="33">
                  <c:v>230006.40000000002</c:v>
                </c:pt>
                <c:pt idx="34">
                  <c:v>515232.96</c:v>
                </c:pt>
                <c:pt idx="35">
                  <c:v>392407.68</c:v>
                </c:pt>
                <c:pt idx="36">
                  <c:v>72074.880000000005</c:v>
                </c:pt>
                <c:pt idx="37">
                  <c:v>485807.04000000004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A8-427B-AA93-5916DA9C7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598879"/>
        <c:axId val="3128281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Overall!$D$3</c15:sqref>
                        </c15:formulaRef>
                      </c:ext>
                    </c:extLst>
                    <c:strCache>
                      <c:ptCount val="1"/>
                      <c:pt idx="0">
                        <c:v>Flood control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Overall!$B$5:$C$42</c15:sqref>
                        </c15:formulaRef>
                      </c:ext>
                    </c:extLst>
                    <c:multiLvlStrCache>
                      <c:ptCount val="38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Grand Island</c:v>
                        </c:pt>
                        <c:pt idx="8">
                          <c:v>Ryer Island</c:v>
                        </c:pt>
                        <c:pt idx="9">
                          <c:v>Tyler Island</c:v>
                        </c:pt>
                        <c:pt idx="10">
                          <c:v>Staten Island</c:v>
                        </c:pt>
                        <c:pt idx="11">
                          <c:v>Dead Horse Island</c:v>
                        </c:pt>
                        <c:pt idx="12">
                          <c:v>Sutter Island</c:v>
                        </c:pt>
                        <c:pt idx="13">
                          <c:v>New Hope Tract</c:v>
                        </c:pt>
                        <c:pt idx="14">
                          <c:v>Canal Ranch Tract</c:v>
                        </c:pt>
                        <c:pt idx="15">
                          <c:v>Brannan Island</c:v>
                        </c:pt>
                        <c:pt idx="16">
                          <c:v>Terminous Tract</c:v>
                        </c:pt>
                        <c:pt idx="17">
                          <c:v>Bouldin Island</c:v>
                        </c:pt>
                        <c:pt idx="18">
                          <c:v>Venice Island</c:v>
                        </c:pt>
                        <c:pt idx="19">
                          <c:v>Medford Island</c:v>
                        </c:pt>
                        <c:pt idx="20">
                          <c:v>Empire Tract</c:v>
                        </c:pt>
                        <c:pt idx="21">
                          <c:v>King Island</c:v>
                        </c:pt>
                        <c:pt idx="22">
                          <c:v>Rindge Tract</c:v>
                        </c:pt>
                        <c:pt idx="23">
                          <c:v>Wright-Elmwood Tract</c:v>
                        </c:pt>
                        <c:pt idx="24">
                          <c:v>McDonald Tract</c:v>
                        </c:pt>
                        <c:pt idx="25">
                          <c:v>Jones Tract</c:v>
                        </c:pt>
                        <c:pt idx="26">
                          <c:v>Rough and Ready</c:v>
                        </c:pt>
                        <c:pt idx="27">
                          <c:v>Roberts Island</c:v>
                        </c:pt>
                        <c:pt idx="28">
                          <c:v>Union Island</c:v>
                        </c:pt>
                        <c:pt idx="29">
                          <c:v>Victoria Island</c:v>
                        </c:pt>
                        <c:pt idx="30">
                          <c:v>Woodward Island</c:v>
                        </c:pt>
                        <c:pt idx="31">
                          <c:v>Coney Island</c:v>
                        </c:pt>
                        <c:pt idx="32">
                          <c:v>Orowood Tract</c:v>
                        </c:pt>
                        <c:pt idx="33">
                          <c:v>Palm Tract</c:v>
                        </c:pt>
                        <c:pt idx="34">
                          <c:v>Bacon Island</c:v>
                        </c:pt>
                        <c:pt idx="35">
                          <c:v>Holland Tract</c:v>
                        </c:pt>
                        <c:pt idx="36">
                          <c:v>Quinby Island</c:v>
                        </c:pt>
                        <c:pt idx="37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 Delta</c:v>
                        </c:pt>
                        <c:pt idx="15">
                          <c:v>North-Central</c:v>
                        </c:pt>
                        <c:pt idx="16">
                          <c:v>North-South</c:v>
                        </c:pt>
                        <c:pt idx="17">
                          <c:v>South Delta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Overall!$D$5:$D$42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1131153.8</c:v>
                      </c:pt>
                      <c:pt idx="1">
                        <c:v>1215112.1100000001</c:v>
                      </c:pt>
                      <c:pt idx="2">
                        <c:v>1909612.4400000002</c:v>
                      </c:pt>
                      <c:pt idx="3">
                        <c:v>750004.15</c:v>
                      </c:pt>
                      <c:pt idx="4">
                        <c:v>3575429.62</c:v>
                      </c:pt>
                      <c:pt idx="5">
                        <c:v>484780.2</c:v>
                      </c:pt>
                      <c:pt idx="6">
                        <c:v>1250241.1100000001</c:v>
                      </c:pt>
                      <c:pt idx="7">
                        <c:v>5811390.4700000007</c:v>
                      </c:pt>
                      <c:pt idx="8">
                        <c:v>4144519.4200000004</c:v>
                      </c:pt>
                      <c:pt idx="9">
                        <c:v>3091000.71</c:v>
                      </c:pt>
                      <c:pt idx="10">
                        <c:v>3200603.1900000004</c:v>
                      </c:pt>
                      <c:pt idx="11">
                        <c:v>73068.320000000007</c:v>
                      </c:pt>
                      <c:pt idx="12">
                        <c:v>883143.06</c:v>
                      </c:pt>
                      <c:pt idx="13">
                        <c:v>3235732.1900000004</c:v>
                      </c:pt>
                      <c:pt idx="14">
                        <c:v>1031387.4400000001</c:v>
                      </c:pt>
                      <c:pt idx="15">
                        <c:v>4534100.03</c:v>
                      </c:pt>
                      <c:pt idx="16">
                        <c:v>3638661.8200000003</c:v>
                      </c:pt>
                      <c:pt idx="17">
                        <c:v>2085257.4400000002</c:v>
                      </c:pt>
                      <c:pt idx="18">
                        <c:v>1086891.26</c:v>
                      </c:pt>
                      <c:pt idx="19">
                        <c:v>409252.85000000003</c:v>
                      </c:pt>
                      <c:pt idx="20">
                        <c:v>1273426.25</c:v>
                      </c:pt>
                      <c:pt idx="21">
                        <c:v>1129748.6400000001</c:v>
                      </c:pt>
                      <c:pt idx="22">
                        <c:v>2368748.4700000002</c:v>
                      </c:pt>
                      <c:pt idx="23">
                        <c:v>739465.45000000007</c:v>
                      </c:pt>
                      <c:pt idx="24">
                        <c:v>2128817.4</c:v>
                      </c:pt>
                      <c:pt idx="25">
                        <c:v>4260093.83</c:v>
                      </c:pt>
                      <c:pt idx="26">
                        <c:v>492157.29000000004</c:v>
                      </c:pt>
                      <c:pt idx="27">
                        <c:v>12528055.270000001</c:v>
                      </c:pt>
                      <c:pt idx="28">
                        <c:v>8694427.5</c:v>
                      </c:pt>
                      <c:pt idx="29">
                        <c:v>2526828.9700000002</c:v>
                      </c:pt>
                      <c:pt idx="30">
                        <c:v>635483.61</c:v>
                      </c:pt>
                      <c:pt idx="31">
                        <c:v>338994.85000000003</c:v>
                      </c:pt>
                      <c:pt idx="32">
                        <c:v>837124.07000000007</c:v>
                      </c:pt>
                      <c:pt idx="33">
                        <c:v>867686.3</c:v>
                      </c:pt>
                      <c:pt idx="34">
                        <c:v>1943687.57</c:v>
                      </c:pt>
                      <c:pt idx="35">
                        <c:v>1480336.06</c:v>
                      </c:pt>
                      <c:pt idx="36">
                        <c:v>271898.46000000002</c:v>
                      </c:pt>
                      <c:pt idx="37">
                        <c:v>1832679.9300000002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2A8-427B-AA93-5916DA9C778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Overall!$G$3</c15:sqref>
                        </c15:formulaRef>
                      </c:ext>
                    </c:extLst>
                    <c:strCache>
                      <c:ptCount val="1"/>
                      <c:pt idx="0">
                        <c:v>Water filtering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Overall!$B$5:$C$42</c15:sqref>
                        </c15:formulaRef>
                      </c:ext>
                    </c:extLst>
                    <c:multiLvlStrCache>
                      <c:ptCount val="38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Grand Island</c:v>
                        </c:pt>
                        <c:pt idx="8">
                          <c:v>Ryer Island</c:v>
                        </c:pt>
                        <c:pt idx="9">
                          <c:v>Tyler Island</c:v>
                        </c:pt>
                        <c:pt idx="10">
                          <c:v>Staten Island</c:v>
                        </c:pt>
                        <c:pt idx="11">
                          <c:v>Dead Horse Island</c:v>
                        </c:pt>
                        <c:pt idx="12">
                          <c:v>Sutter Island</c:v>
                        </c:pt>
                        <c:pt idx="13">
                          <c:v>New Hope Tract</c:v>
                        </c:pt>
                        <c:pt idx="14">
                          <c:v>Canal Ranch Tract</c:v>
                        </c:pt>
                        <c:pt idx="15">
                          <c:v>Brannan Island</c:v>
                        </c:pt>
                        <c:pt idx="16">
                          <c:v>Terminous Tract</c:v>
                        </c:pt>
                        <c:pt idx="17">
                          <c:v>Bouldin Island</c:v>
                        </c:pt>
                        <c:pt idx="18">
                          <c:v>Venice Island</c:v>
                        </c:pt>
                        <c:pt idx="19">
                          <c:v>Medford Island</c:v>
                        </c:pt>
                        <c:pt idx="20">
                          <c:v>Empire Tract</c:v>
                        </c:pt>
                        <c:pt idx="21">
                          <c:v>King Island</c:v>
                        </c:pt>
                        <c:pt idx="22">
                          <c:v>Rindge Tract</c:v>
                        </c:pt>
                        <c:pt idx="23">
                          <c:v>Wright-Elmwood Tract</c:v>
                        </c:pt>
                        <c:pt idx="24">
                          <c:v>McDonald Tract</c:v>
                        </c:pt>
                        <c:pt idx="25">
                          <c:v>Jones Tract</c:v>
                        </c:pt>
                        <c:pt idx="26">
                          <c:v>Rough and Ready</c:v>
                        </c:pt>
                        <c:pt idx="27">
                          <c:v>Roberts Island</c:v>
                        </c:pt>
                        <c:pt idx="28">
                          <c:v>Union Island</c:v>
                        </c:pt>
                        <c:pt idx="29">
                          <c:v>Victoria Island</c:v>
                        </c:pt>
                        <c:pt idx="30">
                          <c:v>Woodward Island</c:v>
                        </c:pt>
                        <c:pt idx="31">
                          <c:v>Coney Island</c:v>
                        </c:pt>
                        <c:pt idx="32">
                          <c:v>Orowood Tract</c:v>
                        </c:pt>
                        <c:pt idx="33">
                          <c:v>Palm Tract</c:v>
                        </c:pt>
                        <c:pt idx="34">
                          <c:v>Bacon Island</c:v>
                        </c:pt>
                        <c:pt idx="35">
                          <c:v>Holland Tract</c:v>
                        </c:pt>
                        <c:pt idx="36">
                          <c:v>Quinby Island</c:v>
                        </c:pt>
                        <c:pt idx="37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 Delta</c:v>
                        </c:pt>
                        <c:pt idx="15">
                          <c:v>North-Central</c:v>
                        </c:pt>
                        <c:pt idx="16">
                          <c:v>North-South</c:v>
                        </c:pt>
                        <c:pt idx="17">
                          <c:v>South Delta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Overall!$G$5:$G$42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702088.79999999993</c:v>
                      </c:pt>
                      <c:pt idx="1">
                        <c:v>754200.36</c:v>
                      </c:pt>
                      <c:pt idx="2">
                        <c:v>1185265.44</c:v>
                      </c:pt>
                      <c:pt idx="3">
                        <c:v>465515.39999999997</c:v>
                      </c:pt>
                      <c:pt idx="4">
                        <c:v>2219211.12</c:v>
                      </c:pt>
                      <c:pt idx="5">
                        <c:v>300895.2</c:v>
                      </c:pt>
                      <c:pt idx="6">
                        <c:v>776004.36</c:v>
                      </c:pt>
                      <c:pt idx="7">
                        <c:v>3607035.7199999997</c:v>
                      </c:pt>
                      <c:pt idx="8">
                        <c:v>2572435.92</c:v>
                      </c:pt>
                      <c:pt idx="9">
                        <c:v>1918533.96</c:v>
                      </c:pt>
                      <c:pt idx="10">
                        <c:v>1986562.44</c:v>
                      </c:pt>
                      <c:pt idx="11">
                        <c:v>45352.32</c:v>
                      </c:pt>
                      <c:pt idx="12">
                        <c:v>548152.55999999994</c:v>
                      </c:pt>
                      <c:pt idx="13">
                        <c:v>2008366.44</c:v>
                      </c:pt>
                      <c:pt idx="14">
                        <c:v>640165.43999999994</c:v>
                      </c:pt>
                      <c:pt idx="15">
                        <c:v>2814242.28</c:v>
                      </c:pt>
                      <c:pt idx="16">
                        <c:v>2258458.3199999998</c:v>
                      </c:pt>
                      <c:pt idx="17">
                        <c:v>1294285.44</c:v>
                      </c:pt>
                      <c:pt idx="18">
                        <c:v>674615.76</c:v>
                      </c:pt>
                      <c:pt idx="19">
                        <c:v>254016.59999999998</c:v>
                      </c:pt>
                      <c:pt idx="20">
                        <c:v>790395</c:v>
                      </c:pt>
                      <c:pt idx="21">
                        <c:v>701216.64</c:v>
                      </c:pt>
                      <c:pt idx="22">
                        <c:v>1470243.72</c:v>
                      </c:pt>
                      <c:pt idx="23">
                        <c:v>458974.2</c:v>
                      </c:pt>
                      <c:pt idx="24">
                        <c:v>1321322.3999999999</c:v>
                      </c:pt>
                      <c:pt idx="25">
                        <c:v>2644171.08</c:v>
                      </c:pt>
                      <c:pt idx="26">
                        <c:v>305474.03999999998</c:v>
                      </c:pt>
                      <c:pt idx="27">
                        <c:v>7775960.5199999996</c:v>
                      </c:pt>
                      <c:pt idx="28">
                        <c:v>5396490</c:v>
                      </c:pt>
                      <c:pt idx="29">
                        <c:v>1568361.72</c:v>
                      </c:pt>
                      <c:pt idx="30">
                        <c:v>394434.36</c:v>
                      </c:pt>
                      <c:pt idx="31">
                        <c:v>210408.6</c:v>
                      </c:pt>
                      <c:pt idx="32">
                        <c:v>519589.32</c:v>
                      </c:pt>
                      <c:pt idx="33">
                        <c:v>538558.79999999993</c:v>
                      </c:pt>
                      <c:pt idx="34">
                        <c:v>1206415.32</c:v>
                      </c:pt>
                      <c:pt idx="35">
                        <c:v>918820.55999999994</c:v>
                      </c:pt>
                      <c:pt idx="36">
                        <c:v>168762.96</c:v>
                      </c:pt>
                      <c:pt idx="37">
                        <c:v>1137514.68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A8-427B-AA93-5916DA9C778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Overall!$I$3</c15:sqref>
                        </c15:formulaRef>
                      </c:ext>
                    </c:extLst>
                    <c:strCache>
                      <c:ptCount val="1"/>
                      <c:pt idx="0">
                        <c:v>Habitat nursery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Overall!$B$5:$C$42</c15:sqref>
                        </c15:formulaRef>
                      </c:ext>
                    </c:extLst>
                    <c:multiLvlStrCache>
                      <c:ptCount val="38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Grand Island</c:v>
                        </c:pt>
                        <c:pt idx="8">
                          <c:v>Ryer Island</c:v>
                        </c:pt>
                        <c:pt idx="9">
                          <c:v>Tyler Island</c:v>
                        </c:pt>
                        <c:pt idx="10">
                          <c:v>Staten Island</c:v>
                        </c:pt>
                        <c:pt idx="11">
                          <c:v>Dead Horse Island</c:v>
                        </c:pt>
                        <c:pt idx="12">
                          <c:v>Sutter Island</c:v>
                        </c:pt>
                        <c:pt idx="13">
                          <c:v>New Hope Tract</c:v>
                        </c:pt>
                        <c:pt idx="14">
                          <c:v>Canal Ranch Tract</c:v>
                        </c:pt>
                        <c:pt idx="15">
                          <c:v>Brannan Island</c:v>
                        </c:pt>
                        <c:pt idx="16">
                          <c:v>Terminous Tract</c:v>
                        </c:pt>
                        <c:pt idx="17">
                          <c:v>Bouldin Island</c:v>
                        </c:pt>
                        <c:pt idx="18">
                          <c:v>Venice Island</c:v>
                        </c:pt>
                        <c:pt idx="19">
                          <c:v>Medford Island</c:v>
                        </c:pt>
                        <c:pt idx="20">
                          <c:v>Empire Tract</c:v>
                        </c:pt>
                        <c:pt idx="21">
                          <c:v>King Island</c:v>
                        </c:pt>
                        <c:pt idx="22">
                          <c:v>Rindge Tract</c:v>
                        </c:pt>
                        <c:pt idx="23">
                          <c:v>Wright-Elmwood Tract</c:v>
                        </c:pt>
                        <c:pt idx="24">
                          <c:v>McDonald Tract</c:v>
                        </c:pt>
                        <c:pt idx="25">
                          <c:v>Jones Tract</c:v>
                        </c:pt>
                        <c:pt idx="26">
                          <c:v>Rough and Ready</c:v>
                        </c:pt>
                        <c:pt idx="27">
                          <c:v>Roberts Island</c:v>
                        </c:pt>
                        <c:pt idx="28">
                          <c:v>Union Island</c:v>
                        </c:pt>
                        <c:pt idx="29">
                          <c:v>Victoria Island</c:v>
                        </c:pt>
                        <c:pt idx="30">
                          <c:v>Woodward Island</c:v>
                        </c:pt>
                        <c:pt idx="31">
                          <c:v>Coney Island</c:v>
                        </c:pt>
                        <c:pt idx="32">
                          <c:v>Orowood Tract</c:v>
                        </c:pt>
                        <c:pt idx="33">
                          <c:v>Palm Tract</c:v>
                        </c:pt>
                        <c:pt idx="34">
                          <c:v>Bacon Island</c:v>
                        </c:pt>
                        <c:pt idx="35">
                          <c:v>Holland Tract</c:v>
                        </c:pt>
                        <c:pt idx="36">
                          <c:v>Quinby Island</c:v>
                        </c:pt>
                        <c:pt idx="37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 Delta</c:v>
                        </c:pt>
                        <c:pt idx="15">
                          <c:v>North-Central</c:v>
                        </c:pt>
                        <c:pt idx="16">
                          <c:v>North-South</c:v>
                        </c:pt>
                        <c:pt idx="17">
                          <c:v>South Delta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Overall!$I$5:$I$42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489987.39999999997</c:v>
                      </c:pt>
                      <c:pt idx="1">
                        <c:v>526356.02999999991</c:v>
                      </c:pt>
                      <c:pt idx="2">
                        <c:v>827196.11999999988</c:v>
                      </c:pt>
                      <c:pt idx="3">
                        <c:v>324882.94999999995</c:v>
                      </c:pt>
                      <c:pt idx="4">
                        <c:v>1548786.2599999998</c:v>
                      </c:pt>
                      <c:pt idx="5">
                        <c:v>209994.59999999998</c:v>
                      </c:pt>
                      <c:pt idx="6">
                        <c:v>541573.02999999991</c:v>
                      </c:pt>
                      <c:pt idx="7">
                        <c:v>2517348.3099999996</c:v>
                      </c:pt>
                      <c:pt idx="8">
                        <c:v>1795301.66</c:v>
                      </c:pt>
                      <c:pt idx="9">
                        <c:v>1338943.8299999998</c:v>
                      </c:pt>
                      <c:pt idx="10">
                        <c:v>1386420.8699999999</c:v>
                      </c:pt>
                      <c:pt idx="11">
                        <c:v>31651.359999999997</c:v>
                      </c:pt>
                      <c:pt idx="12">
                        <c:v>382555.37999999995</c:v>
                      </c:pt>
                      <c:pt idx="13">
                        <c:v>1401637.8699999999</c:v>
                      </c:pt>
                      <c:pt idx="14">
                        <c:v>446771.11999999994</c:v>
                      </c:pt>
                      <c:pt idx="15">
                        <c:v>1964058.19</c:v>
                      </c:pt>
                      <c:pt idx="16">
                        <c:v>1576176.8599999999</c:v>
                      </c:pt>
                      <c:pt idx="17">
                        <c:v>903281.11999999988</c:v>
                      </c:pt>
                      <c:pt idx="18">
                        <c:v>470813.98</c:v>
                      </c:pt>
                      <c:pt idx="19">
                        <c:v>177278.05</c:v>
                      </c:pt>
                      <c:pt idx="20">
                        <c:v>551616.25</c:v>
                      </c:pt>
                      <c:pt idx="21">
                        <c:v>489378.72</c:v>
                      </c:pt>
                      <c:pt idx="22">
                        <c:v>1026082.3099999999</c:v>
                      </c:pt>
                      <c:pt idx="23">
                        <c:v>320317.84999999998</c:v>
                      </c:pt>
                      <c:pt idx="24">
                        <c:v>922150.2</c:v>
                      </c:pt>
                      <c:pt idx="25">
                        <c:v>1845365.5899999999</c:v>
                      </c:pt>
                      <c:pt idx="26">
                        <c:v>213190.16999999998</c:v>
                      </c:pt>
                      <c:pt idx="27">
                        <c:v>5426838.71</c:v>
                      </c:pt>
                      <c:pt idx="28">
                        <c:v>3766207.4999999995</c:v>
                      </c:pt>
                      <c:pt idx="29">
                        <c:v>1094558.8099999998</c:v>
                      </c:pt>
                      <c:pt idx="30">
                        <c:v>275275.52999999997</c:v>
                      </c:pt>
                      <c:pt idx="31">
                        <c:v>146844.04999999999</c:v>
                      </c:pt>
                      <c:pt idx="32">
                        <c:v>362621.11</c:v>
                      </c:pt>
                      <c:pt idx="33">
                        <c:v>375859.89999999997</c:v>
                      </c:pt>
                      <c:pt idx="34">
                        <c:v>841956.61</c:v>
                      </c:pt>
                      <c:pt idx="35">
                        <c:v>641244.38</c:v>
                      </c:pt>
                      <c:pt idx="36">
                        <c:v>117779.57999999999</c:v>
                      </c:pt>
                      <c:pt idx="37">
                        <c:v>793870.8899999999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A8-427B-AA93-5916DA9C778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Overall!$K$3</c15:sqref>
                        </c15:formulaRef>
                      </c:ext>
                    </c:extLst>
                    <c:strCache>
                      <c:ptCount val="1"/>
                      <c:pt idx="0">
                        <c:v>Water supply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Overall!$B$5:$C$42</c15:sqref>
                        </c15:formulaRef>
                      </c:ext>
                    </c:extLst>
                    <c:multiLvlStrCache>
                      <c:ptCount val="38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Grand Island</c:v>
                        </c:pt>
                        <c:pt idx="8">
                          <c:v>Ryer Island</c:v>
                        </c:pt>
                        <c:pt idx="9">
                          <c:v>Tyler Island</c:v>
                        </c:pt>
                        <c:pt idx="10">
                          <c:v>Staten Island</c:v>
                        </c:pt>
                        <c:pt idx="11">
                          <c:v>Dead Horse Island</c:v>
                        </c:pt>
                        <c:pt idx="12">
                          <c:v>Sutter Island</c:v>
                        </c:pt>
                        <c:pt idx="13">
                          <c:v>New Hope Tract</c:v>
                        </c:pt>
                        <c:pt idx="14">
                          <c:v>Canal Ranch Tract</c:v>
                        </c:pt>
                        <c:pt idx="15">
                          <c:v>Brannan Island</c:v>
                        </c:pt>
                        <c:pt idx="16">
                          <c:v>Terminous Tract</c:v>
                        </c:pt>
                        <c:pt idx="17">
                          <c:v>Bouldin Island</c:v>
                        </c:pt>
                        <c:pt idx="18">
                          <c:v>Venice Island</c:v>
                        </c:pt>
                        <c:pt idx="19">
                          <c:v>Medford Island</c:v>
                        </c:pt>
                        <c:pt idx="20">
                          <c:v>Empire Tract</c:v>
                        </c:pt>
                        <c:pt idx="21">
                          <c:v>King Island</c:v>
                        </c:pt>
                        <c:pt idx="22">
                          <c:v>Rindge Tract</c:v>
                        </c:pt>
                        <c:pt idx="23">
                          <c:v>Wright-Elmwood Tract</c:v>
                        </c:pt>
                        <c:pt idx="24">
                          <c:v>McDonald Tract</c:v>
                        </c:pt>
                        <c:pt idx="25">
                          <c:v>Jones Tract</c:v>
                        </c:pt>
                        <c:pt idx="26">
                          <c:v>Rough and Ready</c:v>
                        </c:pt>
                        <c:pt idx="27">
                          <c:v>Roberts Island</c:v>
                        </c:pt>
                        <c:pt idx="28">
                          <c:v>Union Island</c:v>
                        </c:pt>
                        <c:pt idx="29">
                          <c:v>Victoria Island</c:v>
                        </c:pt>
                        <c:pt idx="30">
                          <c:v>Woodward Island</c:v>
                        </c:pt>
                        <c:pt idx="31">
                          <c:v>Coney Island</c:v>
                        </c:pt>
                        <c:pt idx="32">
                          <c:v>Orowood Tract</c:v>
                        </c:pt>
                        <c:pt idx="33">
                          <c:v>Palm Tract</c:v>
                        </c:pt>
                        <c:pt idx="34">
                          <c:v>Bacon Island</c:v>
                        </c:pt>
                        <c:pt idx="35">
                          <c:v>Holland Tract</c:v>
                        </c:pt>
                        <c:pt idx="36">
                          <c:v>Quinby Island</c:v>
                        </c:pt>
                        <c:pt idx="37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 Delta</c:v>
                        </c:pt>
                        <c:pt idx="15">
                          <c:v>North-Central</c:v>
                        </c:pt>
                        <c:pt idx="16">
                          <c:v>North-South</c:v>
                        </c:pt>
                        <c:pt idx="17">
                          <c:v>South Delta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Overall!$K$5:$K$42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109705.4</c:v>
                      </c:pt>
                      <c:pt idx="1">
                        <c:v>117848.13</c:v>
                      </c:pt>
                      <c:pt idx="2">
                        <c:v>185204.52</c:v>
                      </c:pt>
                      <c:pt idx="3">
                        <c:v>72739.45</c:v>
                      </c:pt>
                      <c:pt idx="4">
                        <c:v>346764.46</c:v>
                      </c:pt>
                      <c:pt idx="5">
                        <c:v>47016.6</c:v>
                      </c:pt>
                      <c:pt idx="6">
                        <c:v>121255.13</c:v>
                      </c:pt>
                      <c:pt idx="7">
                        <c:v>563620.01</c:v>
                      </c:pt>
                      <c:pt idx="8">
                        <c:v>401957.86</c:v>
                      </c:pt>
                      <c:pt idx="9">
                        <c:v>299781.93</c:v>
                      </c:pt>
                      <c:pt idx="10">
                        <c:v>310411.77</c:v>
                      </c:pt>
                      <c:pt idx="11">
                        <c:v>7086.56</c:v>
                      </c:pt>
                      <c:pt idx="12">
                        <c:v>85651.98</c:v>
                      </c:pt>
                      <c:pt idx="13">
                        <c:v>313818.77</c:v>
                      </c:pt>
                      <c:pt idx="14">
                        <c:v>100029.52</c:v>
                      </c:pt>
                      <c:pt idx="15">
                        <c:v>439741.49</c:v>
                      </c:pt>
                      <c:pt idx="16">
                        <c:v>352897.06</c:v>
                      </c:pt>
                      <c:pt idx="17">
                        <c:v>202239.52</c:v>
                      </c:pt>
                      <c:pt idx="18">
                        <c:v>105412.58</c:v>
                      </c:pt>
                      <c:pt idx="19">
                        <c:v>39691.550000000003</c:v>
                      </c:pt>
                      <c:pt idx="20">
                        <c:v>123503.75</c:v>
                      </c:pt>
                      <c:pt idx="21">
                        <c:v>109569.12</c:v>
                      </c:pt>
                      <c:pt idx="22">
                        <c:v>229734.01</c:v>
                      </c:pt>
                      <c:pt idx="23">
                        <c:v>71717.350000000006</c:v>
                      </c:pt>
                      <c:pt idx="24">
                        <c:v>206464.2</c:v>
                      </c:pt>
                      <c:pt idx="25">
                        <c:v>413166.89</c:v>
                      </c:pt>
                      <c:pt idx="26">
                        <c:v>47732.07</c:v>
                      </c:pt>
                      <c:pt idx="27">
                        <c:v>1215038.4099999999</c:v>
                      </c:pt>
                      <c:pt idx="28">
                        <c:v>843232.5</c:v>
                      </c:pt>
                      <c:pt idx="29">
                        <c:v>245065.51</c:v>
                      </c:pt>
                      <c:pt idx="30">
                        <c:v>61632.63</c:v>
                      </c:pt>
                      <c:pt idx="31">
                        <c:v>32877.550000000003</c:v>
                      </c:pt>
                      <c:pt idx="32">
                        <c:v>81188.81</c:v>
                      </c:pt>
                      <c:pt idx="33">
                        <c:v>84152.9</c:v>
                      </c:pt>
                      <c:pt idx="34">
                        <c:v>188509.31</c:v>
                      </c:pt>
                      <c:pt idx="35">
                        <c:v>143570.98000000001</c:v>
                      </c:pt>
                      <c:pt idx="36">
                        <c:v>26370.18</c:v>
                      </c:pt>
                      <c:pt idx="37">
                        <c:v>177743.19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2A8-427B-AA93-5916DA9C778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Overall!$L$3</c15:sqref>
                        </c15:formulaRef>
                      </c:ext>
                    </c:extLst>
                    <c:strCache>
                      <c:ptCount val="1"/>
                      <c:pt idx="0">
                        <c:v>Materials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Overall!$B$5:$C$42</c15:sqref>
                        </c15:formulaRef>
                      </c:ext>
                    </c:extLst>
                    <c:multiLvlStrCache>
                      <c:ptCount val="38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Grand Island</c:v>
                        </c:pt>
                        <c:pt idx="8">
                          <c:v>Ryer Island</c:v>
                        </c:pt>
                        <c:pt idx="9">
                          <c:v>Tyler Island</c:v>
                        </c:pt>
                        <c:pt idx="10">
                          <c:v>Staten Island</c:v>
                        </c:pt>
                        <c:pt idx="11">
                          <c:v>Dead Horse Island</c:v>
                        </c:pt>
                        <c:pt idx="12">
                          <c:v>Sutter Island</c:v>
                        </c:pt>
                        <c:pt idx="13">
                          <c:v>New Hope Tract</c:v>
                        </c:pt>
                        <c:pt idx="14">
                          <c:v>Canal Ranch Tract</c:v>
                        </c:pt>
                        <c:pt idx="15">
                          <c:v>Brannan Island</c:v>
                        </c:pt>
                        <c:pt idx="16">
                          <c:v>Terminous Tract</c:v>
                        </c:pt>
                        <c:pt idx="17">
                          <c:v>Bouldin Island</c:v>
                        </c:pt>
                        <c:pt idx="18">
                          <c:v>Venice Island</c:v>
                        </c:pt>
                        <c:pt idx="19">
                          <c:v>Medford Island</c:v>
                        </c:pt>
                        <c:pt idx="20">
                          <c:v>Empire Tract</c:v>
                        </c:pt>
                        <c:pt idx="21">
                          <c:v>King Island</c:v>
                        </c:pt>
                        <c:pt idx="22">
                          <c:v>Rindge Tract</c:v>
                        </c:pt>
                        <c:pt idx="23">
                          <c:v>Wright-Elmwood Tract</c:v>
                        </c:pt>
                        <c:pt idx="24">
                          <c:v>McDonald Tract</c:v>
                        </c:pt>
                        <c:pt idx="25">
                          <c:v>Jones Tract</c:v>
                        </c:pt>
                        <c:pt idx="26">
                          <c:v>Rough and Ready</c:v>
                        </c:pt>
                        <c:pt idx="27">
                          <c:v>Roberts Island</c:v>
                        </c:pt>
                        <c:pt idx="28">
                          <c:v>Union Island</c:v>
                        </c:pt>
                        <c:pt idx="29">
                          <c:v>Victoria Island</c:v>
                        </c:pt>
                        <c:pt idx="30">
                          <c:v>Woodward Island</c:v>
                        </c:pt>
                        <c:pt idx="31">
                          <c:v>Coney Island</c:v>
                        </c:pt>
                        <c:pt idx="32">
                          <c:v>Orowood Tract</c:v>
                        </c:pt>
                        <c:pt idx="33">
                          <c:v>Palm Tract</c:v>
                        </c:pt>
                        <c:pt idx="34">
                          <c:v>Bacon Island</c:v>
                        </c:pt>
                        <c:pt idx="35">
                          <c:v>Holland Tract</c:v>
                        </c:pt>
                        <c:pt idx="36">
                          <c:v>Quinby Island</c:v>
                        </c:pt>
                        <c:pt idx="37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 Delta</c:v>
                        </c:pt>
                        <c:pt idx="15">
                          <c:v>North-Central</c:v>
                        </c:pt>
                        <c:pt idx="16">
                          <c:v>North-South</c:v>
                        </c:pt>
                        <c:pt idx="17">
                          <c:v>South Delta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Overall!$L$5:$L$42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109705.4</c:v>
                      </c:pt>
                      <c:pt idx="1">
                        <c:v>117848.13</c:v>
                      </c:pt>
                      <c:pt idx="2">
                        <c:v>185204.52</c:v>
                      </c:pt>
                      <c:pt idx="3">
                        <c:v>72739.45</c:v>
                      </c:pt>
                      <c:pt idx="4">
                        <c:v>346764.46</c:v>
                      </c:pt>
                      <c:pt idx="5">
                        <c:v>47016.6</c:v>
                      </c:pt>
                      <c:pt idx="6">
                        <c:v>121255.13</c:v>
                      </c:pt>
                      <c:pt idx="7">
                        <c:v>563620.01</c:v>
                      </c:pt>
                      <c:pt idx="8">
                        <c:v>401957.86</c:v>
                      </c:pt>
                      <c:pt idx="9">
                        <c:v>299781.93</c:v>
                      </c:pt>
                      <c:pt idx="10">
                        <c:v>310411.77</c:v>
                      </c:pt>
                      <c:pt idx="11">
                        <c:v>7086.56</c:v>
                      </c:pt>
                      <c:pt idx="12">
                        <c:v>85651.98</c:v>
                      </c:pt>
                      <c:pt idx="13">
                        <c:v>313818.77</c:v>
                      </c:pt>
                      <c:pt idx="14">
                        <c:v>100029.52</c:v>
                      </c:pt>
                      <c:pt idx="15">
                        <c:v>439741.49</c:v>
                      </c:pt>
                      <c:pt idx="16">
                        <c:v>352897.06</c:v>
                      </c:pt>
                      <c:pt idx="17">
                        <c:v>202239.52</c:v>
                      </c:pt>
                      <c:pt idx="18">
                        <c:v>105412.58</c:v>
                      </c:pt>
                      <c:pt idx="19">
                        <c:v>39691.550000000003</c:v>
                      </c:pt>
                      <c:pt idx="20">
                        <c:v>123503.75</c:v>
                      </c:pt>
                      <c:pt idx="21">
                        <c:v>109569.12</c:v>
                      </c:pt>
                      <c:pt idx="22">
                        <c:v>229734.01</c:v>
                      </c:pt>
                      <c:pt idx="23">
                        <c:v>71717.350000000006</c:v>
                      </c:pt>
                      <c:pt idx="24">
                        <c:v>206464.2</c:v>
                      </c:pt>
                      <c:pt idx="25">
                        <c:v>413166.89</c:v>
                      </c:pt>
                      <c:pt idx="26">
                        <c:v>47732.07</c:v>
                      </c:pt>
                      <c:pt idx="27">
                        <c:v>1215038.4099999999</c:v>
                      </c:pt>
                      <c:pt idx="28">
                        <c:v>843232.5</c:v>
                      </c:pt>
                      <c:pt idx="29">
                        <c:v>245065.51</c:v>
                      </c:pt>
                      <c:pt idx="30">
                        <c:v>61632.63</c:v>
                      </c:pt>
                      <c:pt idx="31">
                        <c:v>32877.550000000003</c:v>
                      </c:pt>
                      <c:pt idx="32">
                        <c:v>81188.81</c:v>
                      </c:pt>
                      <c:pt idx="33">
                        <c:v>84152.9</c:v>
                      </c:pt>
                      <c:pt idx="34">
                        <c:v>188509.31</c:v>
                      </c:pt>
                      <c:pt idx="35">
                        <c:v>143570.98000000001</c:v>
                      </c:pt>
                      <c:pt idx="36">
                        <c:v>26370.18</c:v>
                      </c:pt>
                      <c:pt idx="37">
                        <c:v>177743.19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2A8-427B-AA93-5916DA9C778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Overall!$M$3</c15:sqref>
                        </c15:formulaRef>
                      </c:ext>
                    </c:extLst>
                    <c:strCache>
                      <c:ptCount val="1"/>
                      <c:pt idx="0">
                        <c:v>Fuel wood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Overall!$B$5:$C$42</c15:sqref>
                        </c15:formulaRef>
                      </c:ext>
                    </c:extLst>
                    <c:multiLvlStrCache>
                      <c:ptCount val="38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Grand Island</c:v>
                        </c:pt>
                        <c:pt idx="8">
                          <c:v>Ryer Island</c:v>
                        </c:pt>
                        <c:pt idx="9">
                          <c:v>Tyler Island</c:v>
                        </c:pt>
                        <c:pt idx="10">
                          <c:v>Staten Island</c:v>
                        </c:pt>
                        <c:pt idx="11">
                          <c:v>Dead Horse Island</c:v>
                        </c:pt>
                        <c:pt idx="12">
                          <c:v>Sutter Island</c:v>
                        </c:pt>
                        <c:pt idx="13">
                          <c:v>New Hope Tract</c:v>
                        </c:pt>
                        <c:pt idx="14">
                          <c:v>Canal Ranch Tract</c:v>
                        </c:pt>
                        <c:pt idx="15">
                          <c:v>Brannan Island</c:v>
                        </c:pt>
                        <c:pt idx="16">
                          <c:v>Terminous Tract</c:v>
                        </c:pt>
                        <c:pt idx="17">
                          <c:v>Bouldin Island</c:v>
                        </c:pt>
                        <c:pt idx="18">
                          <c:v>Venice Island</c:v>
                        </c:pt>
                        <c:pt idx="19">
                          <c:v>Medford Island</c:v>
                        </c:pt>
                        <c:pt idx="20">
                          <c:v>Empire Tract</c:v>
                        </c:pt>
                        <c:pt idx="21">
                          <c:v>King Island</c:v>
                        </c:pt>
                        <c:pt idx="22">
                          <c:v>Rindge Tract</c:v>
                        </c:pt>
                        <c:pt idx="23">
                          <c:v>Wright-Elmwood Tract</c:v>
                        </c:pt>
                        <c:pt idx="24">
                          <c:v>McDonald Tract</c:v>
                        </c:pt>
                        <c:pt idx="25">
                          <c:v>Jones Tract</c:v>
                        </c:pt>
                        <c:pt idx="26">
                          <c:v>Rough and Ready</c:v>
                        </c:pt>
                        <c:pt idx="27">
                          <c:v>Roberts Island</c:v>
                        </c:pt>
                        <c:pt idx="28">
                          <c:v>Union Island</c:v>
                        </c:pt>
                        <c:pt idx="29">
                          <c:v>Victoria Island</c:v>
                        </c:pt>
                        <c:pt idx="30">
                          <c:v>Woodward Island</c:v>
                        </c:pt>
                        <c:pt idx="31">
                          <c:v>Coney Island</c:v>
                        </c:pt>
                        <c:pt idx="32">
                          <c:v>Orowood Tract</c:v>
                        </c:pt>
                        <c:pt idx="33">
                          <c:v>Palm Tract</c:v>
                        </c:pt>
                        <c:pt idx="34">
                          <c:v>Bacon Island</c:v>
                        </c:pt>
                        <c:pt idx="35">
                          <c:v>Holland Tract</c:v>
                        </c:pt>
                        <c:pt idx="36">
                          <c:v>Quinby Island</c:v>
                        </c:pt>
                        <c:pt idx="37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 Delta</c:v>
                        </c:pt>
                        <c:pt idx="15">
                          <c:v>North-Central</c:v>
                        </c:pt>
                        <c:pt idx="16">
                          <c:v>North-South</c:v>
                        </c:pt>
                        <c:pt idx="17">
                          <c:v>South Delta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Overall!$M$5:$M$42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34132</c:v>
                      </c:pt>
                      <c:pt idx="1">
                        <c:v>36665.4</c:v>
                      </c:pt>
                      <c:pt idx="2">
                        <c:v>57621.599999999999</c:v>
                      </c:pt>
                      <c:pt idx="3">
                        <c:v>22631</c:v>
                      </c:pt>
                      <c:pt idx="4">
                        <c:v>107886.8</c:v>
                      </c:pt>
                      <c:pt idx="5">
                        <c:v>14628</c:v>
                      </c:pt>
                      <c:pt idx="6">
                        <c:v>37725.4</c:v>
                      </c:pt>
                      <c:pt idx="7">
                        <c:v>175355.8</c:v>
                      </c:pt>
                      <c:pt idx="8">
                        <c:v>125058.8</c:v>
                      </c:pt>
                      <c:pt idx="9">
                        <c:v>93269.4</c:v>
                      </c:pt>
                      <c:pt idx="10">
                        <c:v>96576.599999999991</c:v>
                      </c:pt>
                      <c:pt idx="11">
                        <c:v>2204.7999999999997</c:v>
                      </c:pt>
                      <c:pt idx="12">
                        <c:v>26648.399999999998</c:v>
                      </c:pt>
                      <c:pt idx="13">
                        <c:v>97636.599999999991</c:v>
                      </c:pt>
                      <c:pt idx="14">
                        <c:v>31121.599999999999</c:v>
                      </c:pt>
                      <c:pt idx="15">
                        <c:v>136814.19999999998</c:v>
                      </c:pt>
                      <c:pt idx="16">
                        <c:v>109794.8</c:v>
                      </c:pt>
                      <c:pt idx="17">
                        <c:v>62921.599999999999</c:v>
                      </c:pt>
                      <c:pt idx="18">
                        <c:v>32796.400000000001</c:v>
                      </c:pt>
                      <c:pt idx="19">
                        <c:v>12349</c:v>
                      </c:pt>
                      <c:pt idx="20">
                        <c:v>38425</c:v>
                      </c:pt>
                      <c:pt idx="21">
                        <c:v>34089.599999999999</c:v>
                      </c:pt>
                      <c:pt idx="22">
                        <c:v>71475.8</c:v>
                      </c:pt>
                      <c:pt idx="23">
                        <c:v>22313</c:v>
                      </c:pt>
                      <c:pt idx="24">
                        <c:v>64236</c:v>
                      </c:pt>
                      <c:pt idx="25">
                        <c:v>128546.2</c:v>
                      </c:pt>
                      <c:pt idx="26">
                        <c:v>14850.6</c:v>
                      </c:pt>
                      <c:pt idx="27">
                        <c:v>378027.8</c:v>
                      </c:pt>
                      <c:pt idx="28">
                        <c:v>262350</c:v>
                      </c:pt>
                      <c:pt idx="29">
                        <c:v>76245.8</c:v>
                      </c:pt>
                      <c:pt idx="30">
                        <c:v>19175.399999999998</c:v>
                      </c:pt>
                      <c:pt idx="31">
                        <c:v>10229</c:v>
                      </c:pt>
                      <c:pt idx="32">
                        <c:v>25259.8</c:v>
                      </c:pt>
                      <c:pt idx="33">
                        <c:v>26182</c:v>
                      </c:pt>
                      <c:pt idx="34">
                        <c:v>58649.799999999996</c:v>
                      </c:pt>
                      <c:pt idx="35">
                        <c:v>44668.4</c:v>
                      </c:pt>
                      <c:pt idx="36">
                        <c:v>8204.4</c:v>
                      </c:pt>
                      <c:pt idx="37">
                        <c:v>55300.2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2A8-427B-AA93-5916DA9C7784}"/>
                  </c:ext>
                </c:extLst>
              </c15:ser>
            </c15:filteredLineSeries>
          </c:ext>
        </c:extLst>
      </c:lineChart>
      <c:catAx>
        <c:axId val="30259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828175"/>
        <c:crosses val="autoZero"/>
        <c:auto val="1"/>
        <c:lblAlgn val="ctr"/>
        <c:lblOffset val="100"/>
        <c:noMultiLvlLbl val="0"/>
      </c:catAx>
      <c:valAx>
        <c:axId val="31282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9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Benefits: acre/yr (2025$)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Overall!$E$46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Overall!$B$48:$C$86</c15:sqref>
                  </c15:fullRef>
                </c:ext>
              </c:extLst>
              <c:f>(Overall!$B$48:$C$54,Overall!$B$63:$C$63,Overall!$B$66:$C$66,Overall!$B$70:$C$74,Overall!$B$77:$C$85)</c:f>
              <c:multiLvlStrCache>
                <c:ptCount val="23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Brannan Island</c:v>
                  </c:pt>
                  <c:pt idx="8">
                    <c:v>Venice Island</c:v>
                  </c:pt>
                  <c:pt idx="9">
                    <c:v>Rindge Tract</c:v>
                  </c:pt>
                  <c:pt idx="10">
                    <c:v>Wright-Elmwood Tract</c:v>
                  </c:pt>
                  <c:pt idx="11">
                    <c:v>McDonald Tract</c:v>
                  </c:pt>
                  <c:pt idx="12">
                    <c:v>Jones Tract</c:v>
                  </c:pt>
                  <c:pt idx="13">
                    <c:v>Rough and Ready</c:v>
                  </c:pt>
                  <c:pt idx="14">
                    <c:v>Victoria Island</c:v>
                  </c:pt>
                  <c:pt idx="15">
                    <c:v>Woodward Island</c:v>
                  </c:pt>
                  <c:pt idx="16">
                    <c:v>Coney Island</c:v>
                  </c:pt>
                  <c:pt idx="17">
                    <c:v>Orowood Tract</c:v>
                  </c:pt>
                  <c:pt idx="18">
                    <c:v>Palm Tract</c:v>
                  </c:pt>
                  <c:pt idx="19">
                    <c:v>Bacon Island</c:v>
                  </c:pt>
                  <c:pt idx="20">
                    <c:v>Holland Tract</c:v>
                  </c:pt>
                  <c:pt idx="21">
                    <c:v>Quinby Island</c:v>
                  </c:pt>
                  <c:pt idx="22">
                    <c:v>Mandeville Island</c:v>
                  </c:pt>
                </c:lvl>
                <c:lvl>
                  <c:pt idx="0">
                    <c:v>Central Delta</c:v>
                  </c:pt>
                  <c:pt idx="7">
                    <c:v>North-Central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Overall!$E$48:$E$86</c15:sqref>
                  </c15:fullRef>
                </c:ext>
              </c:extLst>
              <c:f>(Overall!$E$48:$E$54,Overall!$E$63,Overall!$E$66,Overall!$E$70:$E$74,Overall!$E$77:$E$85)</c:f>
              <c:numCache>
                <c:formatCode>_([$$-409]* #,##0.00_);_([$$-409]* \(#,##0.00\);_([$$-409]* "-"??_);_(@_)</c:formatCode>
                <c:ptCount val="23"/>
                <c:pt idx="0">
                  <c:v>911742.99999999988</c:v>
                </c:pt>
                <c:pt idx="1">
                  <c:v>979415.85</c:v>
                </c:pt>
                <c:pt idx="2">
                  <c:v>1539203.4</c:v>
                </c:pt>
                <c:pt idx="3">
                  <c:v>604525.25</c:v>
                </c:pt>
                <c:pt idx="4">
                  <c:v>2881900.6999999997</c:v>
                </c:pt>
                <c:pt idx="5">
                  <c:v>390746.99999999994</c:v>
                </c:pt>
                <c:pt idx="6">
                  <c:v>1007730.85</c:v>
                </c:pt>
                <c:pt idx="7">
                  <c:v>3654617.05</c:v>
                </c:pt>
                <c:pt idx="8">
                  <c:v>876066.1</c:v>
                </c:pt>
                <c:pt idx="9">
                  <c:v>1909280.45</c:v>
                </c:pt>
                <c:pt idx="10">
                  <c:v>596030.75</c:v>
                </c:pt>
                <c:pt idx="11">
                  <c:v>1715888.9999999998</c:v>
                </c:pt>
                <c:pt idx="12">
                  <c:v>3433760.05</c:v>
                </c:pt>
                <c:pt idx="13">
                  <c:v>396693.14999999997</c:v>
                </c:pt>
                <c:pt idx="14">
                  <c:v>2036697.9499999997</c:v>
                </c:pt>
                <c:pt idx="15">
                  <c:v>512218.35</c:v>
                </c:pt>
                <c:pt idx="16">
                  <c:v>273239.75</c:v>
                </c:pt>
                <c:pt idx="17">
                  <c:v>674746.45</c:v>
                </c:pt>
                <c:pt idx="18">
                  <c:v>699380.5</c:v>
                </c:pt>
                <c:pt idx="19">
                  <c:v>1566668.95</c:v>
                </c:pt>
                <c:pt idx="20">
                  <c:v>1193194.0999999999</c:v>
                </c:pt>
                <c:pt idx="21">
                  <c:v>219158.09999999998</c:v>
                </c:pt>
                <c:pt idx="22">
                  <c:v>1477193.5499999998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90-4C63-B226-079AFF5B023B}"/>
            </c:ext>
          </c:extLst>
        </c:ser>
        <c:ser>
          <c:idx val="2"/>
          <c:order val="2"/>
          <c:tx>
            <c:strRef>
              <c:f>Overall!$F$46</c:f>
              <c:strCache>
                <c:ptCount val="1"/>
                <c:pt idx="0">
                  <c:v>Amenity/recreation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Overall!$B$48:$C$86</c15:sqref>
                  </c15:fullRef>
                </c:ext>
              </c:extLst>
              <c:f>(Overall!$B$48:$C$54,Overall!$B$63:$C$63,Overall!$B$66:$C$66,Overall!$B$70:$C$74,Overall!$B$77:$C$85)</c:f>
              <c:multiLvlStrCache>
                <c:ptCount val="23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Brannan Island</c:v>
                  </c:pt>
                  <c:pt idx="8">
                    <c:v>Venice Island</c:v>
                  </c:pt>
                  <c:pt idx="9">
                    <c:v>Rindge Tract</c:v>
                  </c:pt>
                  <c:pt idx="10">
                    <c:v>Wright-Elmwood Tract</c:v>
                  </c:pt>
                  <c:pt idx="11">
                    <c:v>McDonald Tract</c:v>
                  </c:pt>
                  <c:pt idx="12">
                    <c:v>Jones Tract</c:v>
                  </c:pt>
                  <c:pt idx="13">
                    <c:v>Rough and Ready</c:v>
                  </c:pt>
                  <c:pt idx="14">
                    <c:v>Victoria Island</c:v>
                  </c:pt>
                  <c:pt idx="15">
                    <c:v>Woodward Island</c:v>
                  </c:pt>
                  <c:pt idx="16">
                    <c:v>Coney Island</c:v>
                  </c:pt>
                  <c:pt idx="17">
                    <c:v>Orowood Tract</c:v>
                  </c:pt>
                  <c:pt idx="18">
                    <c:v>Palm Tract</c:v>
                  </c:pt>
                  <c:pt idx="19">
                    <c:v>Bacon Island</c:v>
                  </c:pt>
                  <c:pt idx="20">
                    <c:v>Holland Tract</c:v>
                  </c:pt>
                  <c:pt idx="21">
                    <c:v>Quinby Island</c:v>
                  </c:pt>
                  <c:pt idx="22">
                    <c:v>Mandeville Island</c:v>
                  </c:pt>
                </c:lvl>
                <c:lvl>
                  <c:pt idx="0">
                    <c:v>Central Delta</c:v>
                  </c:pt>
                  <c:pt idx="7">
                    <c:v>North-Central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Overall!$F$48:$F$86</c15:sqref>
                  </c15:fullRef>
                </c:ext>
              </c:extLst>
              <c:f>(Overall!$F$48:$F$54,Overall!$F$63,Overall!$F$66,Overall!$F$70:$F$74,Overall!$F$77:$F$85)</c:f>
              <c:numCache>
                <c:formatCode>_([$$-409]* #,##0.00_);_([$$-409]* \(#,##0.00\);_([$$-409]* "-"??_);_(@_)</c:formatCode>
                <c:ptCount val="23"/>
                <c:pt idx="0">
                  <c:v>1199417.8</c:v>
                </c:pt>
                <c:pt idx="1">
                  <c:v>1288442.9099999999</c:v>
                </c:pt>
                <c:pt idx="2">
                  <c:v>2024855.6400000001</c:v>
                </c:pt>
                <c:pt idx="3">
                  <c:v>795266.15</c:v>
                </c:pt>
                <c:pt idx="4">
                  <c:v>3791203.22</c:v>
                </c:pt>
                <c:pt idx="5">
                  <c:v>514036.2</c:v>
                </c:pt>
                <c:pt idx="6">
                  <c:v>1325691.9099999999</c:v>
                </c:pt>
                <c:pt idx="7">
                  <c:v>4807728.43</c:v>
                </c:pt>
                <c:pt idx="8">
                  <c:v>1152484.06</c:v>
                </c:pt>
                <c:pt idx="9">
                  <c:v>2511700.0699999998</c:v>
                </c:pt>
                <c:pt idx="10">
                  <c:v>784091.45000000007</c:v>
                </c:pt>
                <c:pt idx="11">
                  <c:v>2257289.4</c:v>
                </c:pt>
                <c:pt idx="12">
                  <c:v>4517186.2300000004</c:v>
                </c:pt>
                <c:pt idx="13">
                  <c:v>521858.49</c:v>
                </c:pt>
                <c:pt idx="14">
                  <c:v>2679320.5700000003</c:v>
                </c:pt>
                <c:pt idx="15">
                  <c:v>673834.41</c:v>
                </c:pt>
                <c:pt idx="16">
                  <c:v>359452.85000000003</c:v>
                </c:pt>
                <c:pt idx="17">
                  <c:v>887643.67</c:v>
                </c:pt>
                <c:pt idx="18">
                  <c:v>920050.3</c:v>
                </c:pt>
                <c:pt idx="19">
                  <c:v>2060987.1700000002</c:v>
                </c:pt>
                <c:pt idx="20">
                  <c:v>1569672.86</c:v>
                </c:pt>
                <c:pt idx="21">
                  <c:v>288307.26</c:v>
                </c:pt>
                <c:pt idx="22">
                  <c:v>1943280.33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90-4C63-B226-079AFF5B023B}"/>
            </c:ext>
          </c:extLst>
        </c:ser>
        <c:ser>
          <c:idx val="4"/>
          <c:order val="4"/>
          <c:tx>
            <c:strRef>
              <c:f>Overall!$H$46</c:f>
              <c:strCache>
                <c:ptCount val="1"/>
                <c:pt idx="0">
                  <c:v>Biodiversity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Overall!$B$48:$C$86</c15:sqref>
                  </c15:fullRef>
                </c:ext>
              </c:extLst>
              <c:f>(Overall!$B$48:$C$54,Overall!$B$63:$C$63,Overall!$B$66:$C$66,Overall!$B$70:$C$74,Overall!$B$77:$C$85)</c:f>
              <c:multiLvlStrCache>
                <c:ptCount val="23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Brannan Island</c:v>
                  </c:pt>
                  <c:pt idx="8">
                    <c:v>Venice Island</c:v>
                  </c:pt>
                  <c:pt idx="9">
                    <c:v>Rindge Tract</c:v>
                  </c:pt>
                  <c:pt idx="10">
                    <c:v>Wright-Elmwood Tract</c:v>
                  </c:pt>
                  <c:pt idx="11">
                    <c:v>McDonald Tract</c:v>
                  </c:pt>
                  <c:pt idx="12">
                    <c:v>Jones Tract</c:v>
                  </c:pt>
                  <c:pt idx="13">
                    <c:v>Rough and Ready</c:v>
                  </c:pt>
                  <c:pt idx="14">
                    <c:v>Victoria Island</c:v>
                  </c:pt>
                  <c:pt idx="15">
                    <c:v>Woodward Island</c:v>
                  </c:pt>
                  <c:pt idx="16">
                    <c:v>Coney Island</c:v>
                  </c:pt>
                  <c:pt idx="17">
                    <c:v>Orowood Tract</c:v>
                  </c:pt>
                  <c:pt idx="18">
                    <c:v>Palm Tract</c:v>
                  </c:pt>
                  <c:pt idx="19">
                    <c:v>Bacon Island</c:v>
                  </c:pt>
                  <c:pt idx="20">
                    <c:v>Holland Tract</c:v>
                  </c:pt>
                  <c:pt idx="21">
                    <c:v>Quinby Island</c:v>
                  </c:pt>
                  <c:pt idx="22">
                    <c:v>Mandeville Island</c:v>
                  </c:pt>
                </c:lvl>
                <c:lvl>
                  <c:pt idx="0">
                    <c:v>Central Delta</c:v>
                  </c:pt>
                  <c:pt idx="7">
                    <c:v>North-Central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Overall!$H$48:$H$86</c15:sqref>
                  </c15:fullRef>
                </c:ext>
              </c:extLst>
              <c:f>(Overall!$H$48:$H$54,Overall!$H$63,Overall!$H$66,Overall!$H$70:$H$74,Overall!$H$77:$H$85)</c:f>
              <c:numCache>
                <c:formatCode>_([$$-409]* #,##0.00_);_([$$-409]* \(#,##0.00\);_([$$-409]* "-"??_);_(@_)</c:formatCode>
                <c:ptCount val="23"/>
                <c:pt idx="0">
                  <c:v>521704.4</c:v>
                </c:pt>
                <c:pt idx="1">
                  <c:v>560427.18000000005</c:v>
                </c:pt>
                <c:pt idx="2">
                  <c:v>880740.72000000009</c:v>
                </c:pt>
                <c:pt idx="3">
                  <c:v>345912.7</c:v>
                </c:pt>
                <c:pt idx="4">
                  <c:v>1649039.56</c:v>
                </c:pt>
                <c:pt idx="5">
                  <c:v>223587.6</c:v>
                </c:pt>
                <c:pt idx="6">
                  <c:v>576629.18000000005</c:v>
                </c:pt>
                <c:pt idx="7">
                  <c:v>2091192.1400000001</c:v>
                </c:pt>
                <c:pt idx="8">
                  <c:v>501289.88</c:v>
                </c:pt>
                <c:pt idx="9">
                  <c:v>1092500.8600000001</c:v>
                </c:pt>
                <c:pt idx="10">
                  <c:v>341052.10000000003</c:v>
                </c:pt>
                <c:pt idx="11">
                  <c:v>981841.20000000007</c:v>
                </c:pt>
                <c:pt idx="12">
                  <c:v>1964816.54</c:v>
                </c:pt>
                <c:pt idx="13">
                  <c:v>226990.02000000002</c:v>
                </c:pt>
                <c:pt idx="14">
                  <c:v>1165409.8600000001</c:v>
                </c:pt>
                <c:pt idx="15">
                  <c:v>293094.18</c:v>
                </c:pt>
                <c:pt idx="16">
                  <c:v>156349.30000000002</c:v>
                </c:pt>
                <c:pt idx="17">
                  <c:v>386093.66000000003</c:v>
                </c:pt>
                <c:pt idx="18">
                  <c:v>400189.4</c:v>
                </c:pt>
                <c:pt idx="19">
                  <c:v>896456.66</c:v>
                </c:pt>
                <c:pt idx="20">
                  <c:v>682752.28</c:v>
                </c:pt>
                <c:pt idx="21">
                  <c:v>125403.48000000001</c:v>
                </c:pt>
                <c:pt idx="22">
                  <c:v>845258.34000000008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90-4C63-B226-079AFF5B023B}"/>
            </c:ext>
          </c:extLst>
        </c:ser>
        <c:ser>
          <c:idx val="6"/>
          <c:order val="6"/>
          <c:tx>
            <c:strRef>
              <c:f>Overall!$J$46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extLst>
                <c:ext xmlns:c15="http://schemas.microsoft.com/office/drawing/2012/chart" uri="{02D57815-91ED-43cb-92C2-25804820EDAC}">
                  <c15:fullRef>
                    <c15:sqref>Overall!$B$48:$C$86</c15:sqref>
                  </c15:fullRef>
                </c:ext>
              </c:extLst>
              <c:f>(Overall!$B$48:$C$54,Overall!$B$63:$C$63,Overall!$B$66:$C$66,Overall!$B$70:$C$74,Overall!$B$77:$C$85)</c:f>
              <c:multiLvlStrCache>
                <c:ptCount val="23"/>
                <c:lvl>
                  <c:pt idx="0">
                    <c:v>Bethel Island</c:v>
                  </c:pt>
                  <c:pt idx="1">
                    <c:v>Jersey Island</c:v>
                  </c:pt>
                  <c:pt idx="2">
                    <c:v>Webb Tract</c:v>
                  </c:pt>
                  <c:pt idx="3">
                    <c:v>Bradford Island</c:v>
                  </c:pt>
                  <c:pt idx="4">
                    <c:v>Sherman Island</c:v>
                  </c:pt>
                  <c:pt idx="5">
                    <c:v>Franks Tract</c:v>
                  </c:pt>
                  <c:pt idx="6">
                    <c:v>Twitchell Island</c:v>
                  </c:pt>
                  <c:pt idx="7">
                    <c:v>Brannan Island</c:v>
                  </c:pt>
                  <c:pt idx="8">
                    <c:v>Venice Island</c:v>
                  </c:pt>
                  <c:pt idx="9">
                    <c:v>Rindge Tract</c:v>
                  </c:pt>
                  <c:pt idx="10">
                    <c:v>Wright-Elmwood Tract</c:v>
                  </c:pt>
                  <c:pt idx="11">
                    <c:v>McDonald Tract</c:v>
                  </c:pt>
                  <c:pt idx="12">
                    <c:v>Jones Tract</c:v>
                  </c:pt>
                  <c:pt idx="13">
                    <c:v>Rough and Ready</c:v>
                  </c:pt>
                  <c:pt idx="14">
                    <c:v>Victoria Island</c:v>
                  </c:pt>
                  <c:pt idx="15">
                    <c:v>Woodward Island</c:v>
                  </c:pt>
                  <c:pt idx="16">
                    <c:v>Coney Island</c:v>
                  </c:pt>
                  <c:pt idx="17">
                    <c:v>Orowood Tract</c:v>
                  </c:pt>
                  <c:pt idx="18">
                    <c:v>Palm Tract</c:v>
                  </c:pt>
                  <c:pt idx="19">
                    <c:v>Bacon Island</c:v>
                  </c:pt>
                  <c:pt idx="20">
                    <c:v>Holland Tract</c:v>
                  </c:pt>
                  <c:pt idx="21">
                    <c:v>Quinby Island</c:v>
                  </c:pt>
                  <c:pt idx="22">
                    <c:v>Mandeville Island</c:v>
                  </c:pt>
                </c:lvl>
                <c:lvl>
                  <c:pt idx="0">
                    <c:v>Central Delta</c:v>
                  </c:pt>
                  <c:pt idx="7">
                    <c:v>North-Central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Overall!$J$48:$J$86</c15:sqref>
                  </c15:fullRef>
                </c:ext>
              </c:extLst>
              <c:f>(Overall!$J$48:$J$54,Overall!$J$63,Overall!$J$66,Overall!$J$70:$J$74,Overall!$J$77:$J$85)</c:f>
              <c:numCache>
                <c:formatCode>_([$$-409]* #,##0.00_);_([$$-409]* \(#,##0.00\);_([$$-409]* "-"??_);_(@_)</c:formatCode>
                <c:ptCount val="23"/>
                <c:pt idx="0">
                  <c:v>299846.40000000002</c:v>
                </c:pt>
                <c:pt idx="1">
                  <c:v>322102.08</c:v>
                </c:pt>
                <c:pt idx="2">
                  <c:v>506200.32000000001</c:v>
                </c:pt>
                <c:pt idx="3">
                  <c:v>198811.2</c:v>
                </c:pt>
                <c:pt idx="4">
                  <c:v>947775.3600000001</c:v>
                </c:pt>
                <c:pt idx="5">
                  <c:v>128505.60000000001</c:v>
                </c:pt>
                <c:pt idx="6">
                  <c:v>331414.08</c:v>
                </c:pt>
                <c:pt idx="7">
                  <c:v>1201899.8400000001</c:v>
                </c:pt>
                <c:pt idx="8">
                  <c:v>288113.28000000003</c:v>
                </c:pt>
                <c:pt idx="9">
                  <c:v>627908.16</c:v>
                </c:pt>
                <c:pt idx="10">
                  <c:v>196017.6</c:v>
                </c:pt>
                <c:pt idx="11">
                  <c:v>564307.20000000007</c:v>
                </c:pt>
                <c:pt idx="12">
                  <c:v>1129266.24</c:v>
                </c:pt>
                <c:pt idx="13">
                  <c:v>130461.12000000001</c:v>
                </c:pt>
                <c:pt idx="14">
                  <c:v>669812.16</c:v>
                </c:pt>
                <c:pt idx="15">
                  <c:v>168454.08000000002</c:v>
                </c:pt>
                <c:pt idx="16">
                  <c:v>89860.800000000003</c:v>
                </c:pt>
                <c:pt idx="17">
                  <c:v>221904.96000000002</c:v>
                </c:pt>
                <c:pt idx="18">
                  <c:v>230006.40000000002</c:v>
                </c:pt>
                <c:pt idx="19">
                  <c:v>515232.96</c:v>
                </c:pt>
                <c:pt idx="20">
                  <c:v>392407.68</c:v>
                </c:pt>
                <c:pt idx="21">
                  <c:v>72074.880000000005</c:v>
                </c:pt>
                <c:pt idx="22">
                  <c:v>485807.04000000004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90-4C63-B226-079AFF5B0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8842864"/>
        <c:axId val="19680240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Overall!$D$46</c15:sqref>
                        </c15:formulaRef>
                      </c:ext>
                    </c:extLst>
                    <c:strCache>
                      <c:ptCount val="1"/>
                      <c:pt idx="0">
                        <c:v>Flood control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ullRef>
                          <c15:sqref>Overall!$B$48:$C$86</c15:sqref>
                        </c15:fullRef>
                        <c15:formulaRef>
                          <c15:sqref>(Overall!$B$48:$C$54,Overall!$B$63:$C$63,Overall!$B$66:$C$66,Overall!$B$70:$C$74,Overall!$B$77:$C$85)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Brannan Island</c:v>
                        </c:pt>
                        <c:pt idx="8">
                          <c:v>Venice Island</c:v>
                        </c:pt>
                        <c:pt idx="9">
                          <c:v>Rindge Tract</c:v>
                        </c:pt>
                        <c:pt idx="10">
                          <c:v>Wright-Elmwood Tract</c:v>
                        </c:pt>
                        <c:pt idx="11">
                          <c:v>McDonald Tract</c:v>
                        </c:pt>
                        <c:pt idx="12">
                          <c:v>Jones Tract</c:v>
                        </c:pt>
                        <c:pt idx="13">
                          <c:v>Rough and Ready</c:v>
                        </c:pt>
                        <c:pt idx="14">
                          <c:v>Victoria Island</c:v>
                        </c:pt>
                        <c:pt idx="15">
                          <c:v>Woodward Island</c:v>
                        </c:pt>
                        <c:pt idx="16">
                          <c:v>Coney Island</c:v>
                        </c:pt>
                        <c:pt idx="17">
                          <c:v>Orowood Tract</c:v>
                        </c:pt>
                        <c:pt idx="18">
                          <c:v>Palm Tract</c:v>
                        </c:pt>
                        <c:pt idx="19">
                          <c:v>Bacon Island</c:v>
                        </c:pt>
                        <c:pt idx="20">
                          <c:v>Holland Tract</c:v>
                        </c:pt>
                        <c:pt idx="21">
                          <c:v>Quinby Island</c:v>
                        </c:pt>
                        <c:pt idx="22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Overall!$D$48:$D$86</c15:sqref>
                        </c15:fullRef>
                        <c15:formulaRef>
                          <c15:sqref>(Overall!$D$48:$D$54,Overall!$D$63,Overall!$D$66,Overall!$D$70:$D$74,Overall!$D$77:$D$85)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3"/>
                      <c:pt idx="0">
                        <c:v>1131153.8</c:v>
                      </c:pt>
                      <c:pt idx="1">
                        <c:v>1215112.1100000001</c:v>
                      </c:pt>
                      <c:pt idx="2">
                        <c:v>1909612.4400000002</c:v>
                      </c:pt>
                      <c:pt idx="3">
                        <c:v>750004.15</c:v>
                      </c:pt>
                      <c:pt idx="4">
                        <c:v>3575429.62</c:v>
                      </c:pt>
                      <c:pt idx="5">
                        <c:v>484780.2</c:v>
                      </c:pt>
                      <c:pt idx="6">
                        <c:v>1250241.1100000001</c:v>
                      </c:pt>
                      <c:pt idx="7">
                        <c:v>4534100.03</c:v>
                      </c:pt>
                      <c:pt idx="8">
                        <c:v>1086891.26</c:v>
                      </c:pt>
                      <c:pt idx="9">
                        <c:v>2368748.4700000002</c:v>
                      </c:pt>
                      <c:pt idx="10">
                        <c:v>739465.45000000007</c:v>
                      </c:pt>
                      <c:pt idx="11">
                        <c:v>2128817.4</c:v>
                      </c:pt>
                      <c:pt idx="12">
                        <c:v>4260093.83</c:v>
                      </c:pt>
                      <c:pt idx="13">
                        <c:v>492157.29000000004</c:v>
                      </c:pt>
                      <c:pt idx="14">
                        <c:v>2526828.9700000002</c:v>
                      </c:pt>
                      <c:pt idx="15">
                        <c:v>635483.61</c:v>
                      </c:pt>
                      <c:pt idx="16">
                        <c:v>338994.85000000003</c:v>
                      </c:pt>
                      <c:pt idx="17">
                        <c:v>837124.07000000007</c:v>
                      </c:pt>
                      <c:pt idx="18">
                        <c:v>867686.3</c:v>
                      </c:pt>
                      <c:pt idx="19">
                        <c:v>1943687.57</c:v>
                      </c:pt>
                      <c:pt idx="20">
                        <c:v>1480336.06</c:v>
                      </c:pt>
                      <c:pt idx="21">
                        <c:v>271898.46000000002</c:v>
                      </c:pt>
                      <c:pt idx="22">
                        <c:v>1832679.9300000002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090-4C63-B226-079AFF5B023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Overall!$G$46</c15:sqref>
                        </c15:formulaRef>
                      </c:ext>
                    </c:extLst>
                    <c:strCache>
                      <c:ptCount val="1"/>
                      <c:pt idx="0">
                        <c:v>Water filtering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Overall!$B$48:$C$86</c15:sqref>
                        </c15:fullRef>
                        <c15:formulaRef>
                          <c15:sqref>(Overall!$B$48:$C$54,Overall!$B$63:$C$63,Overall!$B$66:$C$66,Overall!$B$70:$C$74,Overall!$B$77:$C$85)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Brannan Island</c:v>
                        </c:pt>
                        <c:pt idx="8">
                          <c:v>Venice Island</c:v>
                        </c:pt>
                        <c:pt idx="9">
                          <c:v>Rindge Tract</c:v>
                        </c:pt>
                        <c:pt idx="10">
                          <c:v>Wright-Elmwood Tract</c:v>
                        </c:pt>
                        <c:pt idx="11">
                          <c:v>McDonald Tract</c:v>
                        </c:pt>
                        <c:pt idx="12">
                          <c:v>Jones Tract</c:v>
                        </c:pt>
                        <c:pt idx="13">
                          <c:v>Rough and Ready</c:v>
                        </c:pt>
                        <c:pt idx="14">
                          <c:v>Victoria Island</c:v>
                        </c:pt>
                        <c:pt idx="15">
                          <c:v>Woodward Island</c:v>
                        </c:pt>
                        <c:pt idx="16">
                          <c:v>Coney Island</c:v>
                        </c:pt>
                        <c:pt idx="17">
                          <c:v>Orowood Tract</c:v>
                        </c:pt>
                        <c:pt idx="18">
                          <c:v>Palm Tract</c:v>
                        </c:pt>
                        <c:pt idx="19">
                          <c:v>Bacon Island</c:v>
                        </c:pt>
                        <c:pt idx="20">
                          <c:v>Holland Tract</c:v>
                        </c:pt>
                        <c:pt idx="21">
                          <c:v>Quinby Island</c:v>
                        </c:pt>
                        <c:pt idx="22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Overall!$G$48:$G$86</c15:sqref>
                        </c15:fullRef>
                        <c15:formulaRef>
                          <c15:sqref>(Overall!$G$48:$G$54,Overall!$G$63,Overall!$G$66,Overall!$G$70:$G$74,Overall!$G$77:$G$85)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3"/>
                      <c:pt idx="0">
                        <c:v>702088.79999999993</c:v>
                      </c:pt>
                      <c:pt idx="1">
                        <c:v>754200.36</c:v>
                      </c:pt>
                      <c:pt idx="2">
                        <c:v>1185265.44</c:v>
                      </c:pt>
                      <c:pt idx="3">
                        <c:v>465515.39999999997</c:v>
                      </c:pt>
                      <c:pt idx="4">
                        <c:v>2219211.12</c:v>
                      </c:pt>
                      <c:pt idx="5">
                        <c:v>300895.2</c:v>
                      </c:pt>
                      <c:pt idx="6">
                        <c:v>776004.36</c:v>
                      </c:pt>
                      <c:pt idx="7">
                        <c:v>2814242.28</c:v>
                      </c:pt>
                      <c:pt idx="8">
                        <c:v>674615.76</c:v>
                      </c:pt>
                      <c:pt idx="9">
                        <c:v>1470243.72</c:v>
                      </c:pt>
                      <c:pt idx="10">
                        <c:v>458974.2</c:v>
                      </c:pt>
                      <c:pt idx="11">
                        <c:v>1321322.3999999999</c:v>
                      </c:pt>
                      <c:pt idx="12">
                        <c:v>2644171.08</c:v>
                      </c:pt>
                      <c:pt idx="13">
                        <c:v>305474.03999999998</c:v>
                      </c:pt>
                      <c:pt idx="14">
                        <c:v>1568361.72</c:v>
                      </c:pt>
                      <c:pt idx="15">
                        <c:v>394434.36</c:v>
                      </c:pt>
                      <c:pt idx="16">
                        <c:v>210408.6</c:v>
                      </c:pt>
                      <c:pt idx="17">
                        <c:v>519589.32</c:v>
                      </c:pt>
                      <c:pt idx="18">
                        <c:v>538558.79999999993</c:v>
                      </c:pt>
                      <c:pt idx="19">
                        <c:v>1206415.32</c:v>
                      </c:pt>
                      <c:pt idx="20">
                        <c:v>918820.55999999994</c:v>
                      </c:pt>
                      <c:pt idx="21">
                        <c:v>168762.96</c:v>
                      </c:pt>
                      <c:pt idx="22">
                        <c:v>1137514.68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090-4C63-B226-079AFF5B023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Overall!$I$46</c15:sqref>
                        </c15:formulaRef>
                      </c:ext>
                    </c:extLst>
                    <c:strCache>
                      <c:ptCount val="1"/>
                      <c:pt idx="0">
                        <c:v>Habitat nursery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Overall!$B$48:$C$86</c15:sqref>
                        </c15:fullRef>
                        <c15:formulaRef>
                          <c15:sqref>(Overall!$B$48:$C$54,Overall!$B$63:$C$63,Overall!$B$66:$C$66,Overall!$B$70:$C$74,Overall!$B$77:$C$85)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Brannan Island</c:v>
                        </c:pt>
                        <c:pt idx="8">
                          <c:v>Venice Island</c:v>
                        </c:pt>
                        <c:pt idx="9">
                          <c:v>Rindge Tract</c:v>
                        </c:pt>
                        <c:pt idx="10">
                          <c:v>Wright-Elmwood Tract</c:v>
                        </c:pt>
                        <c:pt idx="11">
                          <c:v>McDonald Tract</c:v>
                        </c:pt>
                        <c:pt idx="12">
                          <c:v>Jones Tract</c:v>
                        </c:pt>
                        <c:pt idx="13">
                          <c:v>Rough and Ready</c:v>
                        </c:pt>
                        <c:pt idx="14">
                          <c:v>Victoria Island</c:v>
                        </c:pt>
                        <c:pt idx="15">
                          <c:v>Woodward Island</c:v>
                        </c:pt>
                        <c:pt idx="16">
                          <c:v>Coney Island</c:v>
                        </c:pt>
                        <c:pt idx="17">
                          <c:v>Orowood Tract</c:v>
                        </c:pt>
                        <c:pt idx="18">
                          <c:v>Palm Tract</c:v>
                        </c:pt>
                        <c:pt idx="19">
                          <c:v>Bacon Island</c:v>
                        </c:pt>
                        <c:pt idx="20">
                          <c:v>Holland Tract</c:v>
                        </c:pt>
                        <c:pt idx="21">
                          <c:v>Quinby Island</c:v>
                        </c:pt>
                        <c:pt idx="22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Overall!$I$48:$I$86</c15:sqref>
                        </c15:fullRef>
                        <c15:formulaRef>
                          <c15:sqref>(Overall!$I$48:$I$54,Overall!$I$63,Overall!$I$66,Overall!$I$70:$I$74,Overall!$I$77:$I$85)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3"/>
                      <c:pt idx="0">
                        <c:v>489987.39999999997</c:v>
                      </c:pt>
                      <c:pt idx="1">
                        <c:v>526356.02999999991</c:v>
                      </c:pt>
                      <c:pt idx="2">
                        <c:v>827196.11999999988</c:v>
                      </c:pt>
                      <c:pt idx="3">
                        <c:v>324882.94999999995</c:v>
                      </c:pt>
                      <c:pt idx="4">
                        <c:v>1548786.2599999998</c:v>
                      </c:pt>
                      <c:pt idx="5">
                        <c:v>209994.59999999998</c:v>
                      </c:pt>
                      <c:pt idx="6">
                        <c:v>541573.02999999991</c:v>
                      </c:pt>
                      <c:pt idx="7">
                        <c:v>1964058.19</c:v>
                      </c:pt>
                      <c:pt idx="8">
                        <c:v>470813.98</c:v>
                      </c:pt>
                      <c:pt idx="9">
                        <c:v>1026082.3099999999</c:v>
                      </c:pt>
                      <c:pt idx="10">
                        <c:v>320317.84999999998</c:v>
                      </c:pt>
                      <c:pt idx="11">
                        <c:v>922150.2</c:v>
                      </c:pt>
                      <c:pt idx="12">
                        <c:v>1845365.5899999999</c:v>
                      </c:pt>
                      <c:pt idx="13">
                        <c:v>213190.16999999998</c:v>
                      </c:pt>
                      <c:pt idx="14">
                        <c:v>1094558.8099999998</c:v>
                      </c:pt>
                      <c:pt idx="15">
                        <c:v>275275.52999999997</c:v>
                      </c:pt>
                      <c:pt idx="16">
                        <c:v>146844.04999999999</c:v>
                      </c:pt>
                      <c:pt idx="17">
                        <c:v>362621.11</c:v>
                      </c:pt>
                      <c:pt idx="18">
                        <c:v>375859.89999999997</c:v>
                      </c:pt>
                      <c:pt idx="19">
                        <c:v>841956.61</c:v>
                      </c:pt>
                      <c:pt idx="20">
                        <c:v>641244.38</c:v>
                      </c:pt>
                      <c:pt idx="21">
                        <c:v>117779.57999999999</c:v>
                      </c:pt>
                      <c:pt idx="22">
                        <c:v>793870.8899999999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090-4C63-B226-079AFF5B023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Overall!$K$46</c15:sqref>
                        </c15:formulaRef>
                      </c:ext>
                    </c:extLst>
                    <c:strCache>
                      <c:ptCount val="1"/>
                      <c:pt idx="0">
                        <c:v>Water supply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Overall!$B$48:$C$86</c15:sqref>
                        </c15:fullRef>
                        <c15:formulaRef>
                          <c15:sqref>(Overall!$B$48:$C$54,Overall!$B$63:$C$63,Overall!$B$66:$C$66,Overall!$B$70:$C$74,Overall!$B$77:$C$85)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Brannan Island</c:v>
                        </c:pt>
                        <c:pt idx="8">
                          <c:v>Venice Island</c:v>
                        </c:pt>
                        <c:pt idx="9">
                          <c:v>Rindge Tract</c:v>
                        </c:pt>
                        <c:pt idx="10">
                          <c:v>Wright-Elmwood Tract</c:v>
                        </c:pt>
                        <c:pt idx="11">
                          <c:v>McDonald Tract</c:v>
                        </c:pt>
                        <c:pt idx="12">
                          <c:v>Jones Tract</c:v>
                        </c:pt>
                        <c:pt idx="13">
                          <c:v>Rough and Ready</c:v>
                        </c:pt>
                        <c:pt idx="14">
                          <c:v>Victoria Island</c:v>
                        </c:pt>
                        <c:pt idx="15">
                          <c:v>Woodward Island</c:v>
                        </c:pt>
                        <c:pt idx="16">
                          <c:v>Coney Island</c:v>
                        </c:pt>
                        <c:pt idx="17">
                          <c:v>Orowood Tract</c:v>
                        </c:pt>
                        <c:pt idx="18">
                          <c:v>Palm Tract</c:v>
                        </c:pt>
                        <c:pt idx="19">
                          <c:v>Bacon Island</c:v>
                        </c:pt>
                        <c:pt idx="20">
                          <c:v>Holland Tract</c:v>
                        </c:pt>
                        <c:pt idx="21">
                          <c:v>Quinby Island</c:v>
                        </c:pt>
                        <c:pt idx="22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Overall!$K$48:$K$86</c15:sqref>
                        </c15:fullRef>
                        <c15:formulaRef>
                          <c15:sqref>(Overall!$K$48:$K$54,Overall!$K$63,Overall!$K$66,Overall!$K$70:$K$74,Overall!$K$77:$K$85)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3"/>
                      <c:pt idx="0">
                        <c:v>109705.4</c:v>
                      </c:pt>
                      <c:pt idx="1">
                        <c:v>117848.13</c:v>
                      </c:pt>
                      <c:pt idx="2">
                        <c:v>185204.52</c:v>
                      </c:pt>
                      <c:pt idx="3">
                        <c:v>72739.45</c:v>
                      </c:pt>
                      <c:pt idx="4">
                        <c:v>346764.46</c:v>
                      </c:pt>
                      <c:pt idx="5">
                        <c:v>47016.6</c:v>
                      </c:pt>
                      <c:pt idx="6">
                        <c:v>121255.13</c:v>
                      </c:pt>
                      <c:pt idx="7">
                        <c:v>439741.49</c:v>
                      </c:pt>
                      <c:pt idx="8">
                        <c:v>105412.58</c:v>
                      </c:pt>
                      <c:pt idx="9">
                        <c:v>229734.01</c:v>
                      </c:pt>
                      <c:pt idx="10">
                        <c:v>71717.350000000006</c:v>
                      </c:pt>
                      <c:pt idx="11">
                        <c:v>206464.2</c:v>
                      </c:pt>
                      <c:pt idx="12">
                        <c:v>413166.89</c:v>
                      </c:pt>
                      <c:pt idx="13">
                        <c:v>47732.07</c:v>
                      </c:pt>
                      <c:pt idx="14">
                        <c:v>245065.51</c:v>
                      </c:pt>
                      <c:pt idx="15">
                        <c:v>61632.63</c:v>
                      </c:pt>
                      <c:pt idx="16">
                        <c:v>32877.550000000003</c:v>
                      </c:pt>
                      <c:pt idx="17">
                        <c:v>81188.81</c:v>
                      </c:pt>
                      <c:pt idx="18">
                        <c:v>84152.9</c:v>
                      </c:pt>
                      <c:pt idx="19">
                        <c:v>188509.31</c:v>
                      </c:pt>
                      <c:pt idx="20">
                        <c:v>143570.98000000001</c:v>
                      </c:pt>
                      <c:pt idx="21">
                        <c:v>26370.18</c:v>
                      </c:pt>
                      <c:pt idx="22">
                        <c:v>177743.19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090-4C63-B226-079AFF5B023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Overall!$L$46</c15:sqref>
                        </c15:formulaRef>
                      </c:ext>
                    </c:extLst>
                    <c:strCache>
                      <c:ptCount val="1"/>
                      <c:pt idx="0">
                        <c:v>Materials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Overall!$B$48:$C$86</c15:sqref>
                        </c15:fullRef>
                        <c15:formulaRef>
                          <c15:sqref>(Overall!$B$48:$C$54,Overall!$B$63:$C$63,Overall!$B$66:$C$66,Overall!$B$70:$C$74,Overall!$B$77:$C$85)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Brannan Island</c:v>
                        </c:pt>
                        <c:pt idx="8">
                          <c:v>Venice Island</c:v>
                        </c:pt>
                        <c:pt idx="9">
                          <c:v>Rindge Tract</c:v>
                        </c:pt>
                        <c:pt idx="10">
                          <c:v>Wright-Elmwood Tract</c:v>
                        </c:pt>
                        <c:pt idx="11">
                          <c:v>McDonald Tract</c:v>
                        </c:pt>
                        <c:pt idx="12">
                          <c:v>Jones Tract</c:v>
                        </c:pt>
                        <c:pt idx="13">
                          <c:v>Rough and Ready</c:v>
                        </c:pt>
                        <c:pt idx="14">
                          <c:v>Victoria Island</c:v>
                        </c:pt>
                        <c:pt idx="15">
                          <c:v>Woodward Island</c:v>
                        </c:pt>
                        <c:pt idx="16">
                          <c:v>Coney Island</c:v>
                        </c:pt>
                        <c:pt idx="17">
                          <c:v>Orowood Tract</c:v>
                        </c:pt>
                        <c:pt idx="18">
                          <c:v>Palm Tract</c:v>
                        </c:pt>
                        <c:pt idx="19">
                          <c:v>Bacon Island</c:v>
                        </c:pt>
                        <c:pt idx="20">
                          <c:v>Holland Tract</c:v>
                        </c:pt>
                        <c:pt idx="21">
                          <c:v>Quinby Island</c:v>
                        </c:pt>
                        <c:pt idx="22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Overall!$L$48:$L$86</c15:sqref>
                        </c15:fullRef>
                        <c15:formulaRef>
                          <c15:sqref>(Overall!$L$48:$L$54,Overall!$L$63,Overall!$L$66,Overall!$L$70:$L$74,Overall!$L$77:$L$85)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3"/>
                      <c:pt idx="0">
                        <c:v>109705.4</c:v>
                      </c:pt>
                      <c:pt idx="1">
                        <c:v>117848.13</c:v>
                      </c:pt>
                      <c:pt idx="2">
                        <c:v>185204.52</c:v>
                      </c:pt>
                      <c:pt idx="3">
                        <c:v>72739.45</c:v>
                      </c:pt>
                      <c:pt idx="4">
                        <c:v>346764.46</c:v>
                      </c:pt>
                      <c:pt idx="5">
                        <c:v>47016.6</c:v>
                      </c:pt>
                      <c:pt idx="6">
                        <c:v>121255.13</c:v>
                      </c:pt>
                      <c:pt idx="7">
                        <c:v>439741.49</c:v>
                      </c:pt>
                      <c:pt idx="8">
                        <c:v>105412.58</c:v>
                      </c:pt>
                      <c:pt idx="9">
                        <c:v>229734.01</c:v>
                      </c:pt>
                      <c:pt idx="10">
                        <c:v>71717.350000000006</c:v>
                      </c:pt>
                      <c:pt idx="11">
                        <c:v>206464.2</c:v>
                      </c:pt>
                      <c:pt idx="12">
                        <c:v>413166.89</c:v>
                      </c:pt>
                      <c:pt idx="13">
                        <c:v>47732.07</c:v>
                      </c:pt>
                      <c:pt idx="14">
                        <c:v>245065.51</c:v>
                      </c:pt>
                      <c:pt idx="15">
                        <c:v>61632.63</c:v>
                      </c:pt>
                      <c:pt idx="16">
                        <c:v>32877.550000000003</c:v>
                      </c:pt>
                      <c:pt idx="17">
                        <c:v>81188.81</c:v>
                      </c:pt>
                      <c:pt idx="18">
                        <c:v>84152.9</c:v>
                      </c:pt>
                      <c:pt idx="19">
                        <c:v>188509.31</c:v>
                      </c:pt>
                      <c:pt idx="20">
                        <c:v>143570.98000000001</c:v>
                      </c:pt>
                      <c:pt idx="21">
                        <c:v>26370.18</c:v>
                      </c:pt>
                      <c:pt idx="22">
                        <c:v>177743.19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090-4C63-B226-079AFF5B023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Overall!$M$46</c15:sqref>
                        </c15:formulaRef>
                      </c:ext>
                    </c:extLst>
                    <c:strCache>
                      <c:ptCount val="1"/>
                      <c:pt idx="0">
                        <c:v>Fuel wood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Overall!$B$48:$C$86</c15:sqref>
                        </c15:fullRef>
                        <c15:formulaRef>
                          <c15:sqref>(Overall!$B$48:$C$54,Overall!$B$63:$C$63,Overall!$B$66:$C$66,Overall!$B$70:$C$74,Overall!$B$77:$C$85)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Brannan Island</c:v>
                        </c:pt>
                        <c:pt idx="8">
                          <c:v>Venice Island</c:v>
                        </c:pt>
                        <c:pt idx="9">
                          <c:v>Rindge Tract</c:v>
                        </c:pt>
                        <c:pt idx="10">
                          <c:v>Wright-Elmwood Tract</c:v>
                        </c:pt>
                        <c:pt idx="11">
                          <c:v>McDonald Tract</c:v>
                        </c:pt>
                        <c:pt idx="12">
                          <c:v>Jones Tract</c:v>
                        </c:pt>
                        <c:pt idx="13">
                          <c:v>Rough and Ready</c:v>
                        </c:pt>
                        <c:pt idx="14">
                          <c:v>Victoria Island</c:v>
                        </c:pt>
                        <c:pt idx="15">
                          <c:v>Woodward Island</c:v>
                        </c:pt>
                        <c:pt idx="16">
                          <c:v>Coney Island</c:v>
                        </c:pt>
                        <c:pt idx="17">
                          <c:v>Orowood Tract</c:v>
                        </c:pt>
                        <c:pt idx="18">
                          <c:v>Palm Tract</c:v>
                        </c:pt>
                        <c:pt idx="19">
                          <c:v>Bacon Island</c:v>
                        </c:pt>
                        <c:pt idx="20">
                          <c:v>Holland Tract</c:v>
                        </c:pt>
                        <c:pt idx="21">
                          <c:v>Quinby Island</c:v>
                        </c:pt>
                        <c:pt idx="22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Overall!$M$48:$M$86</c15:sqref>
                        </c15:fullRef>
                        <c15:formulaRef>
                          <c15:sqref>(Overall!$M$48:$M$54,Overall!$M$63,Overall!$M$66,Overall!$M$70:$M$74,Overall!$M$77:$M$85)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3"/>
                      <c:pt idx="0">
                        <c:v>34132</c:v>
                      </c:pt>
                      <c:pt idx="1">
                        <c:v>36665.4</c:v>
                      </c:pt>
                      <c:pt idx="2">
                        <c:v>57621.599999999999</c:v>
                      </c:pt>
                      <c:pt idx="3">
                        <c:v>22631</c:v>
                      </c:pt>
                      <c:pt idx="4">
                        <c:v>107886.8</c:v>
                      </c:pt>
                      <c:pt idx="5">
                        <c:v>14628</c:v>
                      </c:pt>
                      <c:pt idx="6">
                        <c:v>37725.4</c:v>
                      </c:pt>
                      <c:pt idx="7">
                        <c:v>136814.19999999998</c:v>
                      </c:pt>
                      <c:pt idx="8">
                        <c:v>32796.400000000001</c:v>
                      </c:pt>
                      <c:pt idx="9">
                        <c:v>71475.8</c:v>
                      </c:pt>
                      <c:pt idx="10">
                        <c:v>22313</c:v>
                      </c:pt>
                      <c:pt idx="11">
                        <c:v>64236</c:v>
                      </c:pt>
                      <c:pt idx="12">
                        <c:v>128546.2</c:v>
                      </c:pt>
                      <c:pt idx="13">
                        <c:v>14850.6</c:v>
                      </c:pt>
                      <c:pt idx="14">
                        <c:v>76245.8</c:v>
                      </c:pt>
                      <c:pt idx="15">
                        <c:v>19175.399999999998</c:v>
                      </c:pt>
                      <c:pt idx="16">
                        <c:v>10229</c:v>
                      </c:pt>
                      <c:pt idx="17">
                        <c:v>25259.8</c:v>
                      </c:pt>
                      <c:pt idx="18">
                        <c:v>26182</c:v>
                      </c:pt>
                      <c:pt idx="19">
                        <c:v>58649.799999999996</c:v>
                      </c:pt>
                      <c:pt idx="20">
                        <c:v>44668.4</c:v>
                      </c:pt>
                      <c:pt idx="21">
                        <c:v>8204.4</c:v>
                      </c:pt>
                      <c:pt idx="22">
                        <c:v>55300.2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090-4C63-B226-079AFF5B023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Overall!$N$46</c15:sqref>
                        </c15:formulaRef>
                      </c:ext>
                    </c:extLst>
                    <c:strCache>
                      <c:ptCount val="1"/>
                      <c:pt idx="0">
                        <c:v>Sum of all ten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Overall!$B$48:$C$86</c15:sqref>
                        </c15:fullRef>
                        <c15:formulaRef>
                          <c15:sqref>(Overall!$B$48:$C$54,Overall!$B$63:$C$63,Overall!$B$66:$C$66,Overall!$B$70:$C$74,Overall!$B$77:$C$85)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Bethel Island</c:v>
                        </c:pt>
                        <c:pt idx="1">
                          <c:v>Jersey Island</c:v>
                        </c:pt>
                        <c:pt idx="2">
                          <c:v>Webb Tract</c:v>
                        </c:pt>
                        <c:pt idx="3">
                          <c:v>Bradford Island</c:v>
                        </c:pt>
                        <c:pt idx="4">
                          <c:v>Sherman Island</c:v>
                        </c:pt>
                        <c:pt idx="5">
                          <c:v>Franks Tract</c:v>
                        </c:pt>
                        <c:pt idx="6">
                          <c:v>Twitchell Island</c:v>
                        </c:pt>
                        <c:pt idx="7">
                          <c:v>Brannan Island</c:v>
                        </c:pt>
                        <c:pt idx="8">
                          <c:v>Venice Island</c:v>
                        </c:pt>
                        <c:pt idx="9">
                          <c:v>Rindge Tract</c:v>
                        </c:pt>
                        <c:pt idx="10">
                          <c:v>Wright-Elmwood Tract</c:v>
                        </c:pt>
                        <c:pt idx="11">
                          <c:v>McDonald Tract</c:v>
                        </c:pt>
                        <c:pt idx="12">
                          <c:v>Jones Tract</c:v>
                        </c:pt>
                        <c:pt idx="13">
                          <c:v>Rough and Ready</c:v>
                        </c:pt>
                        <c:pt idx="14">
                          <c:v>Victoria Island</c:v>
                        </c:pt>
                        <c:pt idx="15">
                          <c:v>Woodward Island</c:v>
                        </c:pt>
                        <c:pt idx="16">
                          <c:v>Coney Island</c:v>
                        </c:pt>
                        <c:pt idx="17">
                          <c:v>Orowood Tract</c:v>
                        </c:pt>
                        <c:pt idx="18">
                          <c:v>Palm Tract</c:v>
                        </c:pt>
                        <c:pt idx="19">
                          <c:v>Bacon Island</c:v>
                        </c:pt>
                        <c:pt idx="20">
                          <c:v>Holland Tract</c:v>
                        </c:pt>
                        <c:pt idx="21">
                          <c:v>Quinby Island</c:v>
                        </c:pt>
                        <c:pt idx="22">
                          <c:v>Mandeville Island</c:v>
                        </c:pt>
                      </c:lvl>
                      <c:lvl>
                        <c:pt idx="0">
                          <c:v>Central Delta</c:v>
                        </c:pt>
                        <c:pt idx="7">
                          <c:v>North-Central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Overall!$N$48:$N$86</c15:sqref>
                        </c15:fullRef>
                        <c15:formulaRef>
                          <c15:sqref>(Overall!$N$48:$N$54,Overall!$N$63,Overall!$N$66,Overall!$N$70:$N$74,Overall!$N$77:$N$85)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23"/>
                      <c:pt idx="0">
                        <c:v>5509484.4000000004</c:v>
                      </c:pt>
                      <c:pt idx="1">
                        <c:v>5918418.1799999997</c:v>
                      </c:pt>
                      <c:pt idx="2">
                        <c:v>9301104.7200000007</c:v>
                      </c:pt>
                      <c:pt idx="3">
                        <c:v>3653027.7</c:v>
                      </c:pt>
                      <c:pt idx="4">
                        <c:v>17414761.559999999</c:v>
                      </c:pt>
                      <c:pt idx="5">
                        <c:v>2361207.6</c:v>
                      </c:pt>
                      <c:pt idx="6">
                        <c:v>6089520.1799999997</c:v>
                      </c:pt>
                      <c:pt idx="7">
                        <c:v>22084135.140000001</c:v>
                      </c:pt>
                      <c:pt idx="8">
                        <c:v>5293895.88</c:v>
                      </c:pt>
                      <c:pt idx="9">
                        <c:v>11537407.859999999</c:v>
                      </c:pt>
                      <c:pt idx="10">
                        <c:v>3601697.1</c:v>
                      </c:pt>
                      <c:pt idx="11">
                        <c:v>10368781.199999999</c:v>
                      </c:pt>
                      <c:pt idx="12">
                        <c:v>20749539.539999999</c:v>
                      </c:pt>
                      <c:pt idx="13">
                        <c:v>2397139.02</c:v>
                      </c:pt>
                      <c:pt idx="14">
                        <c:v>12307366.859999999</c:v>
                      </c:pt>
                      <c:pt idx="15">
                        <c:v>3095235.18</c:v>
                      </c:pt>
                      <c:pt idx="16">
                        <c:v>1651134.3</c:v>
                      </c:pt>
                      <c:pt idx="17">
                        <c:v>4077360.66</c:v>
                      </c:pt>
                      <c:pt idx="18">
                        <c:v>4226219.4000000004</c:v>
                      </c:pt>
                      <c:pt idx="19">
                        <c:v>9467073.6600000001</c:v>
                      </c:pt>
                      <c:pt idx="20">
                        <c:v>7210238.2800000003</c:v>
                      </c:pt>
                      <c:pt idx="21">
                        <c:v>1324329.48</c:v>
                      </c:pt>
                      <c:pt idx="22">
                        <c:v>8926391.3399999999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090-4C63-B226-079AFF5B023B}"/>
                  </c:ext>
                </c:extLst>
              </c15:ser>
            </c15:filteredLineSeries>
          </c:ext>
        </c:extLst>
      </c:lineChart>
      <c:catAx>
        <c:axId val="204884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024048"/>
        <c:crosses val="autoZero"/>
        <c:auto val="1"/>
        <c:lblAlgn val="ctr"/>
        <c:lblOffset val="100"/>
        <c:noMultiLvlLbl val="0"/>
      </c:catAx>
      <c:valAx>
        <c:axId val="1968024048"/>
        <c:scaling>
          <c:orientation val="minMax"/>
          <c:max val="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84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Habitat Replenishment(Acres)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Habitat Acres'!$H$1</c:f>
              <c:strCache>
                <c:ptCount val="1"/>
                <c:pt idx="0">
                  <c:v>Suisun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'Regional Habitat Acres'!$F$2:$G$11</c:f>
              <c:multiLvlStrCache>
                <c:ptCount val="10"/>
                <c:lvl>
                  <c:pt idx="0">
                    <c:v>Transitional </c:v>
                  </c:pt>
                  <c:pt idx="1">
                    <c:v>Soil</c:v>
                  </c:pt>
                  <c:pt idx="2">
                    <c:v>Tidal</c:v>
                  </c:pt>
                  <c:pt idx="3">
                    <c:v>MW</c:v>
                  </c:pt>
                  <c:pt idx="4">
                    <c:v>Meadows</c:v>
                  </c:pt>
                  <c:pt idx="5">
                    <c:v>Floodplain</c:v>
                  </c:pt>
                  <c:pt idx="6">
                    <c:v>Wetland</c:v>
                  </c:pt>
                  <c:pt idx="7">
                    <c:v>Meadows</c:v>
                  </c:pt>
                  <c:pt idx="8">
                    <c:v>Floodplain</c:v>
                  </c:pt>
                  <c:pt idx="9">
                    <c:v>Wetland</c:v>
                  </c:pt>
                </c:lvl>
                <c:lvl>
                  <c:pt idx="0">
                    <c:v>Full Restoration</c:v>
                  </c:pt>
                  <c:pt idx="4">
                    <c:v>Full Restoration</c:v>
                  </c:pt>
                  <c:pt idx="7">
                    <c:v>Slight Restoration</c:v>
                  </c:pt>
                </c:lvl>
              </c:multiLvlStrCache>
            </c:multiLvlStrRef>
          </c:cat>
          <c:val>
            <c:numRef>
              <c:f>'Regional Habitat Acres'!$H$2:$H$11</c:f>
              <c:numCache>
                <c:formatCode>General</c:formatCode>
                <c:ptCount val="10"/>
                <c:pt idx="2">
                  <c:v>41914.112043193833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D-4969-A702-F8DC64DADB4E}"/>
            </c:ext>
          </c:extLst>
        </c:ser>
        <c:ser>
          <c:idx val="1"/>
          <c:order val="1"/>
          <c:tx>
            <c:strRef>
              <c:f>'Regional Habitat Acres'!$I$1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'Regional Habitat Acres'!$F$2:$G$11</c:f>
              <c:multiLvlStrCache>
                <c:ptCount val="10"/>
                <c:lvl>
                  <c:pt idx="0">
                    <c:v>Transitional </c:v>
                  </c:pt>
                  <c:pt idx="1">
                    <c:v>Soil</c:v>
                  </c:pt>
                  <c:pt idx="2">
                    <c:v>Tidal</c:v>
                  </c:pt>
                  <c:pt idx="3">
                    <c:v>MW</c:v>
                  </c:pt>
                  <c:pt idx="4">
                    <c:v>Meadows</c:v>
                  </c:pt>
                  <c:pt idx="5">
                    <c:v>Floodplain</c:v>
                  </c:pt>
                  <c:pt idx="6">
                    <c:v>Wetland</c:v>
                  </c:pt>
                  <c:pt idx="7">
                    <c:v>Meadows</c:v>
                  </c:pt>
                  <c:pt idx="8">
                    <c:v>Floodplain</c:v>
                  </c:pt>
                  <c:pt idx="9">
                    <c:v>Wetland</c:v>
                  </c:pt>
                </c:lvl>
                <c:lvl>
                  <c:pt idx="0">
                    <c:v>Full Restoration</c:v>
                  </c:pt>
                  <c:pt idx="4">
                    <c:v>Full Restoration</c:v>
                  </c:pt>
                  <c:pt idx="7">
                    <c:v>Slight Restoration</c:v>
                  </c:pt>
                </c:lvl>
              </c:multiLvlStrCache>
            </c:multiLvlStrRef>
          </c:cat>
          <c:val>
            <c:numRef>
              <c:f>'Regional Habitat Acres'!$I$2:$I$11</c:f>
              <c:numCache>
                <c:formatCode>General</c:formatCode>
                <c:ptCount val="10"/>
                <c:pt idx="1">
                  <c:v>34255.256684547981</c:v>
                </c:pt>
                <c:pt idx="2">
                  <c:v>3324.508165315764</c:v>
                </c:pt>
                <c:pt idx="3">
                  <c:v>29367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6D-4969-A702-F8DC64DADB4E}"/>
            </c:ext>
          </c:extLst>
        </c:ser>
        <c:ser>
          <c:idx val="2"/>
          <c:order val="2"/>
          <c:tx>
            <c:strRef>
              <c:f>'Regional Habitat Acres'!$J$1</c:f>
              <c:strCache>
                <c:ptCount val="1"/>
                <c:pt idx="0">
                  <c:v>North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'Regional Habitat Acres'!$F$2:$G$11</c:f>
              <c:multiLvlStrCache>
                <c:ptCount val="10"/>
                <c:lvl>
                  <c:pt idx="0">
                    <c:v>Transitional </c:v>
                  </c:pt>
                  <c:pt idx="1">
                    <c:v>Soil</c:v>
                  </c:pt>
                  <c:pt idx="2">
                    <c:v>Tidal</c:v>
                  </c:pt>
                  <c:pt idx="3">
                    <c:v>MW</c:v>
                  </c:pt>
                  <c:pt idx="4">
                    <c:v>Meadows</c:v>
                  </c:pt>
                  <c:pt idx="5">
                    <c:v>Floodplain</c:v>
                  </c:pt>
                  <c:pt idx="6">
                    <c:v>Wetland</c:v>
                  </c:pt>
                  <c:pt idx="7">
                    <c:v>Meadows</c:v>
                  </c:pt>
                  <c:pt idx="8">
                    <c:v>Floodplain</c:v>
                  </c:pt>
                  <c:pt idx="9">
                    <c:v>Wetland</c:v>
                  </c:pt>
                </c:lvl>
                <c:lvl>
                  <c:pt idx="0">
                    <c:v>Full Restoration</c:v>
                  </c:pt>
                  <c:pt idx="4">
                    <c:v>Full Restoration</c:v>
                  </c:pt>
                  <c:pt idx="7">
                    <c:v>Slight Restoration</c:v>
                  </c:pt>
                </c:lvl>
              </c:multiLvlStrCache>
            </c:multiLvlStrRef>
          </c:cat>
          <c:val>
            <c:numRef>
              <c:f>'Regional Habitat Acres'!$J$2:$J$11</c:f>
              <c:numCache>
                <c:formatCode>General</c:formatCode>
                <c:ptCount val="10"/>
                <c:pt idx="0">
                  <c:v>80428.560441558366</c:v>
                </c:pt>
                <c:pt idx="1">
                  <c:v>93152.201648204791</c:v>
                </c:pt>
                <c:pt idx="2">
                  <c:v>25938.421943390429</c:v>
                </c:pt>
                <c:pt idx="3">
                  <c:v>84385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6D-4969-A702-F8DC64DADB4E}"/>
            </c:ext>
          </c:extLst>
        </c:ser>
        <c:ser>
          <c:idx val="3"/>
          <c:order val="3"/>
          <c:tx>
            <c:strRef>
              <c:f>'Regional Habitat Acres'!$K$1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'Regional Habitat Acres'!$F$2:$G$11</c:f>
              <c:multiLvlStrCache>
                <c:ptCount val="10"/>
                <c:lvl>
                  <c:pt idx="0">
                    <c:v>Transitional </c:v>
                  </c:pt>
                  <c:pt idx="1">
                    <c:v>Soil</c:v>
                  </c:pt>
                  <c:pt idx="2">
                    <c:v>Tidal</c:v>
                  </c:pt>
                  <c:pt idx="3">
                    <c:v>MW</c:v>
                  </c:pt>
                  <c:pt idx="4">
                    <c:v>Meadows</c:v>
                  </c:pt>
                  <c:pt idx="5">
                    <c:v>Floodplain</c:v>
                  </c:pt>
                  <c:pt idx="6">
                    <c:v>Wetland</c:v>
                  </c:pt>
                  <c:pt idx="7">
                    <c:v>Meadows</c:v>
                  </c:pt>
                  <c:pt idx="8">
                    <c:v>Floodplain</c:v>
                  </c:pt>
                  <c:pt idx="9">
                    <c:v>Wetland</c:v>
                  </c:pt>
                </c:lvl>
                <c:lvl>
                  <c:pt idx="0">
                    <c:v>Full Restoration</c:v>
                  </c:pt>
                  <c:pt idx="4">
                    <c:v>Full Restoration</c:v>
                  </c:pt>
                  <c:pt idx="7">
                    <c:v>Slight Restoration</c:v>
                  </c:pt>
                </c:lvl>
              </c:multiLvlStrCache>
            </c:multiLvlStrRef>
          </c:cat>
          <c:val>
            <c:numRef>
              <c:f>'Regional Habitat Acres'!$K$2:$K$11</c:f>
              <c:numCache>
                <c:formatCode>General</c:formatCode>
                <c:ptCount val="10"/>
                <c:pt idx="0">
                  <c:v>67259.975054850249</c:v>
                </c:pt>
                <c:pt idx="1">
                  <c:v>79914.46236820989</c:v>
                </c:pt>
                <c:pt idx="3">
                  <c:v>130507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6D-4969-A702-F8DC64DADB4E}"/>
            </c:ext>
          </c:extLst>
        </c:ser>
        <c:ser>
          <c:idx val="4"/>
          <c:order val="4"/>
          <c:tx>
            <c:strRef>
              <c:f>'Regional Habitat Acres'!$L$1</c:f>
              <c:strCache>
                <c:ptCount val="1"/>
                <c:pt idx="0">
                  <c:v>Upland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'Regional Habitat Acres'!$F$2:$G$11</c:f>
              <c:multiLvlStrCache>
                <c:ptCount val="10"/>
                <c:lvl>
                  <c:pt idx="0">
                    <c:v>Transitional </c:v>
                  </c:pt>
                  <c:pt idx="1">
                    <c:v>Soil</c:v>
                  </c:pt>
                  <c:pt idx="2">
                    <c:v>Tidal</c:v>
                  </c:pt>
                  <c:pt idx="3">
                    <c:v>MW</c:v>
                  </c:pt>
                  <c:pt idx="4">
                    <c:v>Meadows</c:v>
                  </c:pt>
                  <c:pt idx="5">
                    <c:v>Floodplain</c:v>
                  </c:pt>
                  <c:pt idx="6">
                    <c:v>Wetland</c:v>
                  </c:pt>
                  <c:pt idx="7">
                    <c:v>Meadows</c:v>
                  </c:pt>
                  <c:pt idx="8">
                    <c:v>Floodplain</c:v>
                  </c:pt>
                  <c:pt idx="9">
                    <c:v>Wetland</c:v>
                  </c:pt>
                </c:lvl>
                <c:lvl>
                  <c:pt idx="0">
                    <c:v>Full Restoration</c:v>
                  </c:pt>
                  <c:pt idx="4">
                    <c:v>Full Restoration</c:v>
                  </c:pt>
                  <c:pt idx="7">
                    <c:v>Slight Restoration</c:v>
                  </c:pt>
                </c:lvl>
              </c:multiLvlStrCache>
            </c:multiLvlStrRef>
          </c:cat>
          <c:val>
            <c:numRef>
              <c:f>'Regional Habitat Acres'!$L$2:$L$11</c:f>
              <c:numCache>
                <c:formatCode>General</c:formatCode>
                <c:ptCount val="10"/>
                <c:pt idx="4" formatCode="#,##0">
                  <c:v>347591</c:v>
                </c:pt>
                <c:pt idx="5" formatCode="#,##0">
                  <c:v>303372</c:v>
                </c:pt>
                <c:pt idx="6" formatCode="#,##0">
                  <c:v>207004</c:v>
                </c:pt>
                <c:pt idx="7">
                  <c:v>347591</c:v>
                </c:pt>
                <c:pt idx="8">
                  <c:v>303372</c:v>
                </c:pt>
                <c:pt idx="9" formatCode="#,##0">
                  <c:v>48213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6D-4969-A702-F8DC64DAD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125440"/>
        <c:axId val="1732758768"/>
      </c:barChart>
      <c:catAx>
        <c:axId val="1738125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758768"/>
        <c:crosses val="autoZero"/>
        <c:auto val="1"/>
        <c:lblAlgn val="ctr"/>
        <c:lblOffset val="100"/>
        <c:noMultiLvlLbl val="0"/>
      </c:catAx>
      <c:valAx>
        <c:axId val="173275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12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In-Delta Restoration</a:t>
            </a:r>
            <a:r>
              <a:rPr lang="en-US" baseline="0"/>
              <a:t> Scenarios (Acres)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'Regional Habitat Acres'!$G$2</c:f>
              <c:strCache>
                <c:ptCount val="1"/>
                <c:pt idx="0">
                  <c:v>Transitional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Habitat Acres'!$H$1:$K$1</c:f>
              <c:strCache>
                <c:ptCount val="4"/>
                <c:pt idx="0">
                  <c:v>Suisun</c:v>
                </c:pt>
                <c:pt idx="1">
                  <c:v>Central</c:v>
                </c:pt>
                <c:pt idx="2">
                  <c:v>North </c:v>
                </c:pt>
                <c:pt idx="3">
                  <c:v>South</c:v>
                </c:pt>
              </c:strCache>
            </c:strRef>
          </c:cat>
          <c:val>
            <c:numRef>
              <c:f>'Regional Habitat Acres'!$H$2:$K$2</c:f>
              <c:numCache>
                <c:formatCode>General</c:formatCode>
                <c:ptCount val="4"/>
                <c:pt idx="2">
                  <c:v>80428.560441558366</c:v>
                </c:pt>
                <c:pt idx="3">
                  <c:v>67259.975054850249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FF-4727-A831-B845B6EF56D9}"/>
            </c:ext>
          </c:extLst>
        </c:ser>
        <c:ser>
          <c:idx val="1"/>
          <c:order val="1"/>
          <c:tx>
            <c:strRef>
              <c:f>'Regional Habitat Acres'!$G$3</c:f>
              <c:strCache>
                <c:ptCount val="1"/>
                <c:pt idx="0">
                  <c:v>Soil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Habitat Acres'!$H$1:$K$1</c:f>
              <c:strCache>
                <c:ptCount val="4"/>
                <c:pt idx="0">
                  <c:v>Suisun</c:v>
                </c:pt>
                <c:pt idx="1">
                  <c:v>Central</c:v>
                </c:pt>
                <c:pt idx="2">
                  <c:v>North </c:v>
                </c:pt>
                <c:pt idx="3">
                  <c:v>South</c:v>
                </c:pt>
              </c:strCache>
            </c:strRef>
          </c:cat>
          <c:val>
            <c:numRef>
              <c:f>'Regional Habitat Acres'!$H$3:$K$3</c:f>
              <c:numCache>
                <c:formatCode>General</c:formatCode>
                <c:ptCount val="4"/>
                <c:pt idx="1">
                  <c:v>34255.256684547981</c:v>
                </c:pt>
                <c:pt idx="2">
                  <c:v>93152.201648204791</c:v>
                </c:pt>
                <c:pt idx="3">
                  <c:v>79914.46236820989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FF-4727-A831-B845B6EF56D9}"/>
            </c:ext>
          </c:extLst>
        </c:ser>
        <c:ser>
          <c:idx val="2"/>
          <c:order val="2"/>
          <c:tx>
            <c:strRef>
              <c:f>'Regional Habitat Acres'!$G$4</c:f>
              <c:strCache>
                <c:ptCount val="1"/>
                <c:pt idx="0">
                  <c:v>Tidal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'Regional Habitat Acres'!$H$1:$K$1</c:f>
              <c:strCache>
                <c:ptCount val="4"/>
                <c:pt idx="0">
                  <c:v>Suisun</c:v>
                </c:pt>
                <c:pt idx="1">
                  <c:v>Central</c:v>
                </c:pt>
                <c:pt idx="2">
                  <c:v>North </c:v>
                </c:pt>
                <c:pt idx="3">
                  <c:v>South</c:v>
                </c:pt>
              </c:strCache>
            </c:strRef>
          </c:cat>
          <c:val>
            <c:numRef>
              <c:f>'Regional Habitat Acres'!$H$4:$K$4</c:f>
              <c:numCache>
                <c:formatCode>General</c:formatCode>
                <c:ptCount val="4"/>
                <c:pt idx="0">
                  <c:v>41914.112043193833</c:v>
                </c:pt>
                <c:pt idx="1">
                  <c:v>3324.508165315764</c:v>
                </c:pt>
                <c:pt idx="2">
                  <c:v>25938.421943390429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FF-4727-A831-B845B6EF56D9}"/>
            </c:ext>
          </c:extLst>
        </c:ser>
        <c:ser>
          <c:idx val="3"/>
          <c:order val="3"/>
          <c:tx>
            <c:strRef>
              <c:f>'Regional Habitat Acres'!$G$5</c:f>
              <c:strCache>
                <c:ptCount val="1"/>
                <c:pt idx="0">
                  <c:v>MW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'Regional Habitat Acres'!$H$1:$K$1</c:f>
              <c:strCache>
                <c:ptCount val="4"/>
                <c:pt idx="0">
                  <c:v>Suisun</c:v>
                </c:pt>
                <c:pt idx="1">
                  <c:v>Central</c:v>
                </c:pt>
                <c:pt idx="2">
                  <c:v>North </c:v>
                </c:pt>
                <c:pt idx="3">
                  <c:v>South</c:v>
                </c:pt>
              </c:strCache>
            </c:strRef>
          </c:cat>
          <c:val>
            <c:numRef>
              <c:f>'Regional Habitat Acres'!$H$5:$K$5</c:f>
              <c:numCache>
                <c:formatCode>General</c:formatCode>
                <c:ptCount val="4"/>
                <c:pt idx="1">
                  <c:v>29367</c:v>
                </c:pt>
                <c:pt idx="2">
                  <c:v>84385</c:v>
                </c:pt>
                <c:pt idx="3">
                  <c:v>130507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FF-4727-A831-B845B6EF5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6317119"/>
        <c:axId val="328603247"/>
      </c:barChart>
      <c:catAx>
        <c:axId val="67631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03247"/>
        <c:crosses val="autoZero"/>
        <c:auto val="1"/>
        <c:lblAlgn val="ctr"/>
        <c:lblOffset val="100"/>
        <c:noMultiLvlLbl val="0"/>
      </c:catAx>
      <c:valAx>
        <c:axId val="32860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31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'Sub Scenario 2 (primary scenari'!$I$2</c:f>
              <c:strCache>
                <c:ptCount val="1"/>
                <c:pt idx="0">
                  <c:v>Recreational fishing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'Sub Scenario 2 (primary scenari'!$G$4:$G$42</c15:sqref>
                  </c15:fullRef>
                </c:ext>
              </c:extLst>
              <c:f>('Sub Scenario 2 (primary scenari'!$G$4:$G$40,'Sub Scenario 2 (primary scenari'!$G$42)</c:f>
              <c:strCache>
                <c:ptCount val="38"/>
                <c:pt idx="0">
                  <c:v>Grand Island</c:v>
                </c:pt>
                <c:pt idx="1">
                  <c:v>Ryer Island</c:v>
                </c:pt>
                <c:pt idx="2">
                  <c:v>Tyler Island</c:v>
                </c:pt>
                <c:pt idx="3">
                  <c:v>Staten Island</c:v>
                </c:pt>
                <c:pt idx="4">
                  <c:v>Brannan Island</c:v>
                </c:pt>
                <c:pt idx="5">
                  <c:v>Bouldin Island</c:v>
                </c:pt>
                <c:pt idx="6">
                  <c:v>Venice Island</c:v>
                </c:pt>
                <c:pt idx="7">
                  <c:v>Medford Island</c:v>
                </c:pt>
                <c:pt idx="8">
                  <c:v>Empire Tract</c:v>
                </c:pt>
                <c:pt idx="9">
                  <c:v>King Island</c:v>
                </c:pt>
                <c:pt idx="10">
                  <c:v>Terminous Tract</c:v>
                </c:pt>
                <c:pt idx="11">
                  <c:v>Rindge Tract</c:v>
                </c:pt>
                <c:pt idx="12">
                  <c:v>Wright-Elmwood Tract</c:v>
                </c:pt>
                <c:pt idx="13">
                  <c:v>McDonald Tract</c:v>
                </c:pt>
                <c:pt idx="14">
                  <c:v>Jones Tract</c:v>
                </c:pt>
                <c:pt idx="15">
                  <c:v>Rough and Ready</c:v>
                </c:pt>
                <c:pt idx="16">
                  <c:v>Roberts Island</c:v>
                </c:pt>
                <c:pt idx="17">
                  <c:v>Union Island</c:v>
                </c:pt>
                <c:pt idx="18">
                  <c:v>Victoria Island</c:v>
                </c:pt>
                <c:pt idx="19">
                  <c:v>Woodward Island</c:v>
                </c:pt>
                <c:pt idx="20">
                  <c:v>Coney Island</c:v>
                </c:pt>
                <c:pt idx="21">
                  <c:v>Orowood Tract</c:v>
                </c:pt>
                <c:pt idx="22">
                  <c:v>Palm Tract</c:v>
                </c:pt>
                <c:pt idx="23">
                  <c:v>Bacon Island</c:v>
                </c:pt>
                <c:pt idx="24">
                  <c:v>Holland Tract</c:v>
                </c:pt>
                <c:pt idx="25">
                  <c:v>Quinby Island</c:v>
                </c:pt>
                <c:pt idx="26">
                  <c:v>Mandeville Island</c:v>
                </c:pt>
                <c:pt idx="27">
                  <c:v>Franks Tract</c:v>
                </c:pt>
                <c:pt idx="28">
                  <c:v>Bethel Island</c:v>
                </c:pt>
                <c:pt idx="29">
                  <c:v>Jersey Island</c:v>
                </c:pt>
                <c:pt idx="30">
                  <c:v>Webb Tract</c:v>
                </c:pt>
                <c:pt idx="31">
                  <c:v>Bradford Island</c:v>
                </c:pt>
                <c:pt idx="32">
                  <c:v>Sherman Island</c:v>
                </c:pt>
                <c:pt idx="33">
                  <c:v>Twitchell Island</c:v>
                </c:pt>
                <c:pt idx="34">
                  <c:v>Dead Horse Island</c:v>
                </c:pt>
                <c:pt idx="35">
                  <c:v>Sutter Island</c:v>
                </c:pt>
                <c:pt idx="36">
                  <c:v>New Hope Tract</c:v>
                </c:pt>
                <c:pt idx="37">
                  <c:v>Totals per Benefit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'Sub Scenario 2 (primary scenari'!$I$4:$I$42</c15:sqref>
                  </c15:fullRef>
                </c:ext>
              </c:extLst>
              <c:f>('Sub Scenario 2 (primary scenari'!$I$4:$I$40,'Sub Scenario 2 (primary scenari'!$I$42)</c:f>
              <c:numCache>
                <c:formatCode>_([$$-409]* #,##0.00_);_([$$-409]* \(#,##0.00\);_([$$-409]* "-"??_);_(@_)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3654617.05</c:v>
                </c:pt>
                <c:pt idx="5">
                  <c:v>0</c:v>
                </c:pt>
                <c:pt idx="6">
                  <c:v>876066.1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1909280.45</c:v>
                </c:pt>
                <c:pt idx="12">
                  <c:v>596030.75</c:v>
                </c:pt>
                <c:pt idx="13">
                  <c:v>1715888.9999999998</c:v>
                </c:pt>
                <c:pt idx="14">
                  <c:v>3433760.05</c:v>
                </c:pt>
                <c:pt idx="15">
                  <c:v>396693.14999999997</c:v>
                </c:pt>
                <c:pt idx="16">
                  <c:v>0</c:v>
                </c:pt>
                <c:pt idx="17">
                  <c:v>0</c:v>
                </c:pt>
                <c:pt idx="18">
                  <c:v>2036697.9499999997</c:v>
                </c:pt>
                <c:pt idx="19">
                  <c:v>512218.35</c:v>
                </c:pt>
                <c:pt idx="20">
                  <c:v>273239.75</c:v>
                </c:pt>
                <c:pt idx="21">
                  <c:v>674746.45</c:v>
                </c:pt>
                <c:pt idx="22">
                  <c:v>699380.5</c:v>
                </c:pt>
                <c:pt idx="23">
                  <c:v>1566668.95</c:v>
                </c:pt>
                <c:pt idx="24">
                  <c:v>1193194.0999999999</c:v>
                </c:pt>
                <c:pt idx="25">
                  <c:v>219158.09999999998</c:v>
                </c:pt>
                <c:pt idx="26">
                  <c:v>1477193.5499999998</c:v>
                </c:pt>
                <c:pt idx="27">
                  <c:v>390746.99999999994</c:v>
                </c:pt>
                <c:pt idx="28">
                  <c:v>911742.99999999988</c:v>
                </c:pt>
                <c:pt idx="29">
                  <c:v>979415.85</c:v>
                </c:pt>
                <c:pt idx="30">
                  <c:v>1539203.4</c:v>
                </c:pt>
                <c:pt idx="31">
                  <c:v>604525.25</c:v>
                </c:pt>
                <c:pt idx="32">
                  <c:v>2881900.6999999997</c:v>
                </c:pt>
                <c:pt idx="33">
                  <c:v>1007730.85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29550100.300000001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0C-48F5-BAA9-1442E33F663E}"/>
            </c:ext>
          </c:extLst>
        </c:ser>
        <c:ser>
          <c:idx val="2"/>
          <c:order val="2"/>
          <c:tx>
            <c:strRef>
              <c:f>'Sub Scenario 2 (primary scenari'!$J$2</c:f>
              <c:strCache>
                <c:ptCount val="1"/>
                <c:pt idx="0">
                  <c:v>Amenity/recreation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'Sub Scenario 2 (primary scenari'!$G$4:$G$42</c15:sqref>
                  </c15:fullRef>
                </c:ext>
              </c:extLst>
              <c:f>('Sub Scenario 2 (primary scenari'!$G$4:$G$40,'Sub Scenario 2 (primary scenari'!$G$42)</c:f>
              <c:strCache>
                <c:ptCount val="38"/>
                <c:pt idx="0">
                  <c:v>Grand Island</c:v>
                </c:pt>
                <c:pt idx="1">
                  <c:v>Ryer Island</c:v>
                </c:pt>
                <c:pt idx="2">
                  <c:v>Tyler Island</c:v>
                </c:pt>
                <c:pt idx="3">
                  <c:v>Staten Island</c:v>
                </c:pt>
                <c:pt idx="4">
                  <c:v>Brannan Island</c:v>
                </c:pt>
                <c:pt idx="5">
                  <c:v>Bouldin Island</c:v>
                </c:pt>
                <c:pt idx="6">
                  <c:v>Venice Island</c:v>
                </c:pt>
                <c:pt idx="7">
                  <c:v>Medford Island</c:v>
                </c:pt>
                <c:pt idx="8">
                  <c:v>Empire Tract</c:v>
                </c:pt>
                <c:pt idx="9">
                  <c:v>King Island</c:v>
                </c:pt>
                <c:pt idx="10">
                  <c:v>Terminous Tract</c:v>
                </c:pt>
                <c:pt idx="11">
                  <c:v>Rindge Tract</c:v>
                </c:pt>
                <c:pt idx="12">
                  <c:v>Wright-Elmwood Tract</c:v>
                </c:pt>
                <c:pt idx="13">
                  <c:v>McDonald Tract</c:v>
                </c:pt>
                <c:pt idx="14">
                  <c:v>Jones Tract</c:v>
                </c:pt>
                <c:pt idx="15">
                  <c:v>Rough and Ready</c:v>
                </c:pt>
                <c:pt idx="16">
                  <c:v>Roberts Island</c:v>
                </c:pt>
                <c:pt idx="17">
                  <c:v>Union Island</c:v>
                </c:pt>
                <c:pt idx="18">
                  <c:v>Victoria Island</c:v>
                </c:pt>
                <c:pt idx="19">
                  <c:v>Woodward Island</c:v>
                </c:pt>
                <c:pt idx="20">
                  <c:v>Coney Island</c:v>
                </c:pt>
                <c:pt idx="21">
                  <c:v>Orowood Tract</c:v>
                </c:pt>
                <c:pt idx="22">
                  <c:v>Palm Tract</c:v>
                </c:pt>
                <c:pt idx="23">
                  <c:v>Bacon Island</c:v>
                </c:pt>
                <c:pt idx="24">
                  <c:v>Holland Tract</c:v>
                </c:pt>
                <c:pt idx="25">
                  <c:v>Quinby Island</c:v>
                </c:pt>
                <c:pt idx="26">
                  <c:v>Mandeville Island</c:v>
                </c:pt>
                <c:pt idx="27">
                  <c:v>Franks Tract</c:v>
                </c:pt>
                <c:pt idx="28">
                  <c:v>Bethel Island</c:v>
                </c:pt>
                <c:pt idx="29">
                  <c:v>Jersey Island</c:v>
                </c:pt>
                <c:pt idx="30">
                  <c:v>Webb Tract</c:v>
                </c:pt>
                <c:pt idx="31">
                  <c:v>Bradford Island</c:v>
                </c:pt>
                <c:pt idx="32">
                  <c:v>Sherman Island</c:v>
                </c:pt>
                <c:pt idx="33">
                  <c:v>Twitchell Island</c:v>
                </c:pt>
                <c:pt idx="34">
                  <c:v>Dead Horse Island</c:v>
                </c:pt>
                <c:pt idx="35">
                  <c:v>Sutter Island</c:v>
                </c:pt>
                <c:pt idx="36">
                  <c:v>New Hope Tract</c:v>
                </c:pt>
                <c:pt idx="37">
                  <c:v>Totals per Benefit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'Sub Scenario 2 (primary scenari'!$J$4:$J$42</c15:sqref>
                  </c15:fullRef>
                </c:ext>
              </c:extLst>
              <c:f>('Sub Scenario 2 (primary scenari'!$J$4:$J$40,'Sub Scenario 2 (primary scenari'!$J$42)</c:f>
              <c:numCache>
                <c:formatCode>_([$$-409]* #,##0.00_);_([$$-409]* \(#,##0.00\);_([$$-409]* "-"??_);_(@_)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4807728.43</c:v>
                </c:pt>
                <c:pt idx="5">
                  <c:v>0</c:v>
                </c:pt>
                <c:pt idx="6">
                  <c:v>1152484.06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2511700.0699999998</c:v>
                </c:pt>
                <c:pt idx="12">
                  <c:v>784091.45000000007</c:v>
                </c:pt>
                <c:pt idx="13">
                  <c:v>2257289.4</c:v>
                </c:pt>
                <c:pt idx="14">
                  <c:v>4517186.2300000004</c:v>
                </c:pt>
                <c:pt idx="15">
                  <c:v>521858.49</c:v>
                </c:pt>
                <c:pt idx="16">
                  <c:v>0</c:v>
                </c:pt>
                <c:pt idx="17">
                  <c:v>0</c:v>
                </c:pt>
                <c:pt idx="18">
                  <c:v>2679320.5700000003</c:v>
                </c:pt>
                <c:pt idx="19">
                  <c:v>673834.41</c:v>
                </c:pt>
                <c:pt idx="20">
                  <c:v>359452.85000000003</c:v>
                </c:pt>
                <c:pt idx="21">
                  <c:v>887643.67</c:v>
                </c:pt>
                <c:pt idx="22">
                  <c:v>920050.3</c:v>
                </c:pt>
                <c:pt idx="23">
                  <c:v>2060987.1700000002</c:v>
                </c:pt>
                <c:pt idx="24">
                  <c:v>1569672.86</c:v>
                </c:pt>
                <c:pt idx="25">
                  <c:v>288307.26</c:v>
                </c:pt>
                <c:pt idx="26">
                  <c:v>1943280.33</c:v>
                </c:pt>
                <c:pt idx="27">
                  <c:v>514036.2</c:v>
                </c:pt>
                <c:pt idx="28">
                  <c:v>1199417.8</c:v>
                </c:pt>
                <c:pt idx="29">
                  <c:v>1288442.9099999999</c:v>
                </c:pt>
                <c:pt idx="30">
                  <c:v>2024855.6400000001</c:v>
                </c:pt>
                <c:pt idx="31">
                  <c:v>795266.15</c:v>
                </c:pt>
                <c:pt idx="32">
                  <c:v>3791203.22</c:v>
                </c:pt>
                <c:pt idx="33">
                  <c:v>1325691.9099999999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38873801.38000001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0C-48F5-BAA9-1442E33F663E}"/>
            </c:ext>
          </c:extLst>
        </c:ser>
        <c:ser>
          <c:idx val="4"/>
          <c:order val="4"/>
          <c:tx>
            <c:strRef>
              <c:f>'Sub Scenario 2 (primary scenari'!$L$2</c:f>
              <c:strCache>
                <c:ptCount val="1"/>
                <c:pt idx="0">
                  <c:v>Biodiversity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'Sub Scenario 2 (primary scenari'!$G$4:$G$42</c15:sqref>
                  </c15:fullRef>
                </c:ext>
              </c:extLst>
              <c:f>('Sub Scenario 2 (primary scenari'!$G$4:$G$40,'Sub Scenario 2 (primary scenari'!$G$42)</c:f>
              <c:strCache>
                <c:ptCount val="38"/>
                <c:pt idx="0">
                  <c:v>Grand Island</c:v>
                </c:pt>
                <c:pt idx="1">
                  <c:v>Ryer Island</c:v>
                </c:pt>
                <c:pt idx="2">
                  <c:v>Tyler Island</c:v>
                </c:pt>
                <c:pt idx="3">
                  <c:v>Staten Island</c:v>
                </c:pt>
                <c:pt idx="4">
                  <c:v>Brannan Island</c:v>
                </c:pt>
                <c:pt idx="5">
                  <c:v>Bouldin Island</c:v>
                </c:pt>
                <c:pt idx="6">
                  <c:v>Venice Island</c:v>
                </c:pt>
                <c:pt idx="7">
                  <c:v>Medford Island</c:v>
                </c:pt>
                <c:pt idx="8">
                  <c:v>Empire Tract</c:v>
                </c:pt>
                <c:pt idx="9">
                  <c:v>King Island</c:v>
                </c:pt>
                <c:pt idx="10">
                  <c:v>Terminous Tract</c:v>
                </c:pt>
                <c:pt idx="11">
                  <c:v>Rindge Tract</c:v>
                </c:pt>
                <c:pt idx="12">
                  <c:v>Wright-Elmwood Tract</c:v>
                </c:pt>
                <c:pt idx="13">
                  <c:v>McDonald Tract</c:v>
                </c:pt>
                <c:pt idx="14">
                  <c:v>Jones Tract</c:v>
                </c:pt>
                <c:pt idx="15">
                  <c:v>Rough and Ready</c:v>
                </c:pt>
                <c:pt idx="16">
                  <c:v>Roberts Island</c:v>
                </c:pt>
                <c:pt idx="17">
                  <c:v>Union Island</c:v>
                </c:pt>
                <c:pt idx="18">
                  <c:v>Victoria Island</c:v>
                </c:pt>
                <c:pt idx="19">
                  <c:v>Woodward Island</c:v>
                </c:pt>
                <c:pt idx="20">
                  <c:v>Coney Island</c:v>
                </c:pt>
                <c:pt idx="21">
                  <c:v>Orowood Tract</c:v>
                </c:pt>
                <c:pt idx="22">
                  <c:v>Palm Tract</c:v>
                </c:pt>
                <c:pt idx="23">
                  <c:v>Bacon Island</c:v>
                </c:pt>
                <c:pt idx="24">
                  <c:v>Holland Tract</c:v>
                </c:pt>
                <c:pt idx="25">
                  <c:v>Quinby Island</c:v>
                </c:pt>
                <c:pt idx="26">
                  <c:v>Mandeville Island</c:v>
                </c:pt>
                <c:pt idx="27">
                  <c:v>Franks Tract</c:v>
                </c:pt>
                <c:pt idx="28">
                  <c:v>Bethel Island</c:v>
                </c:pt>
                <c:pt idx="29">
                  <c:v>Jersey Island</c:v>
                </c:pt>
                <c:pt idx="30">
                  <c:v>Webb Tract</c:v>
                </c:pt>
                <c:pt idx="31">
                  <c:v>Bradford Island</c:v>
                </c:pt>
                <c:pt idx="32">
                  <c:v>Sherman Island</c:v>
                </c:pt>
                <c:pt idx="33">
                  <c:v>Twitchell Island</c:v>
                </c:pt>
                <c:pt idx="34">
                  <c:v>Dead Horse Island</c:v>
                </c:pt>
                <c:pt idx="35">
                  <c:v>Sutter Island</c:v>
                </c:pt>
                <c:pt idx="36">
                  <c:v>New Hope Tract</c:v>
                </c:pt>
                <c:pt idx="37">
                  <c:v>Totals per Benefit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'Sub Scenario 2 (primary scenari'!$L$4:$L$42</c15:sqref>
                  </c15:fullRef>
                </c:ext>
              </c:extLst>
              <c:f>('Sub Scenario 2 (primary scenari'!$L$4:$L$40,'Sub Scenario 2 (primary scenari'!$L$42)</c:f>
              <c:numCache>
                <c:formatCode>_([$$-409]* #,##0.00_);_([$$-409]* \(#,##0.00\);_([$$-409]* "-"??_);_(@_)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2091192.1400000001</c:v>
                </c:pt>
                <c:pt idx="5">
                  <c:v>0</c:v>
                </c:pt>
                <c:pt idx="6">
                  <c:v>501289.88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1092500.8600000001</c:v>
                </c:pt>
                <c:pt idx="12">
                  <c:v>341052.10000000003</c:v>
                </c:pt>
                <c:pt idx="13">
                  <c:v>981841.20000000007</c:v>
                </c:pt>
                <c:pt idx="14">
                  <c:v>1964816.54</c:v>
                </c:pt>
                <c:pt idx="15">
                  <c:v>226990.02000000002</c:v>
                </c:pt>
                <c:pt idx="16">
                  <c:v>0</c:v>
                </c:pt>
                <c:pt idx="17">
                  <c:v>0</c:v>
                </c:pt>
                <c:pt idx="18">
                  <c:v>1165409.8600000001</c:v>
                </c:pt>
                <c:pt idx="19">
                  <c:v>293094.18</c:v>
                </c:pt>
                <c:pt idx="20">
                  <c:v>156349.30000000002</c:v>
                </c:pt>
                <c:pt idx="21">
                  <c:v>386093.66000000003</c:v>
                </c:pt>
                <c:pt idx="22">
                  <c:v>400189.4</c:v>
                </c:pt>
                <c:pt idx="23">
                  <c:v>896456.66</c:v>
                </c:pt>
                <c:pt idx="24">
                  <c:v>682752.28</c:v>
                </c:pt>
                <c:pt idx="25">
                  <c:v>125403.48000000001</c:v>
                </c:pt>
                <c:pt idx="26">
                  <c:v>845258.34000000008</c:v>
                </c:pt>
                <c:pt idx="27">
                  <c:v>223587.6</c:v>
                </c:pt>
                <c:pt idx="28">
                  <c:v>521704.4</c:v>
                </c:pt>
                <c:pt idx="29">
                  <c:v>560427.18000000005</c:v>
                </c:pt>
                <c:pt idx="30">
                  <c:v>880740.72000000009</c:v>
                </c:pt>
                <c:pt idx="31">
                  <c:v>345912.7</c:v>
                </c:pt>
                <c:pt idx="32">
                  <c:v>1649039.56</c:v>
                </c:pt>
                <c:pt idx="33">
                  <c:v>576629.18000000005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16908731.240000002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0C-48F5-BAA9-1442E33F663E}"/>
            </c:ext>
          </c:extLst>
        </c:ser>
        <c:ser>
          <c:idx val="6"/>
          <c:order val="6"/>
          <c:tx>
            <c:strRef>
              <c:f>'Sub Scenario 2 (primary scenari'!$N$2</c:f>
              <c:strCache>
                <c:ptCount val="1"/>
                <c:pt idx="0">
                  <c:v>Recreational hunting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'Sub Scenario 2 (primary scenari'!$G$4:$G$42</c15:sqref>
                  </c15:fullRef>
                </c:ext>
              </c:extLst>
              <c:f>('Sub Scenario 2 (primary scenari'!$G$4:$G$40,'Sub Scenario 2 (primary scenari'!$G$42)</c:f>
              <c:strCache>
                <c:ptCount val="38"/>
                <c:pt idx="0">
                  <c:v>Grand Island</c:v>
                </c:pt>
                <c:pt idx="1">
                  <c:v>Ryer Island</c:v>
                </c:pt>
                <c:pt idx="2">
                  <c:v>Tyler Island</c:v>
                </c:pt>
                <c:pt idx="3">
                  <c:v>Staten Island</c:v>
                </c:pt>
                <c:pt idx="4">
                  <c:v>Brannan Island</c:v>
                </c:pt>
                <c:pt idx="5">
                  <c:v>Bouldin Island</c:v>
                </c:pt>
                <c:pt idx="6">
                  <c:v>Venice Island</c:v>
                </c:pt>
                <c:pt idx="7">
                  <c:v>Medford Island</c:v>
                </c:pt>
                <c:pt idx="8">
                  <c:v>Empire Tract</c:v>
                </c:pt>
                <c:pt idx="9">
                  <c:v>King Island</c:v>
                </c:pt>
                <c:pt idx="10">
                  <c:v>Terminous Tract</c:v>
                </c:pt>
                <c:pt idx="11">
                  <c:v>Rindge Tract</c:v>
                </c:pt>
                <c:pt idx="12">
                  <c:v>Wright-Elmwood Tract</c:v>
                </c:pt>
                <c:pt idx="13">
                  <c:v>McDonald Tract</c:v>
                </c:pt>
                <c:pt idx="14">
                  <c:v>Jones Tract</c:v>
                </c:pt>
                <c:pt idx="15">
                  <c:v>Rough and Ready</c:v>
                </c:pt>
                <c:pt idx="16">
                  <c:v>Roberts Island</c:v>
                </c:pt>
                <c:pt idx="17">
                  <c:v>Union Island</c:v>
                </c:pt>
                <c:pt idx="18">
                  <c:v>Victoria Island</c:v>
                </c:pt>
                <c:pt idx="19">
                  <c:v>Woodward Island</c:v>
                </c:pt>
                <c:pt idx="20">
                  <c:v>Coney Island</c:v>
                </c:pt>
                <c:pt idx="21">
                  <c:v>Orowood Tract</c:v>
                </c:pt>
                <c:pt idx="22">
                  <c:v>Palm Tract</c:v>
                </c:pt>
                <c:pt idx="23">
                  <c:v>Bacon Island</c:v>
                </c:pt>
                <c:pt idx="24">
                  <c:v>Holland Tract</c:v>
                </c:pt>
                <c:pt idx="25">
                  <c:v>Quinby Island</c:v>
                </c:pt>
                <c:pt idx="26">
                  <c:v>Mandeville Island</c:v>
                </c:pt>
                <c:pt idx="27">
                  <c:v>Franks Tract</c:v>
                </c:pt>
                <c:pt idx="28">
                  <c:v>Bethel Island</c:v>
                </c:pt>
                <c:pt idx="29">
                  <c:v>Jersey Island</c:v>
                </c:pt>
                <c:pt idx="30">
                  <c:v>Webb Tract</c:v>
                </c:pt>
                <c:pt idx="31">
                  <c:v>Bradford Island</c:v>
                </c:pt>
                <c:pt idx="32">
                  <c:v>Sherman Island</c:v>
                </c:pt>
                <c:pt idx="33">
                  <c:v>Twitchell Island</c:v>
                </c:pt>
                <c:pt idx="34">
                  <c:v>Dead Horse Island</c:v>
                </c:pt>
                <c:pt idx="35">
                  <c:v>Sutter Island</c:v>
                </c:pt>
                <c:pt idx="36">
                  <c:v>New Hope Tract</c:v>
                </c:pt>
                <c:pt idx="37">
                  <c:v>Totals per Benefit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'Sub Scenario 2 (primary scenari'!$N$4:$N$42</c15:sqref>
                  </c15:fullRef>
                </c:ext>
              </c:extLst>
              <c:f>('Sub Scenario 2 (primary scenari'!$N$4:$N$40,'Sub Scenario 2 (primary scenari'!$N$42)</c:f>
              <c:numCache>
                <c:formatCode>_([$$-409]* #,##0.00_);_([$$-409]* \(#,##0.00\);_([$$-409]* "-"??_);_(@_)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1201899.8400000001</c:v>
                </c:pt>
                <c:pt idx="5">
                  <c:v>0</c:v>
                </c:pt>
                <c:pt idx="6">
                  <c:v>288113.28000000003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627908.16</c:v>
                </c:pt>
                <c:pt idx="12">
                  <c:v>196017.6</c:v>
                </c:pt>
                <c:pt idx="13">
                  <c:v>564307.20000000007</c:v>
                </c:pt>
                <c:pt idx="14">
                  <c:v>1129266.24</c:v>
                </c:pt>
                <c:pt idx="15">
                  <c:v>130461.12000000001</c:v>
                </c:pt>
                <c:pt idx="16">
                  <c:v>0</c:v>
                </c:pt>
                <c:pt idx="17">
                  <c:v>0</c:v>
                </c:pt>
                <c:pt idx="18">
                  <c:v>669812.16</c:v>
                </c:pt>
                <c:pt idx="19">
                  <c:v>168454.08000000002</c:v>
                </c:pt>
                <c:pt idx="20">
                  <c:v>89860.800000000003</c:v>
                </c:pt>
                <c:pt idx="21">
                  <c:v>221904.96000000002</c:v>
                </c:pt>
                <c:pt idx="22">
                  <c:v>230006.40000000002</c:v>
                </c:pt>
                <c:pt idx="23">
                  <c:v>515232.96</c:v>
                </c:pt>
                <c:pt idx="24">
                  <c:v>392407.68</c:v>
                </c:pt>
                <c:pt idx="25">
                  <c:v>72074.880000000005</c:v>
                </c:pt>
                <c:pt idx="26">
                  <c:v>485807.04000000004</c:v>
                </c:pt>
                <c:pt idx="27">
                  <c:v>128505.60000000001</c:v>
                </c:pt>
                <c:pt idx="28">
                  <c:v>299846.40000000002</c:v>
                </c:pt>
                <c:pt idx="29">
                  <c:v>322102.08</c:v>
                </c:pt>
                <c:pt idx="30">
                  <c:v>506200.32000000001</c:v>
                </c:pt>
                <c:pt idx="31">
                  <c:v>198811.2</c:v>
                </c:pt>
                <c:pt idx="32">
                  <c:v>947775.3600000001</c:v>
                </c:pt>
                <c:pt idx="33">
                  <c:v>331414.08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9718189.4399999995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0C-48F5-BAA9-1442E33F6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048096"/>
        <c:axId val="22302839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'Sub Scenario 2 (primary scenari'!$H$2</c15:sqref>
                        </c15:formulaRef>
                      </c:ext>
                    </c:extLst>
                    <c:strCache>
                      <c:ptCount val="1"/>
                      <c:pt idx="0">
                        <c:v>Flood control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'Sub Scenario 2 (primary scenari'!$G$4:$G$42</c15:sqref>
                        </c15:fullRef>
                        <c15:formulaRef>
                          <c15:sqref>('Sub Scenario 2 (primary scenari'!$G$4:$G$40,'Sub Scenario 2 (primary scenari'!$G$42)</c15:sqref>
                        </c15:formulaRef>
                      </c:ext>
                    </c:extLst>
                    <c:strCache>
                      <c:ptCount val="38"/>
                      <c:pt idx="0">
                        <c:v>Grand Island</c:v>
                      </c:pt>
                      <c:pt idx="1">
                        <c:v>Ryer Island</c:v>
                      </c:pt>
                      <c:pt idx="2">
                        <c:v>Tyler Island</c:v>
                      </c:pt>
                      <c:pt idx="3">
                        <c:v>Staten Island</c:v>
                      </c:pt>
                      <c:pt idx="4">
                        <c:v>Brannan Island</c:v>
                      </c:pt>
                      <c:pt idx="5">
                        <c:v>Bouldin Island</c:v>
                      </c:pt>
                      <c:pt idx="6">
                        <c:v>Venice Island</c:v>
                      </c:pt>
                      <c:pt idx="7">
                        <c:v>Medford Island</c:v>
                      </c:pt>
                      <c:pt idx="8">
                        <c:v>Empire Tract</c:v>
                      </c:pt>
                      <c:pt idx="9">
                        <c:v>King Island</c:v>
                      </c:pt>
                      <c:pt idx="10">
                        <c:v>Terminous Tract</c:v>
                      </c:pt>
                      <c:pt idx="11">
                        <c:v>Rindge Tract</c:v>
                      </c:pt>
                      <c:pt idx="12">
                        <c:v>Wright-Elmwood Tract</c:v>
                      </c:pt>
                      <c:pt idx="13">
                        <c:v>McDonald Tract</c:v>
                      </c:pt>
                      <c:pt idx="14">
                        <c:v>Jones Tract</c:v>
                      </c:pt>
                      <c:pt idx="15">
                        <c:v>Rough and Ready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New Hope Tract</c:v>
                      </c:pt>
                      <c:pt idx="37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'Sub Scenario 2 (primary scenari'!$H$4:$H$42</c15:sqref>
                        </c15:fullRef>
                        <c15:formulaRef>
                          <c15:sqref>('Sub Scenario 2 (primary scenari'!$H$4:$H$40,'Sub Scenario 2 (primary scenari'!$H$42)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4534100.03</c:v>
                      </c:pt>
                      <c:pt idx="5">
                        <c:v>0</c:v>
                      </c:pt>
                      <c:pt idx="6">
                        <c:v>1086891.26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2368748.4700000002</c:v>
                      </c:pt>
                      <c:pt idx="12">
                        <c:v>739465.45000000007</c:v>
                      </c:pt>
                      <c:pt idx="13">
                        <c:v>2128817.4</c:v>
                      </c:pt>
                      <c:pt idx="14">
                        <c:v>4260093.83</c:v>
                      </c:pt>
                      <c:pt idx="15">
                        <c:v>492157.29000000004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2526828.9700000002</c:v>
                      </c:pt>
                      <c:pt idx="19">
                        <c:v>635483.61</c:v>
                      </c:pt>
                      <c:pt idx="20">
                        <c:v>338994.85000000003</c:v>
                      </c:pt>
                      <c:pt idx="21">
                        <c:v>837124.07000000007</c:v>
                      </c:pt>
                      <c:pt idx="22">
                        <c:v>867686.3</c:v>
                      </c:pt>
                      <c:pt idx="23">
                        <c:v>1943687.57</c:v>
                      </c:pt>
                      <c:pt idx="24">
                        <c:v>1480336.06</c:v>
                      </c:pt>
                      <c:pt idx="25">
                        <c:v>271898.46000000002</c:v>
                      </c:pt>
                      <c:pt idx="26">
                        <c:v>1832679.9300000002</c:v>
                      </c:pt>
                      <c:pt idx="27">
                        <c:v>484780.2</c:v>
                      </c:pt>
                      <c:pt idx="28">
                        <c:v>1131153.8</c:v>
                      </c:pt>
                      <c:pt idx="29">
                        <c:v>1215112.1100000001</c:v>
                      </c:pt>
                      <c:pt idx="30">
                        <c:v>1909612.4400000002</c:v>
                      </c:pt>
                      <c:pt idx="31">
                        <c:v>750004.15</c:v>
                      </c:pt>
                      <c:pt idx="32">
                        <c:v>3575429.62</c:v>
                      </c:pt>
                      <c:pt idx="33">
                        <c:v>1250241.1100000001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36661326.979999997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00C-48F5-BAA9-1442E33F663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 Scenario 2 (primary scenari'!$K$2</c15:sqref>
                        </c15:formulaRef>
                      </c:ext>
                    </c:extLst>
                    <c:strCache>
                      <c:ptCount val="1"/>
                      <c:pt idx="0">
                        <c:v>Water filtering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'Sub Scenario 2 (primary scenari'!$G$4:$G$42</c15:sqref>
                        </c15:fullRef>
                        <c15:formulaRef>
                          <c15:sqref>('Sub Scenario 2 (primary scenari'!$G$4:$G$40,'Sub Scenario 2 (primary scenari'!$G$42)</c15:sqref>
                        </c15:formulaRef>
                      </c:ext>
                    </c:extLst>
                    <c:strCache>
                      <c:ptCount val="38"/>
                      <c:pt idx="0">
                        <c:v>Grand Island</c:v>
                      </c:pt>
                      <c:pt idx="1">
                        <c:v>Ryer Island</c:v>
                      </c:pt>
                      <c:pt idx="2">
                        <c:v>Tyler Island</c:v>
                      </c:pt>
                      <c:pt idx="3">
                        <c:v>Staten Island</c:v>
                      </c:pt>
                      <c:pt idx="4">
                        <c:v>Brannan Island</c:v>
                      </c:pt>
                      <c:pt idx="5">
                        <c:v>Bouldin Island</c:v>
                      </c:pt>
                      <c:pt idx="6">
                        <c:v>Venice Island</c:v>
                      </c:pt>
                      <c:pt idx="7">
                        <c:v>Medford Island</c:v>
                      </c:pt>
                      <c:pt idx="8">
                        <c:v>Empire Tract</c:v>
                      </c:pt>
                      <c:pt idx="9">
                        <c:v>King Island</c:v>
                      </c:pt>
                      <c:pt idx="10">
                        <c:v>Terminous Tract</c:v>
                      </c:pt>
                      <c:pt idx="11">
                        <c:v>Rindge Tract</c:v>
                      </c:pt>
                      <c:pt idx="12">
                        <c:v>Wright-Elmwood Tract</c:v>
                      </c:pt>
                      <c:pt idx="13">
                        <c:v>McDonald Tract</c:v>
                      </c:pt>
                      <c:pt idx="14">
                        <c:v>Jones Tract</c:v>
                      </c:pt>
                      <c:pt idx="15">
                        <c:v>Rough and Ready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New Hope Tract</c:v>
                      </c:pt>
                      <c:pt idx="37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'Sub Scenario 2 (primary scenari'!$K$4:$K$42</c15:sqref>
                        </c15:fullRef>
                        <c15:formulaRef>
                          <c15:sqref>('Sub Scenario 2 (primary scenari'!$K$4:$K$40,'Sub Scenario 2 (primary scenari'!$K$42)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2814242.28</c:v>
                      </c:pt>
                      <c:pt idx="5">
                        <c:v>0</c:v>
                      </c:pt>
                      <c:pt idx="6">
                        <c:v>674615.76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1470243.72</c:v>
                      </c:pt>
                      <c:pt idx="12">
                        <c:v>458974.2</c:v>
                      </c:pt>
                      <c:pt idx="13">
                        <c:v>1321322.3999999999</c:v>
                      </c:pt>
                      <c:pt idx="14">
                        <c:v>2644171.08</c:v>
                      </c:pt>
                      <c:pt idx="15">
                        <c:v>305474.03999999998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1568361.72</c:v>
                      </c:pt>
                      <c:pt idx="19">
                        <c:v>394434.36</c:v>
                      </c:pt>
                      <c:pt idx="20">
                        <c:v>210408.6</c:v>
                      </c:pt>
                      <c:pt idx="21">
                        <c:v>519589.32</c:v>
                      </c:pt>
                      <c:pt idx="22">
                        <c:v>538558.79999999993</c:v>
                      </c:pt>
                      <c:pt idx="23">
                        <c:v>1206415.32</c:v>
                      </c:pt>
                      <c:pt idx="24">
                        <c:v>918820.55999999994</c:v>
                      </c:pt>
                      <c:pt idx="25">
                        <c:v>168762.96</c:v>
                      </c:pt>
                      <c:pt idx="26">
                        <c:v>1137514.68</c:v>
                      </c:pt>
                      <c:pt idx="27">
                        <c:v>300895.2</c:v>
                      </c:pt>
                      <c:pt idx="28">
                        <c:v>702088.79999999993</c:v>
                      </c:pt>
                      <c:pt idx="29">
                        <c:v>754200.36</c:v>
                      </c:pt>
                      <c:pt idx="30">
                        <c:v>1185265.44</c:v>
                      </c:pt>
                      <c:pt idx="31">
                        <c:v>465515.39999999997</c:v>
                      </c:pt>
                      <c:pt idx="32">
                        <c:v>2219211.12</c:v>
                      </c:pt>
                      <c:pt idx="33">
                        <c:v>776004.36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22755090.48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00C-48F5-BAA9-1442E33F663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 Scenario 2 (primary scenari'!$M$2</c15:sqref>
                        </c15:formulaRef>
                      </c:ext>
                    </c:extLst>
                    <c:strCache>
                      <c:ptCount val="1"/>
                      <c:pt idx="0">
                        <c:v>Habitat nursery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'Sub Scenario 2 (primary scenari'!$G$4:$G$42</c15:sqref>
                        </c15:fullRef>
                        <c15:formulaRef>
                          <c15:sqref>('Sub Scenario 2 (primary scenari'!$G$4:$G$40,'Sub Scenario 2 (primary scenari'!$G$42)</c15:sqref>
                        </c15:formulaRef>
                      </c:ext>
                    </c:extLst>
                    <c:strCache>
                      <c:ptCount val="38"/>
                      <c:pt idx="0">
                        <c:v>Grand Island</c:v>
                      </c:pt>
                      <c:pt idx="1">
                        <c:v>Ryer Island</c:v>
                      </c:pt>
                      <c:pt idx="2">
                        <c:v>Tyler Island</c:v>
                      </c:pt>
                      <c:pt idx="3">
                        <c:v>Staten Island</c:v>
                      </c:pt>
                      <c:pt idx="4">
                        <c:v>Brannan Island</c:v>
                      </c:pt>
                      <c:pt idx="5">
                        <c:v>Bouldin Island</c:v>
                      </c:pt>
                      <c:pt idx="6">
                        <c:v>Venice Island</c:v>
                      </c:pt>
                      <c:pt idx="7">
                        <c:v>Medford Island</c:v>
                      </c:pt>
                      <c:pt idx="8">
                        <c:v>Empire Tract</c:v>
                      </c:pt>
                      <c:pt idx="9">
                        <c:v>King Island</c:v>
                      </c:pt>
                      <c:pt idx="10">
                        <c:v>Terminous Tract</c:v>
                      </c:pt>
                      <c:pt idx="11">
                        <c:v>Rindge Tract</c:v>
                      </c:pt>
                      <c:pt idx="12">
                        <c:v>Wright-Elmwood Tract</c:v>
                      </c:pt>
                      <c:pt idx="13">
                        <c:v>McDonald Tract</c:v>
                      </c:pt>
                      <c:pt idx="14">
                        <c:v>Jones Tract</c:v>
                      </c:pt>
                      <c:pt idx="15">
                        <c:v>Rough and Ready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New Hope Tract</c:v>
                      </c:pt>
                      <c:pt idx="37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'Sub Scenario 2 (primary scenari'!$M$4:$M$42</c15:sqref>
                        </c15:fullRef>
                        <c15:formulaRef>
                          <c15:sqref>('Sub Scenario 2 (primary scenari'!$M$4:$M$40,'Sub Scenario 2 (primary scenari'!$M$42)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1964058.19</c:v>
                      </c:pt>
                      <c:pt idx="5">
                        <c:v>0</c:v>
                      </c:pt>
                      <c:pt idx="6">
                        <c:v>470813.98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1026082.3099999999</c:v>
                      </c:pt>
                      <c:pt idx="12">
                        <c:v>320317.84999999998</c:v>
                      </c:pt>
                      <c:pt idx="13">
                        <c:v>922150.2</c:v>
                      </c:pt>
                      <c:pt idx="14">
                        <c:v>1845365.5899999999</c:v>
                      </c:pt>
                      <c:pt idx="15">
                        <c:v>213190.16999999998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1094558.8099999998</c:v>
                      </c:pt>
                      <c:pt idx="19">
                        <c:v>275275.52999999997</c:v>
                      </c:pt>
                      <c:pt idx="20">
                        <c:v>146844.04999999999</c:v>
                      </c:pt>
                      <c:pt idx="21">
                        <c:v>362621.11</c:v>
                      </c:pt>
                      <c:pt idx="22">
                        <c:v>375859.89999999997</c:v>
                      </c:pt>
                      <c:pt idx="23">
                        <c:v>841956.61</c:v>
                      </c:pt>
                      <c:pt idx="24">
                        <c:v>641244.38</c:v>
                      </c:pt>
                      <c:pt idx="25">
                        <c:v>117779.57999999999</c:v>
                      </c:pt>
                      <c:pt idx="26">
                        <c:v>793870.8899999999</c:v>
                      </c:pt>
                      <c:pt idx="27">
                        <c:v>209994.59999999998</c:v>
                      </c:pt>
                      <c:pt idx="28">
                        <c:v>489987.39999999997</c:v>
                      </c:pt>
                      <c:pt idx="29">
                        <c:v>526356.02999999991</c:v>
                      </c:pt>
                      <c:pt idx="30">
                        <c:v>827196.11999999988</c:v>
                      </c:pt>
                      <c:pt idx="31">
                        <c:v>324882.94999999995</c:v>
                      </c:pt>
                      <c:pt idx="32">
                        <c:v>1548786.2599999998</c:v>
                      </c:pt>
                      <c:pt idx="33">
                        <c:v>541573.02999999991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15880765.539999997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00C-48F5-BAA9-1442E33F663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 Scenario 2 (primary scenari'!$O$2</c15:sqref>
                        </c15:formulaRef>
                      </c:ext>
                    </c:extLst>
                    <c:strCache>
                      <c:ptCount val="1"/>
                      <c:pt idx="0">
                        <c:v>Water supply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'Sub Scenario 2 (primary scenari'!$G$4:$G$42</c15:sqref>
                        </c15:fullRef>
                        <c15:formulaRef>
                          <c15:sqref>('Sub Scenario 2 (primary scenari'!$G$4:$G$40,'Sub Scenario 2 (primary scenari'!$G$42)</c15:sqref>
                        </c15:formulaRef>
                      </c:ext>
                    </c:extLst>
                    <c:strCache>
                      <c:ptCount val="38"/>
                      <c:pt idx="0">
                        <c:v>Grand Island</c:v>
                      </c:pt>
                      <c:pt idx="1">
                        <c:v>Ryer Island</c:v>
                      </c:pt>
                      <c:pt idx="2">
                        <c:v>Tyler Island</c:v>
                      </c:pt>
                      <c:pt idx="3">
                        <c:v>Staten Island</c:v>
                      </c:pt>
                      <c:pt idx="4">
                        <c:v>Brannan Island</c:v>
                      </c:pt>
                      <c:pt idx="5">
                        <c:v>Bouldin Island</c:v>
                      </c:pt>
                      <c:pt idx="6">
                        <c:v>Venice Island</c:v>
                      </c:pt>
                      <c:pt idx="7">
                        <c:v>Medford Island</c:v>
                      </c:pt>
                      <c:pt idx="8">
                        <c:v>Empire Tract</c:v>
                      </c:pt>
                      <c:pt idx="9">
                        <c:v>King Island</c:v>
                      </c:pt>
                      <c:pt idx="10">
                        <c:v>Terminous Tract</c:v>
                      </c:pt>
                      <c:pt idx="11">
                        <c:v>Rindge Tract</c:v>
                      </c:pt>
                      <c:pt idx="12">
                        <c:v>Wright-Elmwood Tract</c:v>
                      </c:pt>
                      <c:pt idx="13">
                        <c:v>McDonald Tract</c:v>
                      </c:pt>
                      <c:pt idx="14">
                        <c:v>Jones Tract</c:v>
                      </c:pt>
                      <c:pt idx="15">
                        <c:v>Rough and Ready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New Hope Tract</c:v>
                      </c:pt>
                      <c:pt idx="37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'Sub Scenario 2 (primary scenari'!$O$4:$O$42</c15:sqref>
                        </c15:fullRef>
                        <c15:formulaRef>
                          <c15:sqref>('Sub Scenario 2 (primary scenari'!$O$4:$O$40,'Sub Scenario 2 (primary scenari'!$O$42)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439741.49</c:v>
                      </c:pt>
                      <c:pt idx="5">
                        <c:v>0</c:v>
                      </c:pt>
                      <c:pt idx="6">
                        <c:v>105412.58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229734.01</c:v>
                      </c:pt>
                      <c:pt idx="12">
                        <c:v>71717.350000000006</c:v>
                      </c:pt>
                      <c:pt idx="13">
                        <c:v>206464.2</c:v>
                      </c:pt>
                      <c:pt idx="14">
                        <c:v>413166.89</c:v>
                      </c:pt>
                      <c:pt idx="15">
                        <c:v>47732.07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245065.51</c:v>
                      </c:pt>
                      <c:pt idx="19">
                        <c:v>61632.63</c:v>
                      </c:pt>
                      <c:pt idx="20">
                        <c:v>32877.550000000003</c:v>
                      </c:pt>
                      <c:pt idx="21">
                        <c:v>81188.81</c:v>
                      </c:pt>
                      <c:pt idx="22">
                        <c:v>84152.9</c:v>
                      </c:pt>
                      <c:pt idx="23">
                        <c:v>188509.31</c:v>
                      </c:pt>
                      <c:pt idx="24">
                        <c:v>143570.98000000001</c:v>
                      </c:pt>
                      <c:pt idx="25">
                        <c:v>26370.18</c:v>
                      </c:pt>
                      <c:pt idx="26">
                        <c:v>177743.19</c:v>
                      </c:pt>
                      <c:pt idx="27">
                        <c:v>47016.6</c:v>
                      </c:pt>
                      <c:pt idx="28">
                        <c:v>109705.4</c:v>
                      </c:pt>
                      <c:pt idx="29">
                        <c:v>117848.13</c:v>
                      </c:pt>
                      <c:pt idx="30">
                        <c:v>185204.52</c:v>
                      </c:pt>
                      <c:pt idx="31">
                        <c:v>72739.45</c:v>
                      </c:pt>
                      <c:pt idx="32">
                        <c:v>346764.46</c:v>
                      </c:pt>
                      <c:pt idx="33">
                        <c:v>121255.13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3555613.34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00C-48F5-BAA9-1442E33F663E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 Scenario 2 (primary scenari'!$P$2</c15:sqref>
                        </c15:formulaRef>
                      </c:ext>
                    </c:extLst>
                    <c:strCache>
                      <c:ptCount val="1"/>
                      <c:pt idx="0">
                        <c:v>Materials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'Sub Scenario 2 (primary scenari'!$G$4:$G$42</c15:sqref>
                        </c15:fullRef>
                        <c15:formulaRef>
                          <c15:sqref>('Sub Scenario 2 (primary scenari'!$G$4:$G$40,'Sub Scenario 2 (primary scenari'!$G$42)</c15:sqref>
                        </c15:formulaRef>
                      </c:ext>
                    </c:extLst>
                    <c:strCache>
                      <c:ptCount val="38"/>
                      <c:pt idx="0">
                        <c:v>Grand Island</c:v>
                      </c:pt>
                      <c:pt idx="1">
                        <c:v>Ryer Island</c:v>
                      </c:pt>
                      <c:pt idx="2">
                        <c:v>Tyler Island</c:v>
                      </c:pt>
                      <c:pt idx="3">
                        <c:v>Staten Island</c:v>
                      </c:pt>
                      <c:pt idx="4">
                        <c:v>Brannan Island</c:v>
                      </c:pt>
                      <c:pt idx="5">
                        <c:v>Bouldin Island</c:v>
                      </c:pt>
                      <c:pt idx="6">
                        <c:v>Venice Island</c:v>
                      </c:pt>
                      <c:pt idx="7">
                        <c:v>Medford Island</c:v>
                      </c:pt>
                      <c:pt idx="8">
                        <c:v>Empire Tract</c:v>
                      </c:pt>
                      <c:pt idx="9">
                        <c:v>King Island</c:v>
                      </c:pt>
                      <c:pt idx="10">
                        <c:v>Terminous Tract</c:v>
                      </c:pt>
                      <c:pt idx="11">
                        <c:v>Rindge Tract</c:v>
                      </c:pt>
                      <c:pt idx="12">
                        <c:v>Wright-Elmwood Tract</c:v>
                      </c:pt>
                      <c:pt idx="13">
                        <c:v>McDonald Tract</c:v>
                      </c:pt>
                      <c:pt idx="14">
                        <c:v>Jones Tract</c:v>
                      </c:pt>
                      <c:pt idx="15">
                        <c:v>Rough and Ready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New Hope Tract</c:v>
                      </c:pt>
                      <c:pt idx="37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'Sub Scenario 2 (primary scenari'!$P$4:$P$42</c15:sqref>
                        </c15:fullRef>
                        <c15:formulaRef>
                          <c15:sqref>('Sub Scenario 2 (primary scenari'!$P$4:$P$40,'Sub Scenario 2 (primary scenari'!$P$42)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439741.49</c:v>
                      </c:pt>
                      <c:pt idx="5">
                        <c:v>0</c:v>
                      </c:pt>
                      <c:pt idx="6">
                        <c:v>105412.58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229734.01</c:v>
                      </c:pt>
                      <c:pt idx="12">
                        <c:v>71717.350000000006</c:v>
                      </c:pt>
                      <c:pt idx="13">
                        <c:v>206464.2</c:v>
                      </c:pt>
                      <c:pt idx="14">
                        <c:v>413166.89</c:v>
                      </c:pt>
                      <c:pt idx="15">
                        <c:v>47732.07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245065.51</c:v>
                      </c:pt>
                      <c:pt idx="19">
                        <c:v>61632.63</c:v>
                      </c:pt>
                      <c:pt idx="20">
                        <c:v>32877.550000000003</c:v>
                      </c:pt>
                      <c:pt idx="21">
                        <c:v>81188.81</c:v>
                      </c:pt>
                      <c:pt idx="22">
                        <c:v>84152.9</c:v>
                      </c:pt>
                      <c:pt idx="23">
                        <c:v>188509.31</c:v>
                      </c:pt>
                      <c:pt idx="24">
                        <c:v>143570.98000000001</c:v>
                      </c:pt>
                      <c:pt idx="25">
                        <c:v>26370.18</c:v>
                      </c:pt>
                      <c:pt idx="26">
                        <c:v>177743.19</c:v>
                      </c:pt>
                      <c:pt idx="27">
                        <c:v>47016.6</c:v>
                      </c:pt>
                      <c:pt idx="28">
                        <c:v>109705.4</c:v>
                      </c:pt>
                      <c:pt idx="29">
                        <c:v>117848.13</c:v>
                      </c:pt>
                      <c:pt idx="30">
                        <c:v>185204.52</c:v>
                      </c:pt>
                      <c:pt idx="31">
                        <c:v>72739.45</c:v>
                      </c:pt>
                      <c:pt idx="32">
                        <c:v>346764.46</c:v>
                      </c:pt>
                      <c:pt idx="33">
                        <c:v>121255.13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3555613.34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00C-48F5-BAA9-1442E33F663E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 Scenario 2 (primary scenari'!$Q$2</c15:sqref>
                        </c15:formulaRef>
                      </c:ext>
                    </c:extLst>
                    <c:strCache>
                      <c:ptCount val="1"/>
                      <c:pt idx="0">
                        <c:v>Fuel wood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'Sub Scenario 2 (primary scenari'!$G$4:$G$42</c15:sqref>
                        </c15:fullRef>
                        <c15:formulaRef>
                          <c15:sqref>('Sub Scenario 2 (primary scenari'!$G$4:$G$40,'Sub Scenario 2 (primary scenari'!$G$42)</c15:sqref>
                        </c15:formulaRef>
                      </c:ext>
                    </c:extLst>
                    <c:strCache>
                      <c:ptCount val="38"/>
                      <c:pt idx="0">
                        <c:v>Grand Island</c:v>
                      </c:pt>
                      <c:pt idx="1">
                        <c:v>Ryer Island</c:v>
                      </c:pt>
                      <c:pt idx="2">
                        <c:v>Tyler Island</c:v>
                      </c:pt>
                      <c:pt idx="3">
                        <c:v>Staten Island</c:v>
                      </c:pt>
                      <c:pt idx="4">
                        <c:v>Brannan Island</c:v>
                      </c:pt>
                      <c:pt idx="5">
                        <c:v>Bouldin Island</c:v>
                      </c:pt>
                      <c:pt idx="6">
                        <c:v>Venice Island</c:v>
                      </c:pt>
                      <c:pt idx="7">
                        <c:v>Medford Island</c:v>
                      </c:pt>
                      <c:pt idx="8">
                        <c:v>Empire Tract</c:v>
                      </c:pt>
                      <c:pt idx="9">
                        <c:v>King Island</c:v>
                      </c:pt>
                      <c:pt idx="10">
                        <c:v>Terminous Tract</c:v>
                      </c:pt>
                      <c:pt idx="11">
                        <c:v>Rindge Tract</c:v>
                      </c:pt>
                      <c:pt idx="12">
                        <c:v>Wright-Elmwood Tract</c:v>
                      </c:pt>
                      <c:pt idx="13">
                        <c:v>McDonald Tract</c:v>
                      </c:pt>
                      <c:pt idx="14">
                        <c:v>Jones Tract</c:v>
                      </c:pt>
                      <c:pt idx="15">
                        <c:v>Rough and Ready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New Hope Tract</c:v>
                      </c:pt>
                      <c:pt idx="37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'Sub Scenario 2 (primary scenari'!$Q$4:$Q$42</c15:sqref>
                        </c15:fullRef>
                        <c15:formulaRef>
                          <c15:sqref>('Sub Scenario 2 (primary scenari'!$Q$4:$Q$40,'Sub Scenario 2 (primary scenari'!$Q$42)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136814.19999999998</c:v>
                      </c:pt>
                      <c:pt idx="5">
                        <c:v>0</c:v>
                      </c:pt>
                      <c:pt idx="6">
                        <c:v>32796.400000000001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71475.8</c:v>
                      </c:pt>
                      <c:pt idx="12">
                        <c:v>22313</c:v>
                      </c:pt>
                      <c:pt idx="13">
                        <c:v>64236</c:v>
                      </c:pt>
                      <c:pt idx="14">
                        <c:v>128546.2</c:v>
                      </c:pt>
                      <c:pt idx="15">
                        <c:v>14850.6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76245.8</c:v>
                      </c:pt>
                      <c:pt idx="19">
                        <c:v>19175.399999999998</c:v>
                      </c:pt>
                      <c:pt idx="20">
                        <c:v>10229</c:v>
                      </c:pt>
                      <c:pt idx="21">
                        <c:v>25259.8</c:v>
                      </c:pt>
                      <c:pt idx="22">
                        <c:v>26182</c:v>
                      </c:pt>
                      <c:pt idx="23">
                        <c:v>58649.799999999996</c:v>
                      </c:pt>
                      <c:pt idx="24">
                        <c:v>44668.4</c:v>
                      </c:pt>
                      <c:pt idx="25">
                        <c:v>8204.4</c:v>
                      </c:pt>
                      <c:pt idx="26">
                        <c:v>55300.2</c:v>
                      </c:pt>
                      <c:pt idx="27">
                        <c:v>14628</c:v>
                      </c:pt>
                      <c:pt idx="28">
                        <c:v>34132</c:v>
                      </c:pt>
                      <c:pt idx="29">
                        <c:v>36665.4</c:v>
                      </c:pt>
                      <c:pt idx="30">
                        <c:v>57621.599999999999</c:v>
                      </c:pt>
                      <c:pt idx="31">
                        <c:v>22631</c:v>
                      </c:pt>
                      <c:pt idx="32">
                        <c:v>107886.8</c:v>
                      </c:pt>
                      <c:pt idx="33">
                        <c:v>37725.4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1106237.2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00C-48F5-BAA9-1442E33F663E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 Scenario 2 (primary scenari'!$R$2</c15:sqref>
                        </c15:formulaRef>
                      </c:ext>
                    </c:extLst>
                    <c:strCache>
                      <c:ptCount val="1"/>
                      <c:pt idx="0">
                        <c:v>Sum of all ten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'Sub Scenario 2 (primary scenari'!$G$4:$G$42</c15:sqref>
                        </c15:fullRef>
                        <c15:formulaRef>
                          <c15:sqref>('Sub Scenario 2 (primary scenari'!$G$4:$G$40,'Sub Scenario 2 (primary scenari'!$G$42)</c15:sqref>
                        </c15:formulaRef>
                      </c:ext>
                    </c:extLst>
                    <c:strCache>
                      <c:ptCount val="38"/>
                      <c:pt idx="0">
                        <c:v>Grand Island</c:v>
                      </c:pt>
                      <c:pt idx="1">
                        <c:v>Ryer Island</c:v>
                      </c:pt>
                      <c:pt idx="2">
                        <c:v>Tyler Island</c:v>
                      </c:pt>
                      <c:pt idx="3">
                        <c:v>Staten Island</c:v>
                      </c:pt>
                      <c:pt idx="4">
                        <c:v>Brannan Island</c:v>
                      </c:pt>
                      <c:pt idx="5">
                        <c:v>Bouldin Island</c:v>
                      </c:pt>
                      <c:pt idx="6">
                        <c:v>Venice Island</c:v>
                      </c:pt>
                      <c:pt idx="7">
                        <c:v>Medford Island</c:v>
                      </c:pt>
                      <c:pt idx="8">
                        <c:v>Empire Tract</c:v>
                      </c:pt>
                      <c:pt idx="9">
                        <c:v>King Island</c:v>
                      </c:pt>
                      <c:pt idx="10">
                        <c:v>Terminous Tract</c:v>
                      </c:pt>
                      <c:pt idx="11">
                        <c:v>Rindge Tract</c:v>
                      </c:pt>
                      <c:pt idx="12">
                        <c:v>Wright-Elmwood Tract</c:v>
                      </c:pt>
                      <c:pt idx="13">
                        <c:v>McDonald Tract</c:v>
                      </c:pt>
                      <c:pt idx="14">
                        <c:v>Jones Tract</c:v>
                      </c:pt>
                      <c:pt idx="15">
                        <c:v>Rough and Ready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New Hope Tract</c:v>
                      </c:pt>
                      <c:pt idx="37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'Sub Scenario 2 (primary scenari'!$R$4:$R$42</c15:sqref>
                        </c15:fullRef>
                        <c15:formulaRef>
                          <c15:sqref>('Sub Scenario 2 (primary scenari'!$R$4:$R$40,'Sub Scenario 2 (primary scenari'!$R$42)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3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22084135.140000001</c:v>
                      </c:pt>
                      <c:pt idx="5">
                        <c:v>0</c:v>
                      </c:pt>
                      <c:pt idx="6">
                        <c:v>5293895.88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11537407.859999999</c:v>
                      </c:pt>
                      <c:pt idx="12">
                        <c:v>3601697.1</c:v>
                      </c:pt>
                      <c:pt idx="13">
                        <c:v>10368781.199999999</c:v>
                      </c:pt>
                      <c:pt idx="14">
                        <c:v>20749539.539999999</c:v>
                      </c:pt>
                      <c:pt idx="15">
                        <c:v>2397139.02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12307366.859999999</c:v>
                      </c:pt>
                      <c:pt idx="19">
                        <c:v>3095235.18</c:v>
                      </c:pt>
                      <c:pt idx="20">
                        <c:v>1651134.3</c:v>
                      </c:pt>
                      <c:pt idx="21">
                        <c:v>4077360.66</c:v>
                      </c:pt>
                      <c:pt idx="22">
                        <c:v>4226219.4000000004</c:v>
                      </c:pt>
                      <c:pt idx="23">
                        <c:v>9467073.6600000001</c:v>
                      </c:pt>
                      <c:pt idx="24">
                        <c:v>7210238.2800000003</c:v>
                      </c:pt>
                      <c:pt idx="25">
                        <c:v>1324329.48</c:v>
                      </c:pt>
                      <c:pt idx="26">
                        <c:v>8926391.3399999999</c:v>
                      </c:pt>
                      <c:pt idx="27">
                        <c:v>2361207.6</c:v>
                      </c:pt>
                      <c:pt idx="28">
                        <c:v>5509484.4000000004</c:v>
                      </c:pt>
                      <c:pt idx="29">
                        <c:v>5918418.1799999997</c:v>
                      </c:pt>
                      <c:pt idx="30">
                        <c:v>9301104.7200000007</c:v>
                      </c:pt>
                      <c:pt idx="31">
                        <c:v>3653027.7</c:v>
                      </c:pt>
                      <c:pt idx="32">
                        <c:v>17414761.559999999</c:v>
                      </c:pt>
                      <c:pt idx="33">
                        <c:v>6089520.1799999997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178565469.24000001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00C-48F5-BAA9-1442E33F663E}"/>
                  </c:ext>
                </c:extLst>
              </c15:ser>
            </c15:filteredBarSeries>
          </c:ext>
        </c:extLst>
      </c:barChart>
      <c:catAx>
        <c:axId val="15304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028399"/>
        <c:crosses val="autoZero"/>
        <c:auto val="1"/>
        <c:lblAlgn val="ctr"/>
        <c:lblOffset val="100"/>
        <c:noMultiLvlLbl val="0"/>
      </c:catAx>
      <c:valAx>
        <c:axId val="223028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4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'Sub sceneario 32575'!$I$1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'Sub sceneario 32575'!$G$2:$G$43</c15:sqref>
                  </c15:fullRef>
                </c:ext>
              </c:extLst>
              <c:f>('Sub sceneario 32575'!$G$2:$G$37,'Sub sceneario 32575'!$G$39:$G$43)</c:f>
              <c:strCache>
                <c:ptCount val="41"/>
                <c:pt idx="0">
                  <c:v>Wetland function</c:v>
                </c:pt>
                <c:pt idx="2">
                  <c:v>Grand Island</c:v>
                </c:pt>
                <c:pt idx="3">
                  <c:v>Ryer Island</c:v>
                </c:pt>
                <c:pt idx="4">
                  <c:v>Tyler Island</c:v>
                </c:pt>
                <c:pt idx="5">
                  <c:v>Staten Island</c:v>
                </c:pt>
                <c:pt idx="6">
                  <c:v>Brannan Island</c:v>
                </c:pt>
                <c:pt idx="7">
                  <c:v>Bouldin Island</c:v>
                </c:pt>
                <c:pt idx="8">
                  <c:v>Venice Island</c:v>
                </c:pt>
                <c:pt idx="9">
                  <c:v>Medford Island</c:v>
                </c:pt>
                <c:pt idx="10">
                  <c:v>Empire Tract</c:v>
                </c:pt>
                <c:pt idx="11">
                  <c:v>King Island</c:v>
                </c:pt>
                <c:pt idx="12">
                  <c:v>Terminous Tract</c:v>
                </c:pt>
                <c:pt idx="13">
                  <c:v>Rindge Tract</c:v>
                </c:pt>
                <c:pt idx="14">
                  <c:v>McDonald Tract</c:v>
                </c:pt>
                <c:pt idx="15">
                  <c:v>Jones Tract</c:v>
                </c:pt>
                <c:pt idx="16">
                  <c:v>Roberts Island</c:v>
                </c:pt>
                <c:pt idx="17">
                  <c:v>Union Island</c:v>
                </c:pt>
                <c:pt idx="18">
                  <c:v>Victoria Island</c:v>
                </c:pt>
                <c:pt idx="19">
                  <c:v>Woodward Island</c:v>
                </c:pt>
                <c:pt idx="20">
                  <c:v>Coney Island</c:v>
                </c:pt>
                <c:pt idx="21">
                  <c:v>Orowood Tract</c:v>
                </c:pt>
                <c:pt idx="22">
                  <c:v>Palm Tract</c:v>
                </c:pt>
                <c:pt idx="23">
                  <c:v>Bacon Island</c:v>
                </c:pt>
                <c:pt idx="24">
                  <c:v>Holland Tract</c:v>
                </c:pt>
                <c:pt idx="25">
                  <c:v>Quinby Island</c:v>
                </c:pt>
                <c:pt idx="26">
                  <c:v>Mandeville Island</c:v>
                </c:pt>
                <c:pt idx="27">
                  <c:v>Franks Tract</c:v>
                </c:pt>
                <c:pt idx="28">
                  <c:v>Bethel Island</c:v>
                </c:pt>
                <c:pt idx="29">
                  <c:v>Jersey Island</c:v>
                </c:pt>
                <c:pt idx="30">
                  <c:v>Webb Tract</c:v>
                </c:pt>
                <c:pt idx="31">
                  <c:v>Bradford Island</c:v>
                </c:pt>
                <c:pt idx="32">
                  <c:v>Sherman Island</c:v>
                </c:pt>
                <c:pt idx="33">
                  <c:v>Twitchell Island</c:v>
                </c:pt>
                <c:pt idx="34">
                  <c:v>Dead Horse Island</c:v>
                </c:pt>
                <c:pt idx="35">
                  <c:v>Sutter Island</c:v>
                </c:pt>
                <c:pt idx="36">
                  <c:v>Canal Ranch Tract</c:v>
                </c:pt>
                <c:pt idx="40">
                  <c:v>Totals per Benefit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'Sub sceneario 32575'!$I$2:$I$43</c15:sqref>
                  </c15:fullRef>
                </c:ext>
              </c:extLst>
              <c:f>('Sub sceneario 32575'!$I$2:$I$37,'Sub sceneario 32575'!$I$39:$I$43)</c:f>
              <c:numCache>
                <c:formatCode>_([$$-409]* #,##0.00_);_([$$-409]* \(#,##0.00\);_([$$-409]* "-"??_);_(@_)</c:formatCode>
                <c:ptCount val="41"/>
                <c:pt idx="0" formatCode="General">
                  <c:v>0</c:v>
                </c:pt>
                <c:pt idx="1">
                  <c:v>14723969.060000001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1909280.45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273239.75</c:v>
                </c:pt>
                <c:pt idx="21">
                  <c:v>674746.45</c:v>
                </c:pt>
                <c:pt idx="22">
                  <c:v>699380.5</c:v>
                </c:pt>
                <c:pt idx="23">
                  <c:v>1566668.95</c:v>
                </c:pt>
                <c:pt idx="24">
                  <c:v>1193194.0999999999</c:v>
                </c:pt>
                <c:pt idx="25">
                  <c:v>219158.09999999998</c:v>
                </c:pt>
                <c:pt idx="26">
                  <c:v>1477193.5499999998</c:v>
                </c:pt>
                <c:pt idx="27">
                  <c:v>390746.99999999994</c:v>
                </c:pt>
                <c:pt idx="28">
                  <c:v>911742.99999999988</c:v>
                </c:pt>
                <c:pt idx="29">
                  <c:v>979415.85</c:v>
                </c:pt>
                <c:pt idx="30">
                  <c:v>1539203.4</c:v>
                </c:pt>
                <c:pt idx="31">
                  <c:v>604525.25</c:v>
                </c:pt>
                <c:pt idx="32">
                  <c:v>2881900.6999999997</c:v>
                </c:pt>
                <c:pt idx="33">
                  <c:v>1007730.85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4070045.9400000004</c:v>
                </c:pt>
                <c:pt idx="38">
                  <c:v>2234204.4</c:v>
                </c:pt>
                <c:pt idx="39">
                  <c:v>16936744.77</c:v>
                </c:pt>
                <c:pt idx="40">
                  <c:v>16328127.899999999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D-4575-80EC-7D861D616212}"/>
            </c:ext>
          </c:extLst>
        </c:ser>
        <c:ser>
          <c:idx val="2"/>
          <c:order val="2"/>
          <c:tx>
            <c:strRef>
              <c:f>'Sub sceneario 32575'!$J$1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'Sub sceneario 32575'!$G$2:$G$43</c15:sqref>
                  </c15:fullRef>
                </c:ext>
              </c:extLst>
              <c:f>('Sub sceneario 32575'!$G$2:$G$37,'Sub sceneario 32575'!$G$39:$G$43)</c:f>
              <c:strCache>
                <c:ptCount val="41"/>
                <c:pt idx="0">
                  <c:v>Wetland function</c:v>
                </c:pt>
                <c:pt idx="2">
                  <c:v>Grand Island</c:v>
                </c:pt>
                <c:pt idx="3">
                  <c:v>Ryer Island</c:v>
                </c:pt>
                <c:pt idx="4">
                  <c:v>Tyler Island</c:v>
                </c:pt>
                <c:pt idx="5">
                  <c:v>Staten Island</c:v>
                </c:pt>
                <c:pt idx="6">
                  <c:v>Brannan Island</c:v>
                </c:pt>
                <c:pt idx="7">
                  <c:v>Bouldin Island</c:v>
                </c:pt>
                <c:pt idx="8">
                  <c:v>Venice Island</c:v>
                </c:pt>
                <c:pt idx="9">
                  <c:v>Medford Island</c:v>
                </c:pt>
                <c:pt idx="10">
                  <c:v>Empire Tract</c:v>
                </c:pt>
                <c:pt idx="11">
                  <c:v>King Island</c:v>
                </c:pt>
                <c:pt idx="12">
                  <c:v>Terminous Tract</c:v>
                </c:pt>
                <c:pt idx="13">
                  <c:v>Rindge Tract</c:v>
                </c:pt>
                <c:pt idx="14">
                  <c:v>McDonald Tract</c:v>
                </c:pt>
                <c:pt idx="15">
                  <c:v>Jones Tract</c:v>
                </c:pt>
                <c:pt idx="16">
                  <c:v>Roberts Island</c:v>
                </c:pt>
                <c:pt idx="17">
                  <c:v>Union Island</c:v>
                </c:pt>
                <c:pt idx="18">
                  <c:v>Victoria Island</c:v>
                </c:pt>
                <c:pt idx="19">
                  <c:v>Woodward Island</c:v>
                </c:pt>
                <c:pt idx="20">
                  <c:v>Coney Island</c:v>
                </c:pt>
                <c:pt idx="21">
                  <c:v>Orowood Tract</c:v>
                </c:pt>
                <c:pt idx="22">
                  <c:v>Palm Tract</c:v>
                </c:pt>
                <c:pt idx="23">
                  <c:v>Bacon Island</c:v>
                </c:pt>
                <c:pt idx="24">
                  <c:v>Holland Tract</c:v>
                </c:pt>
                <c:pt idx="25">
                  <c:v>Quinby Island</c:v>
                </c:pt>
                <c:pt idx="26">
                  <c:v>Mandeville Island</c:v>
                </c:pt>
                <c:pt idx="27">
                  <c:v>Franks Tract</c:v>
                </c:pt>
                <c:pt idx="28">
                  <c:v>Bethel Island</c:v>
                </c:pt>
                <c:pt idx="29">
                  <c:v>Jersey Island</c:v>
                </c:pt>
                <c:pt idx="30">
                  <c:v>Webb Tract</c:v>
                </c:pt>
                <c:pt idx="31">
                  <c:v>Bradford Island</c:v>
                </c:pt>
                <c:pt idx="32">
                  <c:v>Sherman Island</c:v>
                </c:pt>
                <c:pt idx="33">
                  <c:v>Twitchell Island</c:v>
                </c:pt>
                <c:pt idx="34">
                  <c:v>Dead Horse Island</c:v>
                </c:pt>
                <c:pt idx="35">
                  <c:v>Sutter Island</c:v>
                </c:pt>
                <c:pt idx="36">
                  <c:v>Canal Ranch Tract</c:v>
                </c:pt>
                <c:pt idx="40">
                  <c:v>Totals per Benefit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'Sub sceneario 32575'!$J$2:$J$43</c15:sqref>
                  </c15:fullRef>
                </c:ext>
              </c:extLst>
              <c:f>('Sub sceneario 32575'!$J$2:$J$37,'Sub sceneario 32575'!$J$39:$J$43)</c:f>
              <c:numCache>
                <c:formatCode>_([$$-409]* #,##0.00_);_([$$-409]* \(#,##0.00\);_([$$-409]* "-"??_);_(@_)</c:formatCode>
                <c:ptCount val="41"/>
                <c:pt idx="0" formatCode="General">
                  <c:v>0</c:v>
                </c:pt>
                <c:pt idx="1">
                  <c:v>14723969.060000001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2511700.0699999998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359452.85000000003</c:v>
                </c:pt>
                <c:pt idx="21">
                  <c:v>887643.67</c:v>
                </c:pt>
                <c:pt idx="22">
                  <c:v>920050.3</c:v>
                </c:pt>
                <c:pt idx="23">
                  <c:v>2060987.1700000002</c:v>
                </c:pt>
                <c:pt idx="24">
                  <c:v>1569672.86</c:v>
                </c:pt>
                <c:pt idx="25">
                  <c:v>288307.26</c:v>
                </c:pt>
                <c:pt idx="26">
                  <c:v>1943280.33</c:v>
                </c:pt>
                <c:pt idx="27">
                  <c:v>514036.2</c:v>
                </c:pt>
                <c:pt idx="28">
                  <c:v>1199417.8</c:v>
                </c:pt>
                <c:pt idx="29">
                  <c:v>1288442.9099999999</c:v>
                </c:pt>
                <c:pt idx="30">
                  <c:v>2024855.6400000001</c:v>
                </c:pt>
                <c:pt idx="31">
                  <c:v>795266.15</c:v>
                </c:pt>
                <c:pt idx="32">
                  <c:v>3791203.22</c:v>
                </c:pt>
                <c:pt idx="33">
                  <c:v>1325691.9099999999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4070045.9400000004</c:v>
                </c:pt>
                <c:pt idx="38">
                  <c:v>2234204.4</c:v>
                </c:pt>
                <c:pt idx="39">
                  <c:v>16936744.77</c:v>
                </c:pt>
                <c:pt idx="40">
                  <c:v>21480008.34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DD-4575-80EC-7D861D616212}"/>
            </c:ext>
          </c:extLst>
        </c:ser>
        <c:ser>
          <c:idx val="4"/>
          <c:order val="4"/>
          <c:tx>
            <c:strRef>
              <c:f>'Sub sceneario 32575'!$L$1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'Sub sceneario 32575'!$G$2:$G$43</c15:sqref>
                  </c15:fullRef>
                </c:ext>
              </c:extLst>
              <c:f>('Sub sceneario 32575'!$G$2:$G$37,'Sub sceneario 32575'!$G$39:$G$43)</c:f>
              <c:strCache>
                <c:ptCount val="41"/>
                <c:pt idx="0">
                  <c:v>Wetland function</c:v>
                </c:pt>
                <c:pt idx="2">
                  <c:v>Grand Island</c:v>
                </c:pt>
                <c:pt idx="3">
                  <c:v>Ryer Island</c:v>
                </c:pt>
                <c:pt idx="4">
                  <c:v>Tyler Island</c:v>
                </c:pt>
                <c:pt idx="5">
                  <c:v>Staten Island</c:v>
                </c:pt>
                <c:pt idx="6">
                  <c:v>Brannan Island</c:v>
                </c:pt>
                <c:pt idx="7">
                  <c:v>Bouldin Island</c:v>
                </c:pt>
                <c:pt idx="8">
                  <c:v>Venice Island</c:v>
                </c:pt>
                <c:pt idx="9">
                  <c:v>Medford Island</c:v>
                </c:pt>
                <c:pt idx="10">
                  <c:v>Empire Tract</c:v>
                </c:pt>
                <c:pt idx="11">
                  <c:v>King Island</c:v>
                </c:pt>
                <c:pt idx="12">
                  <c:v>Terminous Tract</c:v>
                </c:pt>
                <c:pt idx="13">
                  <c:v>Rindge Tract</c:v>
                </c:pt>
                <c:pt idx="14">
                  <c:v>McDonald Tract</c:v>
                </c:pt>
                <c:pt idx="15">
                  <c:v>Jones Tract</c:v>
                </c:pt>
                <c:pt idx="16">
                  <c:v>Roberts Island</c:v>
                </c:pt>
                <c:pt idx="17">
                  <c:v>Union Island</c:v>
                </c:pt>
                <c:pt idx="18">
                  <c:v>Victoria Island</c:v>
                </c:pt>
                <c:pt idx="19">
                  <c:v>Woodward Island</c:v>
                </c:pt>
                <c:pt idx="20">
                  <c:v>Coney Island</c:v>
                </c:pt>
                <c:pt idx="21">
                  <c:v>Orowood Tract</c:v>
                </c:pt>
                <c:pt idx="22">
                  <c:v>Palm Tract</c:v>
                </c:pt>
                <c:pt idx="23">
                  <c:v>Bacon Island</c:v>
                </c:pt>
                <c:pt idx="24">
                  <c:v>Holland Tract</c:v>
                </c:pt>
                <c:pt idx="25">
                  <c:v>Quinby Island</c:v>
                </c:pt>
                <c:pt idx="26">
                  <c:v>Mandeville Island</c:v>
                </c:pt>
                <c:pt idx="27">
                  <c:v>Franks Tract</c:v>
                </c:pt>
                <c:pt idx="28">
                  <c:v>Bethel Island</c:v>
                </c:pt>
                <c:pt idx="29">
                  <c:v>Jersey Island</c:v>
                </c:pt>
                <c:pt idx="30">
                  <c:v>Webb Tract</c:v>
                </c:pt>
                <c:pt idx="31">
                  <c:v>Bradford Island</c:v>
                </c:pt>
                <c:pt idx="32">
                  <c:v>Sherman Island</c:v>
                </c:pt>
                <c:pt idx="33">
                  <c:v>Twitchell Island</c:v>
                </c:pt>
                <c:pt idx="34">
                  <c:v>Dead Horse Island</c:v>
                </c:pt>
                <c:pt idx="35">
                  <c:v>Sutter Island</c:v>
                </c:pt>
                <c:pt idx="36">
                  <c:v>Canal Ranch Tract</c:v>
                </c:pt>
                <c:pt idx="40">
                  <c:v>Totals per Benefit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'Sub sceneario 32575'!$L$2:$L$43</c15:sqref>
                  </c15:fullRef>
                </c:ext>
              </c:extLst>
              <c:f>('Sub sceneario 32575'!$L$2:$L$37,'Sub sceneario 32575'!$L$39:$L$43)</c:f>
              <c:numCache>
                <c:formatCode>_([$$-409]* #,##0.00_);_([$$-409]* \(#,##0.00\);_([$$-409]* "-"??_);_(@_)</c:formatCode>
                <c:ptCount val="41"/>
                <c:pt idx="0" formatCode="General">
                  <c:v>0</c:v>
                </c:pt>
                <c:pt idx="1">
                  <c:v>14723969.060000001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1092500.8600000001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156349.30000000002</c:v>
                </c:pt>
                <c:pt idx="21">
                  <c:v>386093.66000000003</c:v>
                </c:pt>
                <c:pt idx="22">
                  <c:v>400189.4</c:v>
                </c:pt>
                <c:pt idx="23">
                  <c:v>896456.66</c:v>
                </c:pt>
                <c:pt idx="24">
                  <c:v>682752.28</c:v>
                </c:pt>
                <c:pt idx="25">
                  <c:v>125403.48000000001</c:v>
                </c:pt>
                <c:pt idx="26">
                  <c:v>845258.34000000008</c:v>
                </c:pt>
                <c:pt idx="27">
                  <c:v>223587.6</c:v>
                </c:pt>
                <c:pt idx="28">
                  <c:v>521704.4</c:v>
                </c:pt>
                <c:pt idx="29">
                  <c:v>560427.18000000005</c:v>
                </c:pt>
                <c:pt idx="30">
                  <c:v>880740.72000000009</c:v>
                </c:pt>
                <c:pt idx="31">
                  <c:v>345912.7</c:v>
                </c:pt>
                <c:pt idx="32">
                  <c:v>1649039.56</c:v>
                </c:pt>
                <c:pt idx="33">
                  <c:v>576629.18000000005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4070045.9400000004</c:v>
                </c:pt>
                <c:pt idx="38">
                  <c:v>2234204.4</c:v>
                </c:pt>
                <c:pt idx="39">
                  <c:v>16936744.77</c:v>
                </c:pt>
                <c:pt idx="40">
                  <c:v>9343045.3200000003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DD-4575-80EC-7D861D616212}"/>
            </c:ext>
          </c:extLst>
        </c:ser>
        <c:ser>
          <c:idx val="6"/>
          <c:order val="6"/>
          <c:tx>
            <c:strRef>
              <c:f>'Sub sceneario 32575'!$N$1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'Sub sceneario 32575'!$G$2:$G$43</c15:sqref>
                  </c15:fullRef>
                </c:ext>
              </c:extLst>
              <c:f>('Sub sceneario 32575'!$G$2:$G$37,'Sub sceneario 32575'!$G$39:$G$43)</c:f>
              <c:strCache>
                <c:ptCount val="41"/>
                <c:pt idx="0">
                  <c:v>Wetland function</c:v>
                </c:pt>
                <c:pt idx="2">
                  <c:v>Grand Island</c:v>
                </c:pt>
                <c:pt idx="3">
                  <c:v>Ryer Island</c:v>
                </c:pt>
                <c:pt idx="4">
                  <c:v>Tyler Island</c:v>
                </c:pt>
                <c:pt idx="5">
                  <c:v>Staten Island</c:v>
                </c:pt>
                <c:pt idx="6">
                  <c:v>Brannan Island</c:v>
                </c:pt>
                <c:pt idx="7">
                  <c:v>Bouldin Island</c:v>
                </c:pt>
                <c:pt idx="8">
                  <c:v>Venice Island</c:v>
                </c:pt>
                <c:pt idx="9">
                  <c:v>Medford Island</c:v>
                </c:pt>
                <c:pt idx="10">
                  <c:v>Empire Tract</c:v>
                </c:pt>
                <c:pt idx="11">
                  <c:v>King Island</c:v>
                </c:pt>
                <c:pt idx="12">
                  <c:v>Terminous Tract</c:v>
                </c:pt>
                <c:pt idx="13">
                  <c:v>Rindge Tract</c:v>
                </c:pt>
                <c:pt idx="14">
                  <c:v>McDonald Tract</c:v>
                </c:pt>
                <c:pt idx="15">
                  <c:v>Jones Tract</c:v>
                </c:pt>
                <c:pt idx="16">
                  <c:v>Roberts Island</c:v>
                </c:pt>
                <c:pt idx="17">
                  <c:v>Union Island</c:v>
                </c:pt>
                <c:pt idx="18">
                  <c:v>Victoria Island</c:v>
                </c:pt>
                <c:pt idx="19">
                  <c:v>Woodward Island</c:v>
                </c:pt>
                <c:pt idx="20">
                  <c:v>Coney Island</c:v>
                </c:pt>
                <c:pt idx="21">
                  <c:v>Orowood Tract</c:v>
                </c:pt>
                <c:pt idx="22">
                  <c:v>Palm Tract</c:v>
                </c:pt>
                <c:pt idx="23">
                  <c:v>Bacon Island</c:v>
                </c:pt>
                <c:pt idx="24">
                  <c:v>Holland Tract</c:v>
                </c:pt>
                <c:pt idx="25">
                  <c:v>Quinby Island</c:v>
                </c:pt>
                <c:pt idx="26">
                  <c:v>Mandeville Island</c:v>
                </c:pt>
                <c:pt idx="27">
                  <c:v>Franks Tract</c:v>
                </c:pt>
                <c:pt idx="28">
                  <c:v>Bethel Island</c:v>
                </c:pt>
                <c:pt idx="29">
                  <c:v>Jersey Island</c:v>
                </c:pt>
                <c:pt idx="30">
                  <c:v>Webb Tract</c:v>
                </c:pt>
                <c:pt idx="31">
                  <c:v>Bradford Island</c:v>
                </c:pt>
                <c:pt idx="32">
                  <c:v>Sherman Island</c:v>
                </c:pt>
                <c:pt idx="33">
                  <c:v>Twitchell Island</c:v>
                </c:pt>
                <c:pt idx="34">
                  <c:v>Dead Horse Island</c:v>
                </c:pt>
                <c:pt idx="35">
                  <c:v>Sutter Island</c:v>
                </c:pt>
                <c:pt idx="36">
                  <c:v>Canal Ranch Tract</c:v>
                </c:pt>
                <c:pt idx="40">
                  <c:v>Totals per Benefit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'Sub sceneario 32575'!$N$2:$N$43</c15:sqref>
                  </c15:fullRef>
                </c:ext>
              </c:extLst>
              <c:f>('Sub sceneario 32575'!$N$2:$N$37,'Sub sceneario 32575'!$N$39:$N$43)</c:f>
              <c:numCache>
                <c:formatCode>_([$$-409]* #,##0.00_);_([$$-409]* \(#,##0.00\);_([$$-409]* "-"??_);_(@_)</c:formatCode>
                <c:ptCount val="41"/>
                <c:pt idx="0" formatCode="General">
                  <c:v>0</c:v>
                </c:pt>
                <c:pt idx="1">
                  <c:v>14723969.060000001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627908.16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89860.800000000003</c:v>
                </c:pt>
                <c:pt idx="21">
                  <c:v>221904.96000000002</c:v>
                </c:pt>
                <c:pt idx="22">
                  <c:v>230006.40000000002</c:v>
                </c:pt>
                <c:pt idx="23">
                  <c:v>515232.96</c:v>
                </c:pt>
                <c:pt idx="24">
                  <c:v>392407.68</c:v>
                </c:pt>
                <c:pt idx="25">
                  <c:v>72074.880000000005</c:v>
                </c:pt>
                <c:pt idx="26">
                  <c:v>485807.04000000004</c:v>
                </c:pt>
                <c:pt idx="27">
                  <c:v>128505.60000000001</c:v>
                </c:pt>
                <c:pt idx="28">
                  <c:v>299846.40000000002</c:v>
                </c:pt>
                <c:pt idx="29">
                  <c:v>322102.08</c:v>
                </c:pt>
                <c:pt idx="30">
                  <c:v>506200.32000000001</c:v>
                </c:pt>
                <c:pt idx="31">
                  <c:v>198811.2</c:v>
                </c:pt>
                <c:pt idx="32">
                  <c:v>947775.3600000001</c:v>
                </c:pt>
                <c:pt idx="33">
                  <c:v>331414.08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4070045.9400000004</c:v>
                </c:pt>
                <c:pt idx="38">
                  <c:v>2234204.4</c:v>
                </c:pt>
                <c:pt idx="39">
                  <c:v>16936744.77</c:v>
                </c:pt>
                <c:pt idx="40">
                  <c:v>5369857.9200000009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DD-4575-80EC-7D861D616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0387023"/>
        <c:axId val="2230096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'Sub sceneario 32575'!$H$1</c15:sqref>
                        </c15:formulaRef>
                      </c:ext>
                    </c:extLst>
                    <c:strCache>
                      <c:ptCount val="1"/>
                      <c:pt idx="0">
                        <c:v>Benefits US$/acre/yr (2025)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'Sub sceneario 32575'!$G$2:$G$43</c15:sqref>
                        </c15:fullRef>
                        <c15:formulaRef>
                          <c15:sqref>('Sub sceneario 32575'!$G$2:$G$37,'Sub sceneario 32575'!$G$39:$G$43)</c15:sqref>
                        </c15:formulaRef>
                      </c:ext>
                    </c:extLst>
                    <c:strCache>
                      <c:ptCount val="41"/>
                      <c:pt idx="0">
                        <c:v>Wetland function</c:v>
                      </c:pt>
                      <c:pt idx="2">
                        <c:v>Grand Island</c:v>
                      </c:pt>
                      <c:pt idx="3">
                        <c:v>Ryer Island</c:v>
                      </c:pt>
                      <c:pt idx="4">
                        <c:v>Tyler Island</c:v>
                      </c:pt>
                      <c:pt idx="5">
                        <c:v>Staten Island</c:v>
                      </c:pt>
                      <c:pt idx="6">
                        <c:v>Brannan Island</c:v>
                      </c:pt>
                      <c:pt idx="7">
                        <c:v>Bouldin Island</c:v>
                      </c:pt>
                      <c:pt idx="8">
                        <c:v>Venice Island</c:v>
                      </c:pt>
                      <c:pt idx="9">
                        <c:v>Medford Island</c:v>
                      </c:pt>
                      <c:pt idx="10">
                        <c:v>Empire Tract</c:v>
                      </c:pt>
                      <c:pt idx="11">
                        <c:v>King Island</c:v>
                      </c:pt>
                      <c:pt idx="12">
                        <c:v>Terminous Tract</c:v>
                      </c:pt>
                      <c:pt idx="13">
                        <c:v>Rindge Tract</c:v>
                      </c:pt>
                      <c:pt idx="14">
                        <c:v>McDonald Tract</c:v>
                      </c:pt>
                      <c:pt idx="15">
                        <c:v>Jones Tract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Canal Ranch Tract</c:v>
                      </c:pt>
                      <c:pt idx="40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'Sub sceneario 32575'!$H$2:$H$43</c15:sqref>
                        </c15:fullRef>
                        <c15:formulaRef>
                          <c15:sqref>('Sub sceneario 32575'!$H$2:$H$37,'Sub sceneario 32575'!$H$39:$H$43)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1"/>
                      <c:pt idx="0" formatCode="General">
                        <c:v>0</c:v>
                      </c:pt>
                      <c:pt idx="1">
                        <c:v>14723969.060000001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2368748.4700000002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338994.85000000003</c:v>
                      </c:pt>
                      <c:pt idx="21">
                        <c:v>837124.07000000007</c:v>
                      </c:pt>
                      <c:pt idx="22">
                        <c:v>867686.3</c:v>
                      </c:pt>
                      <c:pt idx="23">
                        <c:v>1943687.57</c:v>
                      </c:pt>
                      <c:pt idx="24">
                        <c:v>1480336.06</c:v>
                      </c:pt>
                      <c:pt idx="25">
                        <c:v>271898.46000000002</c:v>
                      </c:pt>
                      <c:pt idx="26">
                        <c:v>1832679.9300000002</c:v>
                      </c:pt>
                      <c:pt idx="27">
                        <c:v>484780.2</c:v>
                      </c:pt>
                      <c:pt idx="28">
                        <c:v>1131153.8</c:v>
                      </c:pt>
                      <c:pt idx="29">
                        <c:v>1215112.1100000001</c:v>
                      </c:pt>
                      <c:pt idx="30">
                        <c:v>1909612.4400000002</c:v>
                      </c:pt>
                      <c:pt idx="31">
                        <c:v>750004.15</c:v>
                      </c:pt>
                      <c:pt idx="32">
                        <c:v>3575429.62</c:v>
                      </c:pt>
                      <c:pt idx="33">
                        <c:v>1250241.1100000001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4070045.9400000004</c:v>
                      </c:pt>
                      <c:pt idx="38">
                        <c:v>2234204.4</c:v>
                      </c:pt>
                      <c:pt idx="39">
                        <c:v>16936744.77</c:v>
                      </c:pt>
                      <c:pt idx="40">
                        <c:v>20257489.140000001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1DD-4575-80EC-7D861D61621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 sceneario 32575'!$K$1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'Sub sceneario 32575'!$G$2:$G$43</c15:sqref>
                        </c15:fullRef>
                        <c15:formulaRef>
                          <c15:sqref>('Sub sceneario 32575'!$G$2:$G$37,'Sub sceneario 32575'!$G$39:$G$43)</c15:sqref>
                        </c15:formulaRef>
                      </c:ext>
                    </c:extLst>
                    <c:strCache>
                      <c:ptCount val="41"/>
                      <c:pt idx="0">
                        <c:v>Wetland function</c:v>
                      </c:pt>
                      <c:pt idx="2">
                        <c:v>Grand Island</c:v>
                      </c:pt>
                      <c:pt idx="3">
                        <c:v>Ryer Island</c:v>
                      </c:pt>
                      <c:pt idx="4">
                        <c:v>Tyler Island</c:v>
                      </c:pt>
                      <c:pt idx="5">
                        <c:v>Staten Island</c:v>
                      </c:pt>
                      <c:pt idx="6">
                        <c:v>Brannan Island</c:v>
                      </c:pt>
                      <c:pt idx="7">
                        <c:v>Bouldin Island</c:v>
                      </c:pt>
                      <c:pt idx="8">
                        <c:v>Venice Island</c:v>
                      </c:pt>
                      <c:pt idx="9">
                        <c:v>Medford Island</c:v>
                      </c:pt>
                      <c:pt idx="10">
                        <c:v>Empire Tract</c:v>
                      </c:pt>
                      <c:pt idx="11">
                        <c:v>King Island</c:v>
                      </c:pt>
                      <c:pt idx="12">
                        <c:v>Terminous Tract</c:v>
                      </c:pt>
                      <c:pt idx="13">
                        <c:v>Rindge Tract</c:v>
                      </c:pt>
                      <c:pt idx="14">
                        <c:v>McDonald Tract</c:v>
                      </c:pt>
                      <c:pt idx="15">
                        <c:v>Jones Tract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Canal Ranch Tract</c:v>
                      </c:pt>
                      <c:pt idx="40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'Sub sceneario 32575'!$K$2:$K$43</c15:sqref>
                        </c15:fullRef>
                        <c15:formulaRef>
                          <c15:sqref>('Sub sceneario 32575'!$K$2:$K$37,'Sub sceneario 32575'!$K$39:$K$43)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1"/>
                      <c:pt idx="0" formatCode="General">
                        <c:v>0</c:v>
                      </c:pt>
                      <c:pt idx="1">
                        <c:v>14723969.060000001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1470243.72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210408.6</c:v>
                      </c:pt>
                      <c:pt idx="21">
                        <c:v>519589.32</c:v>
                      </c:pt>
                      <c:pt idx="22">
                        <c:v>538558.79999999993</c:v>
                      </c:pt>
                      <c:pt idx="23">
                        <c:v>1206415.32</c:v>
                      </c:pt>
                      <c:pt idx="24">
                        <c:v>918820.55999999994</c:v>
                      </c:pt>
                      <c:pt idx="25">
                        <c:v>168762.96</c:v>
                      </c:pt>
                      <c:pt idx="26">
                        <c:v>1137514.68</c:v>
                      </c:pt>
                      <c:pt idx="27">
                        <c:v>300895.2</c:v>
                      </c:pt>
                      <c:pt idx="28">
                        <c:v>702088.79999999993</c:v>
                      </c:pt>
                      <c:pt idx="29">
                        <c:v>754200.36</c:v>
                      </c:pt>
                      <c:pt idx="30">
                        <c:v>1185265.44</c:v>
                      </c:pt>
                      <c:pt idx="31">
                        <c:v>465515.39999999997</c:v>
                      </c:pt>
                      <c:pt idx="32">
                        <c:v>2219211.12</c:v>
                      </c:pt>
                      <c:pt idx="33">
                        <c:v>776004.36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4070045.9400000004</c:v>
                      </c:pt>
                      <c:pt idx="38">
                        <c:v>2234204.4</c:v>
                      </c:pt>
                      <c:pt idx="39">
                        <c:v>16936744.77</c:v>
                      </c:pt>
                      <c:pt idx="40">
                        <c:v>12573494.640000001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1DD-4575-80EC-7D861D61621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 sceneario 32575'!$M$1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'Sub sceneario 32575'!$G$2:$G$43</c15:sqref>
                        </c15:fullRef>
                        <c15:formulaRef>
                          <c15:sqref>('Sub sceneario 32575'!$G$2:$G$37,'Sub sceneario 32575'!$G$39:$G$43)</c15:sqref>
                        </c15:formulaRef>
                      </c:ext>
                    </c:extLst>
                    <c:strCache>
                      <c:ptCount val="41"/>
                      <c:pt idx="0">
                        <c:v>Wetland function</c:v>
                      </c:pt>
                      <c:pt idx="2">
                        <c:v>Grand Island</c:v>
                      </c:pt>
                      <c:pt idx="3">
                        <c:v>Ryer Island</c:v>
                      </c:pt>
                      <c:pt idx="4">
                        <c:v>Tyler Island</c:v>
                      </c:pt>
                      <c:pt idx="5">
                        <c:v>Staten Island</c:v>
                      </c:pt>
                      <c:pt idx="6">
                        <c:v>Brannan Island</c:v>
                      </c:pt>
                      <c:pt idx="7">
                        <c:v>Bouldin Island</c:v>
                      </c:pt>
                      <c:pt idx="8">
                        <c:v>Venice Island</c:v>
                      </c:pt>
                      <c:pt idx="9">
                        <c:v>Medford Island</c:v>
                      </c:pt>
                      <c:pt idx="10">
                        <c:v>Empire Tract</c:v>
                      </c:pt>
                      <c:pt idx="11">
                        <c:v>King Island</c:v>
                      </c:pt>
                      <c:pt idx="12">
                        <c:v>Terminous Tract</c:v>
                      </c:pt>
                      <c:pt idx="13">
                        <c:v>Rindge Tract</c:v>
                      </c:pt>
                      <c:pt idx="14">
                        <c:v>McDonald Tract</c:v>
                      </c:pt>
                      <c:pt idx="15">
                        <c:v>Jones Tract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Canal Ranch Tract</c:v>
                      </c:pt>
                      <c:pt idx="40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'Sub sceneario 32575'!$M$2:$M$43</c15:sqref>
                        </c15:fullRef>
                        <c15:formulaRef>
                          <c15:sqref>('Sub sceneario 32575'!$M$2:$M$37,'Sub sceneario 32575'!$M$39:$M$43)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1"/>
                      <c:pt idx="0" formatCode="General">
                        <c:v>0</c:v>
                      </c:pt>
                      <c:pt idx="1">
                        <c:v>14723969.060000001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1026082.3099999999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146844.04999999999</c:v>
                      </c:pt>
                      <c:pt idx="21">
                        <c:v>362621.11</c:v>
                      </c:pt>
                      <c:pt idx="22">
                        <c:v>375859.89999999997</c:v>
                      </c:pt>
                      <c:pt idx="23">
                        <c:v>841956.61</c:v>
                      </c:pt>
                      <c:pt idx="24">
                        <c:v>641244.38</c:v>
                      </c:pt>
                      <c:pt idx="25">
                        <c:v>117779.57999999999</c:v>
                      </c:pt>
                      <c:pt idx="26">
                        <c:v>793870.8899999999</c:v>
                      </c:pt>
                      <c:pt idx="27">
                        <c:v>209994.59999999998</c:v>
                      </c:pt>
                      <c:pt idx="28">
                        <c:v>489987.39999999997</c:v>
                      </c:pt>
                      <c:pt idx="29">
                        <c:v>526356.02999999991</c:v>
                      </c:pt>
                      <c:pt idx="30">
                        <c:v>827196.11999999988</c:v>
                      </c:pt>
                      <c:pt idx="31">
                        <c:v>324882.94999999995</c:v>
                      </c:pt>
                      <c:pt idx="32">
                        <c:v>1548786.2599999998</c:v>
                      </c:pt>
                      <c:pt idx="33">
                        <c:v>541573.02999999991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4070045.9400000004</c:v>
                      </c:pt>
                      <c:pt idx="38">
                        <c:v>2234204.4</c:v>
                      </c:pt>
                      <c:pt idx="39">
                        <c:v>16936744.77</c:v>
                      </c:pt>
                      <c:pt idx="40">
                        <c:v>8775035.2199999988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1DD-4575-80EC-7D861D61621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 sceneario 32575'!$O$1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'Sub sceneario 32575'!$G$2:$G$43</c15:sqref>
                        </c15:fullRef>
                        <c15:formulaRef>
                          <c15:sqref>('Sub sceneario 32575'!$G$2:$G$37,'Sub sceneario 32575'!$G$39:$G$43)</c15:sqref>
                        </c15:formulaRef>
                      </c:ext>
                    </c:extLst>
                    <c:strCache>
                      <c:ptCount val="41"/>
                      <c:pt idx="0">
                        <c:v>Wetland function</c:v>
                      </c:pt>
                      <c:pt idx="2">
                        <c:v>Grand Island</c:v>
                      </c:pt>
                      <c:pt idx="3">
                        <c:v>Ryer Island</c:v>
                      </c:pt>
                      <c:pt idx="4">
                        <c:v>Tyler Island</c:v>
                      </c:pt>
                      <c:pt idx="5">
                        <c:v>Staten Island</c:v>
                      </c:pt>
                      <c:pt idx="6">
                        <c:v>Brannan Island</c:v>
                      </c:pt>
                      <c:pt idx="7">
                        <c:v>Bouldin Island</c:v>
                      </c:pt>
                      <c:pt idx="8">
                        <c:v>Venice Island</c:v>
                      </c:pt>
                      <c:pt idx="9">
                        <c:v>Medford Island</c:v>
                      </c:pt>
                      <c:pt idx="10">
                        <c:v>Empire Tract</c:v>
                      </c:pt>
                      <c:pt idx="11">
                        <c:v>King Island</c:v>
                      </c:pt>
                      <c:pt idx="12">
                        <c:v>Terminous Tract</c:v>
                      </c:pt>
                      <c:pt idx="13">
                        <c:v>Rindge Tract</c:v>
                      </c:pt>
                      <c:pt idx="14">
                        <c:v>McDonald Tract</c:v>
                      </c:pt>
                      <c:pt idx="15">
                        <c:v>Jones Tract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Canal Ranch Tract</c:v>
                      </c:pt>
                      <c:pt idx="40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'Sub sceneario 32575'!$O$2:$O$43</c15:sqref>
                        </c15:fullRef>
                        <c15:formulaRef>
                          <c15:sqref>('Sub sceneario 32575'!$O$2:$O$37,'Sub sceneario 32575'!$O$39:$O$43)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1"/>
                      <c:pt idx="0" formatCode="General">
                        <c:v>0</c:v>
                      </c:pt>
                      <c:pt idx="1">
                        <c:v>14723969.060000001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229734.01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32877.550000000003</c:v>
                      </c:pt>
                      <c:pt idx="21">
                        <c:v>81188.81</c:v>
                      </c:pt>
                      <c:pt idx="22">
                        <c:v>84152.9</c:v>
                      </c:pt>
                      <c:pt idx="23">
                        <c:v>188509.31</c:v>
                      </c:pt>
                      <c:pt idx="24">
                        <c:v>143570.98000000001</c:v>
                      </c:pt>
                      <c:pt idx="25">
                        <c:v>26370.18</c:v>
                      </c:pt>
                      <c:pt idx="26">
                        <c:v>177743.19</c:v>
                      </c:pt>
                      <c:pt idx="27">
                        <c:v>47016.6</c:v>
                      </c:pt>
                      <c:pt idx="28">
                        <c:v>109705.4</c:v>
                      </c:pt>
                      <c:pt idx="29">
                        <c:v>117848.13</c:v>
                      </c:pt>
                      <c:pt idx="30">
                        <c:v>185204.52</c:v>
                      </c:pt>
                      <c:pt idx="31">
                        <c:v>72739.45</c:v>
                      </c:pt>
                      <c:pt idx="32">
                        <c:v>346764.46</c:v>
                      </c:pt>
                      <c:pt idx="33">
                        <c:v>121255.13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4070045.9400000004</c:v>
                      </c:pt>
                      <c:pt idx="38">
                        <c:v>2234204.4</c:v>
                      </c:pt>
                      <c:pt idx="39">
                        <c:v>16936744.77</c:v>
                      </c:pt>
                      <c:pt idx="40">
                        <c:v>1964680.62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1DD-4575-80EC-7D861D61621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 sceneario 32575'!$P$1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'Sub sceneario 32575'!$G$2:$G$43</c15:sqref>
                        </c15:fullRef>
                        <c15:formulaRef>
                          <c15:sqref>('Sub sceneario 32575'!$G$2:$G$37,'Sub sceneario 32575'!$G$39:$G$43)</c15:sqref>
                        </c15:formulaRef>
                      </c:ext>
                    </c:extLst>
                    <c:strCache>
                      <c:ptCount val="41"/>
                      <c:pt idx="0">
                        <c:v>Wetland function</c:v>
                      </c:pt>
                      <c:pt idx="2">
                        <c:v>Grand Island</c:v>
                      </c:pt>
                      <c:pt idx="3">
                        <c:v>Ryer Island</c:v>
                      </c:pt>
                      <c:pt idx="4">
                        <c:v>Tyler Island</c:v>
                      </c:pt>
                      <c:pt idx="5">
                        <c:v>Staten Island</c:v>
                      </c:pt>
                      <c:pt idx="6">
                        <c:v>Brannan Island</c:v>
                      </c:pt>
                      <c:pt idx="7">
                        <c:v>Bouldin Island</c:v>
                      </c:pt>
                      <c:pt idx="8">
                        <c:v>Venice Island</c:v>
                      </c:pt>
                      <c:pt idx="9">
                        <c:v>Medford Island</c:v>
                      </c:pt>
                      <c:pt idx="10">
                        <c:v>Empire Tract</c:v>
                      </c:pt>
                      <c:pt idx="11">
                        <c:v>King Island</c:v>
                      </c:pt>
                      <c:pt idx="12">
                        <c:v>Terminous Tract</c:v>
                      </c:pt>
                      <c:pt idx="13">
                        <c:v>Rindge Tract</c:v>
                      </c:pt>
                      <c:pt idx="14">
                        <c:v>McDonald Tract</c:v>
                      </c:pt>
                      <c:pt idx="15">
                        <c:v>Jones Tract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Canal Ranch Tract</c:v>
                      </c:pt>
                      <c:pt idx="40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'Sub sceneario 32575'!$P$2:$P$43</c15:sqref>
                        </c15:fullRef>
                        <c15:formulaRef>
                          <c15:sqref>('Sub sceneario 32575'!$P$2:$P$37,'Sub sceneario 32575'!$P$39:$P$43)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1"/>
                      <c:pt idx="0" formatCode="General">
                        <c:v>0</c:v>
                      </c:pt>
                      <c:pt idx="1">
                        <c:v>14723969.060000001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229734.01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32877.550000000003</c:v>
                      </c:pt>
                      <c:pt idx="21">
                        <c:v>81188.81</c:v>
                      </c:pt>
                      <c:pt idx="22">
                        <c:v>84152.9</c:v>
                      </c:pt>
                      <c:pt idx="23">
                        <c:v>188509.31</c:v>
                      </c:pt>
                      <c:pt idx="24">
                        <c:v>143570.98000000001</c:v>
                      </c:pt>
                      <c:pt idx="25">
                        <c:v>26370.18</c:v>
                      </c:pt>
                      <c:pt idx="26">
                        <c:v>177743.19</c:v>
                      </c:pt>
                      <c:pt idx="27">
                        <c:v>47016.6</c:v>
                      </c:pt>
                      <c:pt idx="28">
                        <c:v>109705.4</c:v>
                      </c:pt>
                      <c:pt idx="29">
                        <c:v>117848.13</c:v>
                      </c:pt>
                      <c:pt idx="30">
                        <c:v>185204.52</c:v>
                      </c:pt>
                      <c:pt idx="31">
                        <c:v>72739.45</c:v>
                      </c:pt>
                      <c:pt idx="32">
                        <c:v>346764.46</c:v>
                      </c:pt>
                      <c:pt idx="33">
                        <c:v>121255.13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4070045.9400000004</c:v>
                      </c:pt>
                      <c:pt idx="38">
                        <c:v>2234204.4</c:v>
                      </c:pt>
                      <c:pt idx="39">
                        <c:v>16936744.77</c:v>
                      </c:pt>
                      <c:pt idx="40">
                        <c:v>1964680.62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1DD-4575-80EC-7D861D616212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 sceneario 32575'!$Q$1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'Sub sceneario 32575'!$G$2:$G$43</c15:sqref>
                        </c15:fullRef>
                        <c15:formulaRef>
                          <c15:sqref>('Sub sceneario 32575'!$G$2:$G$37,'Sub sceneario 32575'!$G$39:$G$43)</c15:sqref>
                        </c15:formulaRef>
                      </c:ext>
                    </c:extLst>
                    <c:strCache>
                      <c:ptCount val="41"/>
                      <c:pt idx="0">
                        <c:v>Wetland function</c:v>
                      </c:pt>
                      <c:pt idx="2">
                        <c:v>Grand Island</c:v>
                      </c:pt>
                      <c:pt idx="3">
                        <c:v>Ryer Island</c:v>
                      </c:pt>
                      <c:pt idx="4">
                        <c:v>Tyler Island</c:v>
                      </c:pt>
                      <c:pt idx="5">
                        <c:v>Staten Island</c:v>
                      </c:pt>
                      <c:pt idx="6">
                        <c:v>Brannan Island</c:v>
                      </c:pt>
                      <c:pt idx="7">
                        <c:v>Bouldin Island</c:v>
                      </c:pt>
                      <c:pt idx="8">
                        <c:v>Venice Island</c:v>
                      </c:pt>
                      <c:pt idx="9">
                        <c:v>Medford Island</c:v>
                      </c:pt>
                      <c:pt idx="10">
                        <c:v>Empire Tract</c:v>
                      </c:pt>
                      <c:pt idx="11">
                        <c:v>King Island</c:v>
                      </c:pt>
                      <c:pt idx="12">
                        <c:v>Terminous Tract</c:v>
                      </c:pt>
                      <c:pt idx="13">
                        <c:v>Rindge Tract</c:v>
                      </c:pt>
                      <c:pt idx="14">
                        <c:v>McDonald Tract</c:v>
                      </c:pt>
                      <c:pt idx="15">
                        <c:v>Jones Tract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Canal Ranch Tract</c:v>
                      </c:pt>
                      <c:pt idx="40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'Sub sceneario 32575'!$Q$2:$Q$43</c15:sqref>
                        </c15:fullRef>
                        <c15:formulaRef>
                          <c15:sqref>('Sub sceneario 32575'!$Q$2:$Q$37,'Sub sceneario 32575'!$Q$39:$Q$43)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1"/>
                      <c:pt idx="0" formatCode="General">
                        <c:v>0</c:v>
                      </c:pt>
                      <c:pt idx="1">
                        <c:v>14723969.060000001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71475.8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10229</c:v>
                      </c:pt>
                      <c:pt idx="21">
                        <c:v>25259.8</c:v>
                      </c:pt>
                      <c:pt idx="22">
                        <c:v>26182</c:v>
                      </c:pt>
                      <c:pt idx="23">
                        <c:v>58649.799999999996</c:v>
                      </c:pt>
                      <c:pt idx="24">
                        <c:v>44668.4</c:v>
                      </c:pt>
                      <c:pt idx="25">
                        <c:v>8204.4</c:v>
                      </c:pt>
                      <c:pt idx="26">
                        <c:v>55300.2</c:v>
                      </c:pt>
                      <c:pt idx="27">
                        <c:v>14628</c:v>
                      </c:pt>
                      <c:pt idx="28">
                        <c:v>34132</c:v>
                      </c:pt>
                      <c:pt idx="29">
                        <c:v>36665.4</c:v>
                      </c:pt>
                      <c:pt idx="30">
                        <c:v>57621.599999999999</c:v>
                      </c:pt>
                      <c:pt idx="31">
                        <c:v>22631</c:v>
                      </c:pt>
                      <c:pt idx="32">
                        <c:v>107886.8</c:v>
                      </c:pt>
                      <c:pt idx="33">
                        <c:v>37725.4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4070045.9400000004</c:v>
                      </c:pt>
                      <c:pt idx="38">
                        <c:v>2234204.4</c:v>
                      </c:pt>
                      <c:pt idx="39">
                        <c:v>16936744.77</c:v>
                      </c:pt>
                      <c:pt idx="40">
                        <c:v>611259.6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1DD-4575-80EC-7D861D616212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'Sub sceneario 32575'!$R$1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'Sub sceneario 32575'!$G$2:$G$43</c15:sqref>
                        </c15:fullRef>
                        <c15:formulaRef>
                          <c15:sqref>('Sub sceneario 32575'!$G$2:$G$37,'Sub sceneario 32575'!$G$39:$G$43)</c15:sqref>
                        </c15:formulaRef>
                      </c:ext>
                    </c:extLst>
                    <c:strCache>
                      <c:ptCount val="41"/>
                      <c:pt idx="0">
                        <c:v>Wetland function</c:v>
                      </c:pt>
                      <c:pt idx="2">
                        <c:v>Grand Island</c:v>
                      </c:pt>
                      <c:pt idx="3">
                        <c:v>Ryer Island</c:v>
                      </c:pt>
                      <c:pt idx="4">
                        <c:v>Tyler Island</c:v>
                      </c:pt>
                      <c:pt idx="5">
                        <c:v>Staten Island</c:v>
                      </c:pt>
                      <c:pt idx="6">
                        <c:v>Brannan Island</c:v>
                      </c:pt>
                      <c:pt idx="7">
                        <c:v>Bouldin Island</c:v>
                      </c:pt>
                      <c:pt idx="8">
                        <c:v>Venice Island</c:v>
                      </c:pt>
                      <c:pt idx="9">
                        <c:v>Medford Island</c:v>
                      </c:pt>
                      <c:pt idx="10">
                        <c:v>Empire Tract</c:v>
                      </c:pt>
                      <c:pt idx="11">
                        <c:v>King Island</c:v>
                      </c:pt>
                      <c:pt idx="12">
                        <c:v>Terminous Tract</c:v>
                      </c:pt>
                      <c:pt idx="13">
                        <c:v>Rindge Tract</c:v>
                      </c:pt>
                      <c:pt idx="14">
                        <c:v>McDonald Tract</c:v>
                      </c:pt>
                      <c:pt idx="15">
                        <c:v>Jones Tract</c:v>
                      </c:pt>
                      <c:pt idx="16">
                        <c:v>Roberts Island</c:v>
                      </c:pt>
                      <c:pt idx="17">
                        <c:v>Union Island</c:v>
                      </c:pt>
                      <c:pt idx="18">
                        <c:v>Victoria Island</c:v>
                      </c:pt>
                      <c:pt idx="19">
                        <c:v>Woodward Island</c:v>
                      </c:pt>
                      <c:pt idx="20">
                        <c:v>Coney Island</c:v>
                      </c:pt>
                      <c:pt idx="21">
                        <c:v>Orowood Tract</c:v>
                      </c:pt>
                      <c:pt idx="22">
                        <c:v>Palm Tract</c:v>
                      </c:pt>
                      <c:pt idx="23">
                        <c:v>Bacon Island</c:v>
                      </c:pt>
                      <c:pt idx="24">
                        <c:v>Holland Tract</c:v>
                      </c:pt>
                      <c:pt idx="25">
                        <c:v>Quinby Island</c:v>
                      </c:pt>
                      <c:pt idx="26">
                        <c:v>Mandeville Island</c:v>
                      </c:pt>
                      <c:pt idx="27">
                        <c:v>Franks Tract</c:v>
                      </c:pt>
                      <c:pt idx="28">
                        <c:v>Bethel Island</c:v>
                      </c:pt>
                      <c:pt idx="29">
                        <c:v>Jersey Island</c:v>
                      </c:pt>
                      <c:pt idx="30">
                        <c:v>Webb Tract</c:v>
                      </c:pt>
                      <c:pt idx="31">
                        <c:v>Bradford Island</c:v>
                      </c:pt>
                      <c:pt idx="32">
                        <c:v>Sherman Island</c:v>
                      </c:pt>
                      <c:pt idx="33">
                        <c:v>Twitchell Island</c:v>
                      </c:pt>
                      <c:pt idx="34">
                        <c:v>Dead Horse Island</c:v>
                      </c:pt>
                      <c:pt idx="35">
                        <c:v>Sutter Island</c:v>
                      </c:pt>
                      <c:pt idx="36">
                        <c:v>Canal Ranch Tract</c:v>
                      </c:pt>
                      <c:pt idx="40">
                        <c:v>Totals per Benefit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'Sub sceneario 32575'!$R$2:$R$43</c15:sqref>
                        </c15:fullRef>
                        <c15:formulaRef>
                          <c15:sqref>('Sub sceneario 32575'!$R$2:$R$37,'Sub sceneario 32575'!$R$39:$R$43)</c15:sqref>
                        </c15:formulaRef>
                      </c:ext>
                    </c:extLst>
                    <c:numCache>
                      <c:formatCode>_([$$-409]* #,##0.00_);_([$$-409]* \(#,##0.00\);_([$$-409]* "-"??_);_(@_)</c:formatCode>
                      <c:ptCount val="41"/>
                      <c:pt idx="0" formatCode="General">
                        <c:v>0</c:v>
                      </c:pt>
                      <c:pt idx="1">
                        <c:v>14723969.060000001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11537407.859999999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1651134.3</c:v>
                      </c:pt>
                      <c:pt idx="21">
                        <c:v>4077360.66</c:v>
                      </c:pt>
                      <c:pt idx="22">
                        <c:v>4226219.4000000004</c:v>
                      </c:pt>
                      <c:pt idx="23">
                        <c:v>9467073.6600000001</c:v>
                      </c:pt>
                      <c:pt idx="24">
                        <c:v>7210238.2800000003</c:v>
                      </c:pt>
                      <c:pt idx="25">
                        <c:v>1324329.48</c:v>
                      </c:pt>
                      <c:pt idx="26">
                        <c:v>8926391.3399999999</c:v>
                      </c:pt>
                      <c:pt idx="27">
                        <c:v>2361207.6</c:v>
                      </c:pt>
                      <c:pt idx="28">
                        <c:v>5509484.4000000004</c:v>
                      </c:pt>
                      <c:pt idx="29">
                        <c:v>5918418.1799999997</c:v>
                      </c:pt>
                      <c:pt idx="30">
                        <c:v>9301104.7200000007</c:v>
                      </c:pt>
                      <c:pt idx="31">
                        <c:v>3653027.7</c:v>
                      </c:pt>
                      <c:pt idx="32">
                        <c:v>17414761.559999999</c:v>
                      </c:pt>
                      <c:pt idx="33">
                        <c:v>6089520.1799999997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4070045.9400000004</c:v>
                      </c:pt>
                      <c:pt idx="38">
                        <c:v>2234204.4</c:v>
                      </c:pt>
                      <c:pt idx="39">
                        <c:v>16936744.77</c:v>
                      </c:pt>
                      <c:pt idx="40">
                        <c:v>98667679.319999993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1DD-4575-80EC-7D861D616212}"/>
                  </c:ext>
                </c:extLst>
              </c15:ser>
            </c15:filteredBarSeries>
          </c:ext>
        </c:extLst>
      </c:barChart>
      <c:catAx>
        <c:axId val="85038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009679"/>
        <c:crosses val="autoZero"/>
        <c:auto val="1"/>
        <c:lblAlgn val="ctr"/>
        <c:lblOffset val="100"/>
        <c:noMultiLvlLbl val="0"/>
      </c:catAx>
      <c:valAx>
        <c:axId val="22300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38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88</xdr:row>
      <xdr:rowOff>28576</xdr:rowOff>
    </xdr:from>
    <xdr:to>
      <xdr:col>29</xdr:col>
      <xdr:colOff>571500</xdr:colOff>
      <xdr:row>126</xdr:row>
      <xdr:rowOff>123826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0890F5-B320-3389-3ED8-99F5A6535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14286</xdr:colOff>
      <xdr:row>1</xdr:row>
      <xdr:rowOff>142874</xdr:rowOff>
    </xdr:from>
    <xdr:to>
      <xdr:col>30</xdr:col>
      <xdr:colOff>19049</xdr:colOff>
      <xdr:row>43</xdr:row>
      <xdr:rowOff>28575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E7B2E9-8D65-69E1-09F3-9D83D3C20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28574</xdr:colOff>
      <xdr:row>44</xdr:row>
      <xdr:rowOff>133349</xdr:rowOff>
    </xdr:from>
    <xdr:to>
      <xdr:col>29</xdr:col>
      <xdr:colOff>609599</xdr:colOff>
      <xdr:row>87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932500-2D39-1D52-180A-84868D722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23812</xdr:colOff>
      <xdr:row>0</xdr:row>
      <xdr:rowOff>123825</xdr:rowOff>
    </xdr:from>
    <xdr:to>
      <xdr:col>30</xdr:col>
      <xdr:colOff>304800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D9D9B9-60F9-1703-B5A6-D297454FE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581025</xdr:colOff>
      <xdr:row>35</xdr:row>
      <xdr:rowOff>171449</xdr:rowOff>
    </xdr:from>
    <xdr:to>
      <xdr:col>30</xdr:col>
      <xdr:colOff>257175</xdr:colOff>
      <xdr:row>72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2C3CF0-C2FD-6216-31CD-48A0DE1E8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771524</xdr:colOff>
      <xdr:row>44</xdr:row>
      <xdr:rowOff>38099</xdr:rowOff>
    </xdr:from>
    <xdr:to>
      <xdr:col>23</xdr:col>
      <xdr:colOff>838199</xdr:colOff>
      <xdr:row>68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1B42E7-F08A-D8E1-E6BA-D07E79FEB0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295274</xdr:colOff>
      <xdr:row>46</xdr:row>
      <xdr:rowOff>123824</xdr:rowOff>
    </xdr:from>
    <xdr:to>
      <xdr:col>23</xdr:col>
      <xdr:colOff>571499</xdr:colOff>
      <xdr:row>71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4863D2-8451-ACA9-3940-FE69F839B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856F-AF1F-4609-9B6B-B08F2510E52A}">
  <dimension ref="A3:S127"/>
  <sheetViews>
    <sheetView tabSelected="1" topLeftCell="A66" zoomScale="115" zoomScaleNormal="115" workbookViewId="0">
      <selection activeCell="B89" sqref="B89:M126"/>
    </sheetView>
  </sheetViews>
  <sheetFormatPr defaultRowHeight="12.75" x14ac:dyDescent="0.2"/>
  <cols>
    <col min="4" max="4" width="15" bestFit="1" customWidth="1"/>
    <col min="5" max="5" width="15.140625" bestFit="1" customWidth="1"/>
    <col min="6" max="8" width="15" bestFit="1" customWidth="1"/>
    <col min="9" max="10" width="15.140625" bestFit="1" customWidth="1"/>
    <col min="11" max="13" width="15" bestFit="1" customWidth="1"/>
    <col min="14" max="14" width="16.140625" bestFit="1" customWidth="1"/>
  </cols>
  <sheetData>
    <row r="3" spans="1:19" ht="14.25" x14ac:dyDescent="0.2">
      <c r="A3" s="18" t="s">
        <v>95</v>
      </c>
      <c r="B3" s="16" t="s">
        <v>87</v>
      </c>
      <c r="C3" s="16" t="s">
        <v>0</v>
      </c>
      <c r="D3" s="16" t="s">
        <v>72</v>
      </c>
      <c r="E3" s="16" t="s">
        <v>73</v>
      </c>
      <c r="F3" s="16" t="s">
        <v>74</v>
      </c>
      <c r="G3" s="16" t="s">
        <v>75</v>
      </c>
      <c r="H3" s="16" t="s">
        <v>76</v>
      </c>
      <c r="I3" s="16" t="s">
        <v>77</v>
      </c>
      <c r="J3" s="16" t="s">
        <v>78</v>
      </c>
      <c r="K3" s="16" t="s">
        <v>79</v>
      </c>
      <c r="L3" s="16" t="s">
        <v>80</v>
      </c>
      <c r="M3" s="16" t="s">
        <v>81</v>
      </c>
      <c r="N3" s="16" t="s">
        <v>82</v>
      </c>
    </row>
    <row r="4" spans="1:19" ht="14.25" x14ac:dyDescent="0.2">
      <c r="A4" s="18"/>
      <c r="B4" s="16" t="s">
        <v>97</v>
      </c>
      <c r="C4" s="16" t="s">
        <v>98</v>
      </c>
      <c r="D4" s="16">
        <v>14723969.060000001</v>
      </c>
      <c r="E4" s="20">
        <v>14723969.060000001</v>
      </c>
      <c r="F4" s="20">
        <v>14723969.060000001</v>
      </c>
      <c r="G4" s="20">
        <v>14723969.060000001</v>
      </c>
      <c r="H4" s="20">
        <v>14723969.060000001</v>
      </c>
      <c r="I4" s="20">
        <v>14723969.060000001</v>
      </c>
      <c r="J4" s="20">
        <v>14723969.060000001</v>
      </c>
      <c r="K4" s="20">
        <v>14723969.060000001</v>
      </c>
      <c r="L4" s="20">
        <v>14723969.060000001</v>
      </c>
      <c r="M4" s="20">
        <v>14723969.060000001</v>
      </c>
      <c r="N4" s="20">
        <v>14723969.060000001</v>
      </c>
      <c r="O4">
        <v>14723969.060000001</v>
      </c>
      <c r="P4">
        <v>14723969.060000001</v>
      </c>
      <c r="Q4">
        <v>14723969.060000001</v>
      </c>
      <c r="R4">
        <v>14723969.060000001</v>
      </c>
      <c r="S4">
        <v>14723969.060000001</v>
      </c>
    </row>
    <row r="5" spans="1:19" x14ac:dyDescent="0.2">
      <c r="B5" s="27" t="s">
        <v>92</v>
      </c>
      <c r="C5" t="s">
        <v>41</v>
      </c>
      <c r="D5" s="15">
        <v>1131153.8</v>
      </c>
      <c r="E5" s="15">
        <v>911742.99999999988</v>
      </c>
      <c r="F5" s="15">
        <v>1199417.8</v>
      </c>
      <c r="G5" s="15">
        <v>702088.79999999993</v>
      </c>
      <c r="H5" s="15">
        <v>521704.4</v>
      </c>
      <c r="I5" s="15">
        <v>489987.39999999997</v>
      </c>
      <c r="J5" s="15">
        <v>299846.40000000002</v>
      </c>
      <c r="K5" s="15">
        <v>109705.4</v>
      </c>
      <c r="L5" s="15">
        <v>109705.4</v>
      </c>
      <c r="M5" s="15">
        <v>34132</v>
      </c>
      <c r="N5" s="15">
        <v>5509484.4000000004</v>
      </c>
    </row>
    <row r="6" spans="1:19" x14ac:dyDescent="0.2">
      <c r="B6" s="27"/>
      <c r="C6" t="s">
        <v>42</v>
      </c>
      <c r="D6" s="15">
        <v>1215112.1100000001</v>
      </c>
      <c r="E6" s="15">
        <v>979415.85</v>
      </c>
      <c r="F6" s="15">
        <v>1288442.9099999999</v>
      </c>
      <c r="G6" s="15">
        <v>754200.36</v>
      </c>
      <c r="H6" s="15">
        <v>560427.18000000005</v>
      </c>
      <c r="I6" s="15">
        <v>526356.02999999991</v>
      </c>
      <c r="J6" s="15">
        <v>322102.08</v>
      </c>
      <c r="K6" s="15">
        <v>117848.13</v>
      </c>
      <c r="L6" s="15">
        <v>117848.13</v>
      </c>
      <c r="M6" s="15">
        <v>36665.4</v>
      </c>
      <c r="N6" s="15">
        <v>5918418.1799999997</v>
      </c>
    </row>
    <row r="7" spans="1:19" x14ac:dyDescent="0.2">
      <c r="B7" s="27"/>
      <c r="C7" t="s">
        <v>43</v>
      </c>
      <c r="D7" s="15">
        <v>1909612.4400000002</v>
      </c>
      <c r="E7" s="15">
        <v>1539203.4</v>
      </c>
      <c r="F7" s="15">
        <v>2024855.6400000001</v>
      </c>
      <c r="G7" s="15">
        <v>1185265.44</v>
      </c>
      <c r="H7" s="15">
        <v>880740.72000000009</v>
      </c>
      <c r="I7" s="15">
        <v>827196.11999999988</v>
      </c>
      <c r="J7" s="15">
        <v>506200.32000000001</v>
      </c>
      <c r="K7" s="15">
        <v>185204.52</v>
      </c>
      <c r="L7" s="15">
        <v>185204.52</v>
      </c>
      <c r="M7" s="15">
        <v>57621.599999999999</v>
      </c>
      <c r="N7" s="15">
        <v>9301104.7200000007</v>
      </c>
    </row>
    <row r="8" spans="1:19" x14ac:dyDescent="0.2">
      <c r="B8" s="27"/>
      <c r="C8" t="s">
        <v>44</v>
      </c>
      <c r="D8" s="15">
        <v>750004.15</v>
      </c>
      <c r="E8" s="15">
        <v>604525.25</v>
      </c>
      <c r="F8" s="15">
        <v>795266.15</v>
      </c>
      <c r="G8" s="15">
        <v>465515.39999999997</v>
      </c>
      <c r="H8" s="15">
        <v>345912.7</v>
      </c>
      <c r="I8" s="15">
        <v>324882.94999999995</v>
      </c>
      <c r="J8" s="15">
        <v>198811.2</v>
      </c>
      <c r="K8" s="15">
        <v>72739.45</v>
      </c>
      <c r="L8" s="15">
        <v>72739.45</v>
      </c>
      <c r="M8" s="15">
        <v>22631</v>
      </c>
      <c r="N8" s="15">
        <v>3653027.7</v>
      </c>
    </row>
    <row r="9" spans="1:19" x14ac:dyDescent="0.2">
      <c r="B9" s="27"/>
      <c r="C9" t="s">
        <v>45</v>
      </c>
      <c r="D9" s="15">
        <v>3575429.62</v>
      </c>
      <c r="E9" s="15">
        <v>2881900.6999999997</v>
      </c>
      <c r="F9" s="15">
        <v>3791203.22</v>
      </c>
      <c r="G9" s="15">
        <v>2219211.12</v>
      </c>
      <c r="H9" s="15">
        <v>1649039.56</v>
      </c>
      <c r="I9" s="15">
        <v>1548786.2599999998</v>
      </c>
      <c r="J9" s="15">
        <v>947775.3600000001</v>
      </c>
      <c r="K9" s="15">
        <v>346764.46</v>
      </c>
      <c r="L9" s="15">
        <v>346764.46</v>
      </c>
      <c r="M9" s="15">
        <v>107886.8</v>
      </c>
      <c r="N9" s="15">
        <v>17414761.559999999</v>
      </c>
    </row>
    <row r="10" spans="1:19" x14ac:dyDescent="0.2">
      <c r="B10" s="27"/>
      <c r="C10" t="s">
        <v>100</v>
      </c>
      <c r="D10" s="15">
        <v>484780.2</v>
      </c>
      <c r="E10" s="15">
        <v>390746.99999999994</v>
      </c>
      <c r="F10" s="15">
        <v>514036.2</v>
      </c>
      <c r="G10" s="15">
        <v>300895.2</v>
      </c>
      <c r="H10" s="15">
        <v>223587.6</v>
      </c>
      <c r="I10" s="15">
        <v>209994.59999999998</v>
      </c>
      <c r="J10" s="15">
        <v>128505.60000000001</v>
      </c>
      <c r="K10" s="15">
        <v>47016.6</v>
      </c>
      <c r="L10" s="15">
        <v>47016.6</v>
      </c>
      <c r="M10" s="15">
        <v>14628</v>
      </c>
      <c r="N10" s="15">
        <v>2361207.6</v>
      </c>
    </row>
    <row r="11" spans="1:19" x14ac:dyDescent="0.2">
      <c r="B11" s="27"/>
      <c r="C11" t="s">
        <v>46</v>
      </c>
      <c r="D11" s="15">
        <v>1250241.1100000001</v>
      </c>
      <c r="E11" s="15">
        <v>1007730.85</v>
      </c>
      <c r="F11" s="15">
        <v>1325691.9099999999</v>
      </c>
      <c r="G11" s="15">
        <v>776004.36</v>
      </c>
      <c r="H11" s="15">
        <v>576629.18000000005</v>
      </c>
      <c r="I11" s="15">
        <v>541573.02999999991</v>
      </c>
      <c r="J11" s="15">
        <v>331414.08</v>
      </c>
      <c r="K11" s="15">
        <v>121255.13</v>
      </c>
      <c r="L11" s="15">
        <v>121255.13</v>
      </c>
      <c r="M11" s="15">
        <v>37725.4</v>
      </c>
      <c r="N11" s="15">
        <v>6089520.1799999997</v>
      </c>
    </row>
    <row r="12" spans="1:19" x14ac:dyDescent="0.2">
      <c r="B12" s="27" t="s">
        <v>88</v>
      </c>
      <c r="C12" t="s">
        <v>5</v>
      </c>
      <c r="D12" s="15">
        <v>5811390.4700000007</v>
      </c>
      <c r="E12" s="15">
        <v>4684150.4499999993</v>
      </c>
      <c r="F12" s="15">
        <v>6162102.0700000003</v>
      </c>
      <c r="G12" s="15">
        <v>3607035.7199999997</v>
      </c>
      <c r="H12" s="15">
        <v>2680296.8600000003</v>
      </c>
      <c r="I12" s="15">
        <v>2517348.3099999996</v>
      </c>
      <c r="J12" s="15">
        <v>1540484.1600000001</v>
      </c>
      <c r="K12" s="15">
        <v>563620.01</v>
      </c>
      <c r="L12" s="15">
        <v>563620.01</v>
      </c>
      <c r="M12" s="15">
        <v>175355.8</v>
      </c>
      <c r="N12" s="15">
        <v>28305403.859999999</v>
      </c>
    </row>
    <row r="13" spans="1:19" x14ac:dyDescent="0.2">
      <c r="B13" s="27"/>
      <c r="C13" t="s">
        <v>8</v>
      </c>
      <c r="D13" s="15">
        <v>4144519.4200000004</v>
      </c>
      <c r="E13" s="15">
        <v>3340603.6999999997</v>
      </c>
      <c r="F13" s="15">
        <v>4394637.0200000005</v>
      </c>
      <c r="G13" s="15">
        <v>2572435.92</v>
      </c>
      <c r="H13" s="15">
        <v>1911511.9600000002</v>
      </c>
      <c r="I13" s="15">
        <v>1795301.66</v>
      </c>
      <c r="J13" s="15">
        <v>1098629.76</v>
      </c>
      <c r="K13" s="15">
        <v>401957.86</v>
      </c>
      <c r="L13" s="15">
        <v>401957.86</v>
      </c>
      <c r="M13" s="15">
        <v>125058.8</v>
      </c>
      <c r="N13" s="15">
        <v>20186613.960000001</v>
      </c>
    </row>
    <row r="14" spans="1:19" x14ac:dyDescent="0.2">
      <c r="B14" s="27"/>
      <c r="C14" t="s">
        <v>10</v>
      </c>
      <c r="D14" s="15">
        <v>3091000.71</v>
      </c>
      <c r="E14" s="15">
        <v>2491436.8499999996</v>
      </c>
      <c r="F14" s="15">
        <v>3277539.5100000002</v>
      </c>
      <c r="G14" s="15">
        <v>1918533.96</v>
      </c>
      <c r="H14" s="15">
        <v>1425613.98</v>
      </c>
      <c r="I14" s="15">
        <v>1338943.8299999998</v>
      </c>
      <c r="J14" s="15">
        <v>819362.88</v>
      </c>
      <c r="K14" s="15">
        <v>299781.93</v>
      </c>
      <c r="L14" s="15">
        <v>299781.93</v>
      </c>
      <c r="M14" s="15">
        <v>93269.4</v>
      </c>
      <c r="N14" s="15">
        <v>15055264.98</v>
      </c>
    </row>
    <row r="15" spans="1:19" x14ac:dyDescent="0.2">
      <c r="B15" s="27"/>
      <c r="C15" t="s">
        <v>12</v>
      </c>
      <c r="D15" s="15">
        <v>3200603.1900000004</v>
      </c>
      <c r="E15" s="15">
        <v>2579779.65</v>
      </c>
      <c r="F15" s="15">
        <v>3393756.39</v>
      </c>
      <c r="G15" s="15">
        <v>1986562.44</v>
      </c>
      <c r="H15" s="15">
        <v>1476164.2200000002</v>
      </c>
      <c r="I15" s="15">
        <v>1386420.8699999999</v>
      </c>
      <c r="J15" s="15">
        <v>848416.32000000007</v>
      </c>
      <c r="K15" s="15">
        <v>310411.77</v>
      </c>
      <c r="L15" s="15">
        <v>310411.77</v>
      </c>
      <c r="M15" s="15">
        <v>96576.599999999991</v>
      </c>
      <c r="N15" s="15">
        <v>15589103.220000001</v>
      </c>
    </row>
    <row r="16" spans="1:19" x14ac:dyDescent="0.2">
      <c r="B16" s="27"/>
      <c r="C16" t="s">
        <v>47</v>
      </c>
      <c r="D16" s="15">
        <v>73068.320000000007</v>
      </c>
      <c r="E16" s="15">
        <v>58895.199999999997</v>
      </c>
      <c r="F16" s="15">
        <v>77477.919999999998</v>
      </c>
      <c r="G16" s="15">
        <v>45352.32</v>
      </c>
      <c r="H16" s="15">
        <v>33700.160000000003</v>
      </c>
      <c r="I16" s="15">
        <v>31651.359999999997</v>
      </c>
      <c r="J16" s="15">
        <v>19368.96</v>
      </c>
      <c r="K16" s="15">
        <v>7086.56</v>
      </c>
      <c r="L16" s="15">
        <v>7086.56</v>
      </c>
      <c r="M16" s="15">
        <v>2204.7999999999997</v>
      </c>
      <c r="N16" s="15">
        <v>355892.16</v>
      </c>
    </row>
    <row r="17" spans="2:14" x14ac:dyDescent="0.2">
      <c r="B17" s="27"/>
      <c r="C17" t="s">
        <v>48</v>
      </c>
      <c r="D17" s="15">
        <v>883143.06</v>
      </c>
      <c r="E17" s="15">
        <v>711839.1</v>
      </c>
      <c r="F17" s="15">
        <v>936439.86</v>
      </c>
      <c r="G17" s="15">
        <v>548152.55999999994</v>
      </c>
      <c r="H17" s="15">
        <v>407318.28</v>
      </c>
      <c r="I17" s="15">
        <v>382555.37999999995</v>
      </c>
      <c r="J17" s="15">
        <v>234103.68000000002</v>
      </c>
      <c r="K17" s="15">
        <v>85651.98</v>
      </c>
      <c r="L17" s="15">
        <v>85651.98</v>
      </c>
      <c r="M17" s="15">
        <v>26648.399999999998</v>
      </c>
      <c r="N17" s="15">
        <v>4301504.28</v>
      </c>
    </row>
    <row r="18" spans="2:14" x14ac:dyDescent="0.2">
      <c r="B18" s="27"/>
      <c r="C18" t="s">
        <v>49</v>
      </c>
      <c r="D18" s="15">
        <v>3235732.1900000004</v>
      </c>
      <c r="E18" s="15">
        <v>2608094.65</v>
      </c>
      <c r="F18" s="15">
        <v>3431005.39</v>
      </c>
      <c r="G18" s="15">
        <v>2008366.44</v>
      </c>
      <c r="H18" s="15">
        <v>1492366.2200000002</v>
      </c>
      <c r="I18" s="15">
        <v>1401637.8699999999</v>
      </c>
      <c r="J18" s="15">
        <v>857728.32000000007</v>
      </c>
      <c r="K18" s="15">
        <v>313818.77</v>
      </c>
      <c r="L18" s="15">
        <v>313818.77</v>
      </c>
      <c r="M18" s="15">
        <v>97636.599999999991</v>
      </c>
      <c r="N18" s="15">
        <v>15760205.220000001</v>
      </c>
    </row>
    <row r="19" spans="2:14" x14ac:dyDescent="0.2">
      <c r="B19" s="27"/>
      <c r="C19" t="s">
        <v>50</v>
      </c>
      <c r="D19" s="15">
        <v>1031387.4400000001</v>
      </c>
      <c r="E19" s="15">
        <v>831328.39999999991</v>
      </c>
      <c r="F19" s="15">
        <v>1093630.6400000001</v>
      </c>
      <c r="G19" s="15">
        <v>640165.43999999994</v>
      </c>
      <c r="H19" s="15">
        <v>475690.72000000003</v>
      </c>
      <c r="I19" s="15">
        <v>446771.11999999994</v>
      </c>
      <c r="J19" s="15">
        <v>273400.32000000001</v>
      </c>
      <c r="K19" s="15">
        <v>100029.52</v>
      </c>
      <c r="L19" s="15">
        <v>100029.52</v>
      </c>
      <c r="M19" s="15">
        <v>31121.599999999999</v>
      </c>
      <c r="N19" s="15">
        <v>5023554.72</v>
      </c>
    </row>
    <row r="20" spans="2:14" x14ac:dyDescent="0.2">
      <c r="B20" t="s">
        <v>89</v>
      </c>
      <c r="C20" t="s">
        <v>15</v>
      </c>
      <c r="D20" s="15">
        <v>4534100.03</v>
      </c>
      <c r="E20" s="15">
        <v>3654617.05</v>
      </c>
      <c r="F20" s="15">
        <v>4807728.43</v>
      </c>
      <c r="G20" s="15">
        <v>2814242.28</v>
      </c>
      <c r="H20" s="15">
        <v>2091192.1400000001</v>
      </c>
      <c r="I20" s="15">
        <v>1964058.19</v>
      </c>
      <c r="J20" s="15">
        <v>1201899.8400000001</v>
      </c>
      <c r="K20" s="15">
        <v>439741.49</v>
      </c>
      <c r="L20" s="15">
        <v>439741.49</v>
      </c>
      <c r="M20" s="15">
        <v>136814.19999999998</v>
      </c>
      <c r="N20" s="15">
        <v>22084135.140000001</v>
      </c>
    </row>
    <row r="21" spans="2:14" x14ac:dyDescent="0.2">
      <c r="B21" t="s">
        <v>91</v>
      </c>
      <c r="C21" t="s">
        <v>23</v>
      </c>
      <c r="D21" s="15">
        <v>3638661.8200000003</v>
      </c>
      <c r="E21" s="15">
        <v>2932867.6999999997</v>
      </c>
      <c r="F21" s="15">
        <v>3858251.42</v>
      </c>
      <c r="G21" s="15">
        <v>2258458.3199999998</v>
      </c>
      <c r="H21" s="15">
        <v>1678203.1600000001</v>
      </c>
      <c r="I21" s="15">
        <v>1576176.8599999999</v>
      </c>
      <c r="J21" s="15">
        <v>964536.96000000008</v>
      </c>
      <c r="K21" s="15">
        <v>352897.06</v>
      </c>
      <c r="L21" s="15">
        <v>352897.06</v>
      </c>
      <c r="M21" s="15">
        <v>109794.8</v>
      </c>
      <c r="N21" s="15">
        <v>17722745.16</v>
      </c>
    </row>
    <row r="22" spans="2:14" x14ac:dyDescent="0.2">
      <c r="B22" s="27" t="s">
        <v>90</v>
      </c>
      <c r="C22" t="s">
        <v>18</v>
      </c>
      <c r="D22" s="15">
        <v>2085257.4400000002</v>
      </c>
      <c r="E22" s="15">
        <v>1680778.4</v>
      </c>
      <c r="F22" s="15">
        <v>2211100.64</v>
      </c>
      <c r="G22" s="15">
        <v>1294285.44</v>
      </c>
      <c r="H22" s="15">
        <v>961750.72000000009</v>
      </c>
      <c r="I22" s="15">
        <v>903281.11999999988</v>
      </c>
      <c r="J22" s="15">
        <v>552760.32000000007</v>
      </c>
      <c r="K22" s="15">
        <v>202239.52</v>
      </c>
      <c r="L22" s="15">
        <v>202239.52</v>
      </c>
      <c r="M22" s="15">
        <v>62921.599999999999</v>
      </c>
      <c r="N22" s="15">
        <v>10156614.720000001</v>
      </c>
    </row>
    <row r="23" spans="2:14" x14ac:dyDescent="0.2">
      <c r="B23" s="27"/>
      <c r="C23" t="s">
        <v>19</v>
      </c>
      <c r="D23" s="15">
        <v>1086891.26</v>
      </c>
      <c r="E23" s="15">
        <v>876066.1</v>
      </c>
      <c r="F23" s="15">
        <v>1152484.06</v>
      </c>
      <c r="G23" s="15">
        <v>674615.76</v>
      </c>
      <c r="H23" s="15">
        <v>501289.88</v>
      </c>
      <c r="I23" s="15">
        <v>470813.98</v>
      </c>
      <c r="J23" s="15">
        <v>288113.28000000003</v>
      </c>
      <c r="K23" s="15">
        <v>105412.58</v>
      </c>
      <c r="L23" s="15">
        <v>105412.58</v>
      </c>
      <c r="M23" s="15">
        <v>32796.400000000001</v>
      </c>
      <c r="N23" s="15">
        <v>5293895.88</v>
      </c>
    </row>
    <row r="24" spans="2:14" x14ac:dyDescent="0.2">
      <c r="B24" s="27"/>
      <c r="C24" t="s">
        <v>20</v>
      </c>
      <c r="D24" s="15">
        <v>409252.85000000003</v>
      </c>
      <c r="E24" s="15">
        <v>329869.75</v>
      </c>
      <c r="F24" s="15">
        <v>433950.85000000003</v>
      </c>
      <c r="G24" s="15">
        <v>254016.59999999998</v>
      </c>
      <c r="H24" s="15">
        <v>188753.30000000002</v>
      </c>
      <c r="I24" s="15">
        <v>177278.05</v>
      </c>
      <c r="J24" s="15">
        <v>108484.8</v>
      </c>
      <c r="K24" s="15">
        <v>39691.550000000003</v>
      </c>
      <c r="L24" s="15">
        <v>39691.550000000003</v>
      </c>
      <c r="M24" s="15">
        <v>12349</v>
      </c>
      <c r="N24" s="15">
        <v>1993338.3</v>
      </c>
    </row>
    <row r="25" spans="2:14" x14ac:dyDescent="0.2">
      <c r="B25" s="27"/>
      <c r="C25" t="s">
        <v>21</v>
      </c>
      <c r="D25" s="15">
        <v>1273426.25</v>
      </c>
      <c r="E25" s="15">
        <v>1026418.7499999999</v>
      </c>
      <c r="F25" s="15">
        <v>1350276.25</v>
      </c>
      <c r="G25" s="15">
        <v>790395</v>
      </c>
      <c r="H25" s="15">
        <v>587322.5</v>
      </c>
      <c r="I25" s="15">
        <v>551616.25</v>
      </c>
      <c r="J25" s="15">
        <v>337560</v>
      </c>
      <c r="K25" s="15">
        <v>123503.75</v>
      </c>
      <c r="L25" s="15">
        <v>123503.75</v>
      </c>
      <c r="M25" s="15">
        <v>38425</v>
      </c>
      <c r="N25" s="15">
        <v>6202447.5</v>
      </c>
    </row>
    <row r="26" spans="2:14" x14ac:dyDescent="0.2">
      <c r="B26" s="27"/>
      <c r="C26" t="s">
        <v>22</v>
      </c>
      <c r="D26" s="15">
        <v>1129748.6400000001</v>
      </c>
      <c r="E26" s="15">
        <v>910610.39999999991</v>
      </c>
      <c r="F26" s="15">
        <v>1197927.8400000001</v>
      </c>
      <c r="G26" s="15">
        <v>701216.64</v>
      </c>
      <c r="H26" s="15">
        <v>521056.32</v>
      </c>
      <c r="I26" s="15">
        <v>489378.72</v>
      </c>
      <c r="J26" s="15">
        <v>299473.92000000004</v>
      </c>
      <c r="K26" s="15">
        <v>109569.12</v>
      </c>
      <c r="L26" s="15">
        <v>109569.12</v>
      </c>
      <c r="M26" s="15">
        <v>34089.599999999999</v>
      </c>
      <c r="N26" s="15">
        <v>5502640.3200000003</v>
      </c>
    </row>
    <row r="27" spans="2:14" x14ac:dyDescent="0.2">
      <c r="B27" s="27"/>
      <c r="C27" t="s">
        <v>24</v>
      </c>
      <c r="D27" s="15">
        <v>2368748.4700000002</v>
      </c>
      <c r="E27" s="15">
        <v>1909280.45</v>
      </c>
      <c r="F27" s="15">
        <v>2511700.0699999998</v>
      </c>
      <c r="G27" s="15">
        <v>1470243.72</v>
      </c>
      <c r="H27" s="15">
        <v>1092500.8600000001</v>
      </c>
      <c r="I27" s="15">
        <v>1026082.3099999999</v>
      </c>
      <c r="J27" s="15">
        <v>627908.16</v>
      </c>
      <c r="K27" s="15">
        <v>229734.01</v>
      </c>
      <c r="L27" s="15">
        <v>229734.01</v>
      </c>
      <c r="M27" s="15">
        <v>71475.8</v>
      </c>
      <c r="N27" s="15">
        <v>11537407.859999999</v>
      </c>
    </row>
    <row r="28" spans="2:14" x14ac:dyDescent="0.2">
      <c r="B28" s="27"/>
      <c r="C28" t="s">
        <v>25</v>
      </c>
      <c r="D28" s="15">
        <v>739465.45000000007</v>
      </c>
      <c r="E28" s="15">
        <v>596030.75</v>
      </c>
      <c r="F28" s="15">
        <v>784091.45000000007</v>
      </c>
      <c r="G28" s="15">
        <v>458974.2</v>
      </c>
      <c r="H28" s="15">
        <v>341052.10000000003</v>
      </c>
      <c r="I28" s="15">
        <v>320317.84999999998</v>
      </c>
      <c r="J28" s="15">
        <v>196017.6</v>
      </c>
      <c r="K28" s="15">
        <v>71717.350000000006</v>
      </c>
      <c r="L28" s="15">
        <v>71717.350000000006</v>
      </c>
      <c r="M28" s="15">
        <v>22313</v>
      </c>
      <c r="N28" s="15">
        <v>3601697.1</v>
      </c>
    </row>
    <row r="29" spans="2:14" x14ac:dyDescent="0.2">
      <c r="B29" s="27"/>
      <c r="C29" t="s">
        <v>26</v>
      </c>
      <c r="D29" s="15">
        <v>2128817.4</v>
      </c>
      <c r="E29" s="15">
        <v>1715888.9999999998</v>
      </c>
      <c r="F29" s="15">
        <v>2257289.4</v>
      </c>
      <c r="G29" s="15">
        <v>1321322.3999999999</v>
      </c>
      <c r="H29" s="15">
        <v>981841.20000000007</v>
      </c>
      <c r="I29" s="15">
        <v>922150.2</v>
      </c>
      <c r="J29" s="15">
        <v>564307.20000000007</v>
      </c>
      <c r="K29" s="15">
        <v>206464.2</v>
      </c>
      <c r="L29" s="15">
        <v>206464.2</v>
      </c>
      <c r="M29" s="15">
        <v>64236</v>
      </c>
      <c r="N29" s="15">
        <v>10368781.199999999</v>
      </c>
    </row>
    <row r="30" spans="2:14" x14ac:dyDescent="0.2">
      <c r="B30" s="27"/>
      <c r="C30" t="s">
        <v>27</v>
      </c>
      <c r="D30" s="15">
        <v>4260093.83</v>
      </c>
      <c r="E30" s="15">
        <v>3433760.05</v>
      </c>
      <c r="F30" s="15">
        <v>4517186.2300000004</v>
      </c>
      <c r="G30" s="15">
        <v>2644171.08</v>
      </c>
      <c r="H30" s="15">
        <v>1964816.54</v>
      </c>
      <c r="I30" s="15">
        <v>1845365.5899999999</v>
      </c>
      <c r="J30" s="15">
        <v>1129266.24</v>
      </c>
      <c r="K30" s="15">
        <v>413166.89</v>
      </c>
      <c r="L30" s="15">
        <v>413166.89</v>
      </c>
      <c r="M30" s="15">
        <v>128546.2</v>
      </c>
      <c r="N30" s="15">
        <v>20749539.539999999</v>
      </c>
    </row>
    <row r="31" spans="2:14" x14ac:dyDescent="0.2">
      <c r="B31" s="27"/>
      <c r="C31" t="s">
        <v>28</v>
      </c>
      <c r="D31" s="15">
        <v>492157.29000000004</v>
      </c>
      <c r="E31" s="15">
        <v>396693.14999999997</v>
      </c>
      <c r="F31" s="15">
        <v>521858.49</v>
      </c>
      <c r="G31" s="15">
        <v>305474.03999999998</v>
      </c>
      <c r="H31" s="15">
        <v>226990.02000000002</v>
      </c>
      <c r="I31" s="15">
        <v>213190.16999999998</v>
      </c>
      <c r="J31" s="15">
        <v>130461.12000000001</v>
      </c>
      <c r="K31" s="15">
        <v>47732.07</v>
      </c>
      <c r="L31" s="15">
        <v>47732.07</v>
      </c>
      <c r="M31" s="15">
        <v>14850.6</v>
      </c>
      <c r="N31" s="15">
        <v>2397139.02</v>
      </c>
    </row>
    <row r="32" spans="2:14" x14ac:dyDescent="0.2">
      <c r="B32" s="27"/>
      <c r="C32" t="s">
        <v>29</v>
      </c>
      <c r="D32" s="15">
        <v>12528055.270000001</v>
      </c>
      <c r="E32" s="15">
        <v>10097978.449999999</v>
      </c>
      <c r="F32" s="15">
        <v>13284110.870000001</v>
      </c>
      <c r="G32" s="15">
        <v>7775960.5199999996</v>
      </c>
      <c r="H32" s="15">
        <v>5778119.2600000007</v>
      </c>
      <c r="I32" s="15">
        <v>5426838.71</v>
      </c>
      <c r="J32" s="15">
        <v>3320938.56</v>
      </c>
      <c r="K32" s="15">
        <v>1215038.4099999999</v>
      </c>
      <c r="L32" s="15">
        <v>1215038.4099999999</v>
      </c>
      <c r="M32" s="15">
        <v>378027.8</v>
      </c>
      <c r="N32" s="15">
        <v>61020106.259999998</v>
      </c>
    </row>
    <row r="33" spans="1:19" x14ac:dyDescent="0.2">
      <c r="B33" s="27"/>
      <c r="C33" t="s">
        <v>31</v>
      </c>
      <c r="D33" s="15">
        <v>8694427.5</v>
      </c>
      <c r="E33" s="15">
        <v>7007962.4999999991</v>
      </c>
      <c r="F33" s="15">
        <v>9219127.5</v>
      </c>
      <c r="G33" s="15">
        <v>5396490</v>
      </c>
      <c r="H33" s="15">
        <v>4009995.0000000005</v>
      </c>
      <c r="I33" s="15">
        <v>3766207.4999999995</v>
      </c>
      <c r="J33" s="15">
        <v>2304720</v>
      </c>
      <c r="K33" s="15">
        <v>843232.5</v>
      </c>
      <c r="L33" s="15">
        <v>843232.5</v>
      </c>
      <c r="M33" s="15">
        <v>262350</v>
      </c>
      <c r="N33" s="15">
        <v>42347745</v>
      </c>
    </row>
    <row r="34" spans="1:19" x14ac:dyDescent="0.2">
      <c r="B34" s="27"/>
      <c r="C34" t="s">
        <v>32</v>
      </c>
      <c r="D34" s="15">
        <v>2526828.9700000002</v>
      </c>
      <c r="E34" s="15">
        <v>2036697.9499999997</v>
      </c>
      <c r="F34" s="15">
        <v>2679320.5700000003</v>
      </c>
      <c r="G34" s="15">
        <v>1568361.72</v>
      </c>
      <c r="H34" s="15">
        <v>1165409.8600000001</v>
      </c>
      <c r="I34" s="15">
        <v>1094558.8099999998</v>
      </c>
      <c r="J34" s="15">
        <v>669812.16</v>
      </c>
      <c r="K34" s="15">
        <v>245065.51</v>
      </c>
      <c r="L34" s="15">
        <v>245065.51</v>
      </c>
      <c r="M34" s="15">
        <v>76245.8</v>
      </c>
      <c r="N34" s="15">
        <v>12307366.859999999</v>
      </c>
    </row>
    <row r="35" spans="1:19" x14ac:dyDescent="0.2">
      <c r="B35" s="27"/>
      <c r="C35" t="s">
        <v>33</v>
      </c>
      <c r="D35" s="15">
        <v>635483.61</v>
      </c>
      <c r="E35" s="15">
        <v>512218.35</v>
      </c>
      <c r="F35" s="15">
        <v>673834.41</v>
      </c>
      <c r="G35" s="15">
        <v>394434.36</v>
      </c>
      <c r="H35" s="15">
        <v>293094.18</v>
      </c>
      <c r="I35" s="15">
        <v>275275.52999999997</v>
      </c>
      <c r="J35" s="15">
        <v>168454.08000000002</v>
      </c>
      <c r="K35" s="15">
        <v>61632.63</v>
      </c>
      <c r="L35" s="15">
        <v>61632.63</v>
      </c>
      <c r="M35" s="15">
        <v>19175.399999999998</v>
      </c>
      <c r="N35" s="15">
        <v>3095235.18</v>
      </c>
    </row>
    <row r="36" spans="1:19" x14ac:dyDescent="0.2">
      <c r="B36" s="27"/>
      <c r="C36" t="s">
        <v>34</v>
      </c>
      <c r="D36" s="15">
        <v>338994.85000000003</v>
      </c>
      <c r="E36" s="15">
        <v>273239.75</v>
      </c>
      <c r="F36" s="15">
        <v>359452.85000000003</v>
      </c>
      <c r="G36" s="15">
        <v>210408.6</v>
      </c>
      <c r="H36" s="15">
        <v>156349.30000000002</v>
      </c>
      <c r="I36" s="15">
        <v>146844.04999999999</v>
      </c>
      <c r="J36" s="15">
        <v>89860.800000000003</v>
      </c>
      <c r="K36" s="15">
        <v>32877.550000000003</v>
      </c>
      <c r="L36" s="15">
        <v>32877.550000000003</v>
      </c>
      <c r="M36" s="15">
        <v>10229</v>
      </c>
      <c r="N36" s="15">
        <v>1651134.3</v>
      </c>
    </row>
    <row r="37" spans="1:19" x14ac:dyDescent="0.2">
      <c r="B37" s="27"/>
      <c r="C37" t="s">
        <v>35</v>
      </c>
      <c r="D37" s="15">
        <v>837124.07000000007</v>
      </c>
      <c r="E37" s="15">
        <v>674746.45</v>
      </c>
      <c r="F37" s="15">
        <v>887643.67</v>
      </c>
      <c r="G37" s="15">
        <v>519589.32</v>
      </c>
      <c r="H37" s="15">
        <v>386093.66000000003</v>
      </c>
      <c r="I37" s="15">
        <v>362621.11</v>
      </c>
      <c r="J37" s="15">
        <v>221904.96000000002</v>
      </c>
      <c r="K37" s="15">
        <v>81188.81</v>
      </c>
      <c r="L37" s="15">
        <v>81188.81</v>
      </c>
      <c r="M37" s="15">
        <v>25259.8</v>
      </c>
      <c r="N37" s="15">
        <v>4077360.66</v>
      </c>
    </row>
    <row r="38" spans="1:19" x14ac:dyDescent="0.2">
      <c r="B38" s="27"/>
      <c r="C38" t="s">
        <v>36</v>
      </c>
      <c r="D38" s="15">
        <v>867686.3</v>
      </c>
      <c r="E38" s="15">
        <v>699380.5</v>
      </c>
      <c r="F38" s="15">
        <v>920050.3</v>
      </c>
      <c r="G38" s="15">
        <v>538558.79999999993</v>
      </c>
      <c r="H38" s="15">
        <v>400189.4</v>
      </c>
      <c r="I38" s="15">
        <v>375859.89999999997</v>
      </c>
      <c r="J38" s="15">
        <v>230006.40000000002</v>
      </c>
      <c r="K38" s="15">
        <v>84152.9</v>
      </c>
      <c r="L38" s="15">
        <v>84152.9</v>
      </c>
      <c r="M38" s="15">
        <v>26182</v>
      </c>
      <c r="N38" s="15">
        <v>4226219.4000000004</v>
      </c>
    </row>
    <row r="39" spans="1:19" x14ac:dyDescent="0.2">
      <c r="B39" s="27"/>
      <c r="C39" t="s">
        <v>37</v>
      </c>
      <c r="D39" s="15">
        <v>1943687.57</v>
      </c>
      <c r="E39" s="15">
        <v>1566668.95</v>
      </c>
      <c r="F39" s="15">
        <v>2060987.1700000002</v>
      </c>
      <c r="G39" s="15">
        <v>1206415.32</v>
      </c>
      <c r="H39" s="15">
        <v>896456.66</v>
      </c>
      <c r="I39" s="15">
        <v>841956.61</v>
      </c>
      <c r="J39" s="15">
        <v>515232.96</v>
      </c>
      <c r="K39" s="15">
        <v>188509.31</v>
      </c>
      <c r="L39" s="15">
        <v>188509.31</v>
      </c>
      <c r="M39" s="15">
        <v>58649.799999999996</v>
      </c>
      <c r="N39" s="15">
        <v>9467073.6600000001</v>
      </c>
    </row>
    <row r="40" spans="1:19" x14ac:dyDescent="0.2">
      <c r="B40" s="27"/>
      <c r="C40" t="s">
        <v>38</v>
      </c>
      <c r="D40" s="15">
        <v>1480336.06</v>
      </c>
      <c r="E40" s="15">
        <v>1193194.0999999999</v>
      </c>
      <c r="F40" s="15">
        <v>1569672.86</v>
      </c>
      <c r="G40" s="15">
        <v>918820.55999999994</v>
      </c>
      <c r="H40" s="15">
        <v>682752.28</v>
      </c>
      <c r="I40" s="15">
        <v>641244.38</v>
      </c>
      <c r="J40" s="15">
        <v>392407.68</v>
      </c>
      <c r="K40" s="15">
        <v>143570.98000000001</v>
      </c>
      <c r="L40" s="15">
        <v>143570.98000000001</v>
      </c>
      <c r="M40" s="15">
        <v>44668.4</v>
      </c>
      <c r="N40" s="15">
        <v>7210238.2800000003</v>
      </c>
    </row>
    <row r="41" spans="1:19" x14ac:dyDescent="0.2">
      <c r="B41" s="27"/>
      <c r="C41" t="s">
        <v>39</v>
      </c>
      <c r="D41" s="15">
        <v>271898.46000000002</v>
      </c>
      <c r="E41" s="15">
        <v>219158.09999999998</v>
      </c>
      <c r="F41" s="15">
        <v>288307.26</v>
      </c>
      <c r="G41" s="15">
        <v>168762.96</v>
      </c>
      <c r="H41" s="15">
        <v>125403.48000000001</v>
      </c>
      <c r="I41" s="15">
        <v>117779.57999999999</v>
      </c>
      <c r="J41" s="15">
        <v>72074.880000000005</v>
      </c>
      <c r="K41" s="15">
        <v>26370.18</v>
      </c>
      <c r="L41" s="15">
        <v>26370.18</v>
      </c>
      <c r="M41" s="15">
        <v>8204.4</v>
      </c>
      <c r="N41" s="15">
        <v>1324329.48</v>
      </c>
    </row>
    <row r="42" spans="1:19" x14ac:dyDescent="0.2">
      <c r="B42" s="27"/>
      <c r="C42" t="s">
        <v>40</v>
      </c>
      <c r="D42" s="15">
        <v>1832679.9300000002</v>
      </c>
      <c r="E42" s="15">
        <v>1477193.5499999998</v>
      </c>
      <c r="F42" s="15">
        <v>1943280.33</v>
      </c>
      <c r="G42" s="15">
        <v>1137514.68</v>
      </c>
      <c r="H42" s="15">
        <v>845258.34000000008</v>
      </c>
      <c r="I42" s="15">
        <v>793870.8899999999</v>
      </c>
      <c r="J42" s="15">
        <v>485807.04000000004</v>
      </c>
      <c r="K42" s="15">
        <v>177743.19</v>
      </c>
      <c r="L42" s="15">
        <v>177743.19</v>
      </c>
      <c r="M42" s="15">
        <v>55300.2</v>
      </c>
      <c r="N42" s="15">
        <v>8926391.3399999999</v>
      </c>
    </row>
    <row r="43" spans="1:19" x14ac:dyDescent="0.2">
      <c r="C43" t="s">
        <v>94</v>
      </c>
      <c r="D43" s="15">
        <v>87406221.349999994</v>
      </c>
      <c r="E43" s="15">
        <v>70451967.250000015</v>
      </c>
      <c r="F43" s="15">
        <v>92681099.349999994</v>
      </c>
      <c r="G43" s="15">
        <v>54251622.599999979</v>
      </c>
      <c r="H43" s="15">
        <v>40313006.300000004</v>
      </c>
      <c r="I43" s="15">
        <v>37862178.549999997</v>
      </c>
      <c r="J43" s="15">
        <v>23169652.79999999</v>
      </c>
      <c r="K43" s="15">
        <v>8477127.0499999989</v>
      </c>
      <c r="L43" s="15">
        <v>8477127.0499999989</v>
      </c>
      <c r="M43" s="15">
        <v>2637439</v>
      </c>
      <c r="N43" s="15">
        <v>425727441.30000007</v>
      </c>
    </row>
    <row r="46" spans="1:19" ht="14.25" x14ac:dyDescent="0.2">
      <c r="A46" s="18" t="s">
        <v>96</v>
      </c>
      <c r="B46" s="16" t="s">
        <v>87</v>
      </c>
      <c r="C46" s="16" t="s">
        <v>0</v>
      </c>
      <c r="D46" s="16" t="s">
        <v>72</v>
      </c>
      <c r="E46" s="16" t="s">
        <v>73</v>
      </c>
      <c r="F46" s="16" t="s">
        <v>74</v>
      </c>
      <c r="G46" s="16" t="s">
        <v>75</v>
      </c>
      <c r="H46" s="16" t="s">
        <v>76</v>
      </c>
      <c r="I46" s="16" t="s">
        <v>77</v>
      </c>
      <c r="J46" s="16" t="s">
        <v>78</v>
      </c>
      <c r="K46" s="16" t="s">
        <v>79</v>
      </c>
      <c r="L46" s="16" t="s">
        <v>80</v>
      </c>
      <c r="M46" s="16" t="s">
        <v>81</v>
      </c>
      <c r="N46" s="16" t="s">
        <v>82</v>
      </c>
    </row>
    <row r="47" spans="1:19" ht="14.25" x14ac:dyDescent="0.2">
      <c r="A47" s="18"/>
      <c r="B47" s="16" t="s">
        <v>97</v>
      </c>
      <c r="C47" s="16" t="s">
        <v>98</v>
      </c>
      <c r="D47" s="20">
        <v>14723969.060000001</v>
      </c>
      <c r="E47" s="20">
        <v>14723969.060000001</v>
      </c>
      <c r="F47" s="20">
        <v>14723969.060000001</v>
      </c>
      <c r="G47" s="20">
        <v>14723969.060000001</v>
      </c>
      <c r="H47" s="20">
        <v>14723969.060000001</v>
      </c>
      <c r="I47" s="20">
        <v>14723969.060000001</v>
      </c>
      <c r="J47" s="20">
        <v>14723969.060000001</v>
      </c>
      <c r="K47" s="20">
        <v>14723969.060000001</v>
      </c>
      <c r="L47" s="20">
        <v>14723969.060000001</v>
      </c>
      <c r="M47" s="20">
        <v>14723969.060000001</v>
      </c>
      <c r="N47" s="20">
        <v>14723969.060000001</v>
      </c>
      <c r="O47">
        <v>14723969.060000001</v>
      </c>
      <c r="P47">
        <v>14723969.060000001</v>
      </c>
      <c r="Q47">
        <v>14723969.060000001</v>
      </c>
      <c r="R47">
        <v>14723969.060000001</v>
      </c>
      <c r="S47">
        <v>14723969.060000001</v>
      </c>
    </row>
    <row r="48" spans="1:19" x14ac:dyDescent="0.2">
      <c r="B48" s="27" t="s">
        <v>92</v>
      </c>
      <c r="C48" t="s">
        <v>41</v>
      </c>
      <c r="D48" s="15">
        <v>1131153.8</v>
      </c>
      <c r="E48" s="15">
        <v>911742.99999999988</v>
      </c>
      <c r="F48" s="15">
        <v>1199417.8</v>
      </c>
      <c r="G48" s="15">
        <v>702088.79999999993</v>
      </c>
      <c r="H48" s="15">
        <v>521704.4</v>
      </c>
      <c r="I48" s="15">
        <v>489987.39999999997</v>
      </c>
      <c r="J48" s="15">
        <v>299846.40000000002</v>
      </c>
      <c r="K48" s="15">
        <v>109705.4</v>
      </c>
      <c r="L48" s="15">
        <v>109705.4</v>
      </c>
      <c r="M48" s="15">
        <v>34132</v>
      </c>
      <c r="N48" s="15">
        <v>5509484.4000000004</v>
      </c>
    </row>
    <row r="49" spans="2:14" x14ac:dyDescent="0.2">
      <c r="B49" s="27"/>
      <c r="C49" t="s">
        <v>42</v>
      </c>
      <c r="D49" s="15">
        <v>1215112.1100000001</v>
      </c>
      <c r="E49" s="15">
        <v>979415.85</v>
      </c>
      <c r="F49" s="15">
        <v>1288442.9099999999</v>
      </c>
      <c r="G49" s="15">
        <v>754200.36</v>
      </c>
      <c r="H49" s="15">
        <v>560427.18000000005</v>
      </c>
      <c r="I49" s="15">
        <v>526356.02999999991</v>
      </c>
      <c r="J49" s="15">
        <v>322102.08</v>
      </c>
      <c r="K49" s="15">
        <v>117848.13</v>
      </c>
      <c r="L49" s="15">
        <v>117848.13</v>
      </c>
      <c r="M49" s="15">
        <v>36665.4</v>
      </c>
      <c r="N49" s="15">
        <v>5918418.1799999997</v>
      </c>
    </row>
    <row r="50" spans="2:14" x14ac:dyDescent="0.2">
      <c r="B50" s="27"/>
      <c r="C50" t="s">
        <v>43</v>
      </c>
      <c r="D50" s="15">
        <v>1909612.4400000002</v>
      </c>
      <c r="E50" s="15">
        <v>1539203.4</v>
      </c>
      <c r="F50" s="15">
        <v>2024855.6400000001</v>
      </c>
      <c r="G50" s="15">
        <v>1185265.44</v>
      </c>
      <c r="H50" s="15">
        <v>880740.72000000009</v>
      </c>
      <c r="I50" s="15">
        <v>827196.11999999988</v>
      </c>
      <c r="J50" s="15">
        <v>506200.32000000001</v>
      </c>
      <c r="K50" s="15">
        <v>185204.52</v>
      </c>
      <c r="L50" s="15">
        <v>185204.52</v>
      </c>
      <c r="M50" s="15">
        <v>57621.599999999999</v>
      </c>
      <c r="N50" s="15">
        <v>9301104.7200000007</v>
      </c>
    </row>
    <row r="51" spans="2:14" x14ac:dyDescent="0.2">
      <c r="B51" s="27"/>
      <c r="C51" t="s">
        <v>44</v>
      </c>
      <c r="D51" s="15">
        <v>750004.15</v>
      </c>
      <c r="E51" s="15">
        <v>604525.25</v>
      </c>
      <c r="F51" s="15">
        <v>795266.15</v>
      </c>
      <c r="G51" s="15">
        <v>465515.39999999997</v>
      </c>
      <c r="H51" s="15">
        <v>345912.7</v>
      </c>
      <c r="I51" s="15">
        <v>324882.94999999995</v>
      </c>
      <c r="J51" s="15">
        <v>198811.2</v>
      </c>
      <c r="K51" s="15">
        <v>72739.45</v>
      </c>
      <c r="L51" s="15">
        <v>72739.45</v>
      </c>
      <c r="M51" s="15">
        <v>22631</v>
      </c>
      <c r="N51" s="15">
        <v>3653027.7</v>
      </c>
    </row>
    <row r="52" spans="2:14" x14ac:dyDescent="0.2">
      <c r="B52" s="27"/>
      <c r="C52" t="s">
        <v>45</v>
      </c>
      <c r="D52" s="15">
        <v>3575429.62</v>
      </c>
      <c r="E52" s="15">
        <v>2881900.6999999997</v>
      </c>
      <c r="F52" s="15">
        <v>3791203.22</v>
      </c>
      <c r="G52" s="15">
        <v>2219211.12</v>
      </c>
      <c r="H52" s="15">
        <v>1649039.56</v>
      </c>
      <c r="I52" s="15">
        <v>1548786.2599999998</v>
      </c>
      <c r="J52" s="15">
        <v>947775.3600000001</v>
      </c>
      <c r="K52" s="15">
        <v>346764.46</v>
      </c>
      <c r="L52" s="15">
        <v>346764.46</v>
      </c>
      <c r="M52" s="15">
        <v>107886.8</v>
      </c>
      <c r="N52" s="15">
        <v>17414761.559999999</v>
      </c>
    </row>
    <row r="53" spans="2:14" x14ac:dyDescent="0.2">
      <c r="B53" s="27"/>
      <c r="C53" t="s">
        <v>100</v>
      </c>
      <c r="D53" s="15">
        <v>484780.2</v>
      </c>
      <c r="E53" s="15">
        <v>390746.99999999994</v>
      </c>
      <c r="F53" s="15">
        <v>514036.2</v>
      </c>
      <c r="G53" s="15">
        <v>300895.2</v>
      </c>
      <c r="H53" s="15">
        <v>223587.6</v>
      </c>
      <c r="I53" s="15">
        <v>209994.59999999998</v>
      </c>
      <c r="J53" s="15">
        <v>128505.60000000001</v>
      </c>
      <c r="K53" s="15">
        <v>47016.6</v>
      </c>
      <c r="L53" s="15">
        <v>47016.6</v>
      </c>
      <c r="M53" s="15">
        <v>14628</v>
      </c>
      <c r="N53" s="15">
        <v>2361207.6</v>
      </c>
    </row>
    <row r="54" spans="2:14" x14ac:dyDescent="0.2">
      <c r="B54" s="27"/>
      <c r="C54" t="s">
        <v>46</v>
      </c>
      <c r="D54" s="15">
        <v>1250241.1100000001</v>
      </c>
      <c r="E54" s="15">
        <v>1007730.85</v>
      </c>
      <c r="F54" s="15">
        <v>1325691.9099999999</v>
      </c>
      <c r="G54" s="15">
        <v>776004.36</v>
      </c>
      <c r="H54" s="15">
        <v>576629.18000000005</v>
      </c>
      <c r="I54" s="15">
        <v>541573.02999999991</v>
      </c>
      <c r="J54" s="15">
        <v>331414.08</v>
      </c>
      <c r="K54" s="15">
        <v>121255.13</v>
      </c>
      <c r="L54" s="15">
        <v>121255.13</v>
      </c>
      <c r="M54" s="15">
        <v>37725.4</v>
      </c>
      <c r="N54" s="15">
        <v>6089520.1799999997</v>
      </c>
    </row>
    <row r="55" spans="2:14" x14ac:dyDescent="0.2">
      <c r="B55" s="27" t="s">
        <v>88</v>
      </c>
      <c r="C55" t="s">
        <v>5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</row>
    <row r="56" spans="2:14" x14ac:dyDescent="0.2">
      <c r="B56" s="27"/>
      <c r="C56" t="s">
        <v>8</v>
      </c>
      <c r="D56" s="15">
        <v>0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</row>
    <row r="57" spans="2:14" x14ac:dyDescent="0.2">
      <c r="B57" s="27"/>
      <c r="C57" t="s">
        <v>10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</row>
    <row r="58" spans="2:14" x14ac:dyDescent="0.2">
      <c r="B58" s="27"/>
      <c r="C58" t="s">
        <v>12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</row>
    <row r="59" spans="2:14" x14ac:dyDescent="0.2">
      <c r="B59" s="27"/>
      <c r="C59" t="s">
        <v>47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</row>
    <row r="60" spans="2:14" x14ac:dyDescent="0.2">
      <c r="B60" s="27"/>
      <c r="C60" t="s">
        <v>48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</row>
    <row r="61" spans="2:14" x14ac:dyDescent="0.2">
      <c r="B61" s="27"/>
      <c r="C61" t="s">
        <v>49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</row>
    <row r="62" spans="2:14" x14ac:dyDescent="0.2">
      <c r="B62" s="27"/>
      <c r="C62" t="s">
        <v>50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</row>
    <row r="63" spans="2:14" x14ac:dyDescent="0.2">
      <c r="B63" t="s">
        <v>89</v>
      </c>
      <c r="C63" t="s">
        <v>15</v>
      </c>
      <c r="D63" s="15">
        <v>4534100.03</v>
      </c>
      <c r="E63" s="15">
        <v>3654617.05</v>
      </c>
      <c r="F63" s="15">
        <v>4807728.43</v>
      </c>
      <c r="G63" s="15">
        <v>2814242.28</v>
      </c>
      <c r="H63" s="15">
        <v>2091192.1400000001</v>
      </c>
      <c r="I63" s="15">
        <v>1964058.19</v>
      </c>
      <c r="J63" s="15">
        <v>1201899.8400000001</v>
      </c>
      <c r="K63" s="15">
        <v>439741.49</v>
      </c>
      <c r="L63" s="15">
        <v>439741.49</v>
      </c>
      <c r="M63" s="15">
        <v>136814.19999999998</v>
      </c>
      <c r="N63" s="15">
        <v>22084135.140000001</v>
      </c>
    </row>
    <row r="64" spans="2:14" x14ac:dyDescent="0.2">
      <c r="B64" t="s">
        <v>91</v>
      </c>
      <c r="C64" t="s">
        <v>23</v>
      </c>
      <c r="D64" s="15">
        <v>0</v>
      </c>
      <c r="E64" s="15">
        <v>0</v>
      </c>
      <c r="F64" s="15">
        <v>0</v>
      </c>
      <c r="G64" s="15">
        <v>0</v>
      </c>
      <c r="H64" s="15">
        <v>0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0</v>
      </c>
    </row>
    <row r="65" spans="2:14" x14ac:dyDescent="0.2">
      <c r="B65" s="27" t="s">
        <v>90</v>
      </c>
      <c r="C65" t="s">
        <v>18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</row>
    <row r="66" spans="2:14" x14ac:dyDescent="0.2">
      <c r="B66" s="27"/>
      <c r="C66" t="s">
        <v>19</v>
      </c>
      <c r="D66" s="15">
        <v>1086891.26</v>
      </c>
      <c r="E66" s="15">
        <v>876066.1</v>
      </c>
      <c r="F66" s="15">
        <v>1152484.06</v>
      </c>
      <c r="G66" s="15">
        <v>674615.76</v>
      </c>
      <c r="H66" s="15">
        <v>501289.88</v>
      </c>
      <c r="I66" s="15">
        <v>470813.98</v>
      </c>
      <c r="J66" s="15">
        <v>288113.28000000003</v>
      </c>
      <c r="K66" s="15">
        <v>105412.58</v>
      </c>
      <c r="L66" s="15">
        <v>105412.58</v>
      </c>
      <c r="M66" s="15">
        <v>32796.400000000001</v>
      </c>
      <c r="N66" s="15">
        <v>5293895.88</v>
      </c>
    </row>
    <row r="67" spans="2:14" x14ac:dyDescent="0.2">
      <c r="B67" s="27"/>
      <c r="C67" t="s">
        <v>20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</row>
    <row r="68" spans="2:14" x14ac:dyDescent="0.2">
      <c r="B68" s="27"/>
      <c r="C68" t="s">
        <v>21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</row>
    <row r="69" spans="2:14" x14ac:dyDescent="0.2">
      <c r="B69" s="27"/>
      <c r="C69" t="s">
        <v>22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</row>
    <row r="70" spans="2:14" x14ac:dyDescent="0.2">
      <c r="B70" s="27"/>
      <c r="C70" t="s">
        <v>24</v>
      </c>
      <c r="D70" s="15">
        <v>2368748.4700000002</v>
      </c>
      <c r="E70" s="15">
        <v>1909280.45</v>
      </c>
      <c r="F70" s="15">
        <v>2511700.0699999998</v>
      </c>
      <c r="G70" s="15">
        <v>1470243.72</v>
      </c>
      <c r="H70" s="15">
        <v>1092500.8600000001</v>
      </c>
      <c r="I70" s="15">
        <v>1026082.3099999999</v>
      </c>
      <c r="J70" s="15">
        <v>627908.16</v>
      </c>
      <c r="K70" s="15">
        <v>229734.01</v>
      </c>
      <c r="L70" s="15">
        <v>229734.01</v>
      </c>
      <c r="M70" s="15">
        <v>71475.8</v>
      </c>
      <c r="N70" s="15">
        <v>11537407.859999999</v>
      </c>
    </row>
    <row r="71" spans="2:14" x14ac:dyDescent="0.2">
      <c r="B71" s="27"/>
      <c r="C71" t="s">
        <v>25</v>
      </c>
      <c r="D71" s="15">
        <v>739465.45000000007</v>
      </c>
      <c r="E71" s="15">
        <v>596030.75</v>
      </c>
      <c r="F71" s="15">
        <v>784091.45000000007</v>
      </c>
      <c r="G71" s="15">
        <v>458974.2</v>
      </c>
      <c r="H71" s="15">
        <v>341052.10000000003</v>
      </c>
      <c r="I71" s="15">
        <v>320317.84999999998</v>
      </c>
      <c r="J71" s="15">
        <v>196017.6</v>
      </c>
      <c r="K71" s="15">
        <v>71717.350000000006</v>
      </c>
      <c r="L71" s="15">
        <v>71717.350000000006</v>
      </c>
      <c r="M71" s="15">
        <v>22313</v>
      </c>
      <c r="N71" s="15">
        <v>3601697.1</v>
      </c>
    </row>
    <row r="72" spans="2:14" x14ac:dyDescent="0.2">
      <c r="B72" s="27"/>
      <c r="C72" t="s">
        <v>26</v>
      </c>
      <c r="D72" s="15">
        <v>2128817.4</v>
      </c>
      <c r="E72" s="15">
        <v>1715888.9999999998</v>
      </c>
      <c r="F72" s="15">
        <v>2257289.4</v>
      </c>
      <c r="G72" s="15">
        <v>1321322.3999999999</v>
      </c>
      <c r="H72" s="15">
        <v>981841.20000000007</v>
      </c>
      <c r="I72" s="15">
        <v>922150.2</v>
      </c>
      <c r="J72" s="15">
        <v>564307.20000000007</v>
      </c>
      <c r="K72" s="15">
        <v>206464.2</v>
      </c>
      <c r="L72" s="15">
        <v>206464.2</v>
      </c>
      <c r="M72" s="15">
        <v>64236</v>
      </c>
      <c r="N72" s="15">
        <v>10368781.199999999</v>
      </c>
    </row>
    <row r="73" spans="2:14" x14ac:dyDescent="0.2">
      <c r="B73" s="27"/>
      <c r="C73" t="s">
        <v>27</v>
      </c>
      <c r="D73" s="15">
        <v>4260093.83</v>
      </c>
      <c r="E73" s="15">
        <v>3433760.05</v>
      </c>
      <c r="F73" s="15">
        <v>4517186.2300000004</v>
      </c>
      <c r="G73" s="15">
        <v>2644171.08</v>
      </c>
      <c r="H73" s="15">
        <v>1964816.54</v>
      </c>
      <c r="I73" s="15">
        <v>1845365.5899999999</v>
      </c>
      <c r="J73" s="15">
        <v>1129266.24</v>
      </c>
      <c r="K73" s="15">
        <v>413166.89</v>
      </c>
      <c r="L73" s="15">
        <v>413166.89</v>
      </c>
      <c r="M73" s="15">
        <v>128546.2</v>
      </c>
      <c r="N73" s="15">
        <v>20749539.539999999</v>
      </c>
    </row>
    <row r="74" spans="2:14" x14ac:dyDescent="0.2">
      <c r="B74" s="27"/>
      <c r="C74" t="s">
        <v>28</v>
      </c>
      <c r="D74" s="15">
        <v>492157.29000000004</v>
      </c>
      <c r="E74" s="15">
        <v>396693.14999999997</v>
      </c>
      <c r="F74" s="15">
        <v>521858.49</v>
      </c>
      <c r="G74" s="15">
        <v>305474.03999999998</v>
      </c>
      <c r="H74" s="15">
        <v>226990.02000000002</v>
      </c>
      <c r="I74" s="15">
        <v>213190.16999999998</v>
      </c>
      <c r="J74" s="15">
        <v>130461.12000000001</v>
      </c>
      <c r="K74" s="15">
        <v>47732.07</v>
      </c>
      <c r="L74" s="15">
        <v>47732.07</v>
      </c>
      <c r="M74" s="15">
        <v>14850.6</v>
      </c>
      <c r="N74" s="15">
        <v>2397139.02</v>
      </c>
    </row>
    <row r="75" spans="2:14" x14ac:dyDescent="0.2">
      <c r="B75" s="27"/>
      <c r="C75" t="s">
        <v>29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</row>
    <row r="76" spans="2:14" x14ac:dyDescent="0.2">
      <c r="B76" s="27"/>
      <c r="C76" t="s">
        <v>31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</row>
    <row r="77" spans="2:14" x14ac:dyDescent="0.2">
      <c r="B77" s="27"/>
      <c r="C77" t="s">
        <v>32</v>
      </c>
      <c r="D77" s="15">
        <v>2526828.9700000002</v>
      </c>
      <c r="E77" s="15">
        <v>2036697.9499999997</v>
      </c>
      <c r="F77" s="15">
        <v>2679320.5700000003</v>
      </c>
      <c r="G77" s="15">
        <v>1568361.72</v>
      </c>
      <c r="H77" s="15">
        <v>1165409.8600000001</v>
      </c>
      <c r="I77" s="15">
        <v>1094558.8099999998</v>
      </c>
      <c r="J77" s="15">
        <v>669812.16</v>
      </c>
      <c r="K77" s="15">
        <v>245065.51</v>
      </c>
      <c r="L77" s="15">
        <v>245065.51</v>
      </c>
      <c r="M77" s="15">
        <v>76245.8</v>
      </c>
      <c r="N77" s="15">
        <v>12307366.859999999</v>
      </c>
    </row>
    <row r="78" spans="2:14" x14ac:dyDescent="0.2">
      <c r="B78" s="27"/>
      <c r="C78" t="s">
        <v>33</v>
      </c>
      <c r="D78" s="15">
        <v>635483.61</v>
      </c>
      <c r="E78" s="15">
        <v>512218.35</v>
      </c>
      <c r="F78" s="15">
        <v>673834.41</v>
      </c>
      <c r="G78" s="15">
        <v>394434.36</v>
      </c>
      <c r="H78" s="15">
        <v>293094.18</v>
      </c>
      <c r="I78" s="15">
        <v>275275.52999999997</v>
      </c>
      <c r="J78" s="15">
        <v>168454.08000000002</v>
      </c>
      <c r="K78" s="15">
        <v>61632.63</v>
      </c>
      <c r="L78" s="15">
        <v>61632.63</v>
      </c>
      <c r="M78" s="15">
        <v>19175.399999999998</v>
      </c>
      <c r="N78" s="15">
        <v>3095235.18</v>
      </c>
    </row>
    <row r="79" spans="2:14" x14ac:dyDescent="0.2">
      <c r="B79" s="27"/>
      <c r="C79" t="s">
        <v>34</v>
      </c>
      <c r="D79" s="15">
        <v>338994.85000000003</v>
      </c>
      <c r="E79" s="15">
        <v>273239.75</v>
      </c>
      <c r="F79" s="15">
        <v>359452.85000000003</v>
      </c>
      <c r="G79" s="15">
        <v>210408.6</v>
      </c>
      <c r="H79" s="15">
        <v>156349.30000000002</v>
      </c>
      <c r="I79" s="15">
        <v>146844.04999999999</v>
      </c>
      <c r="J79" s="15">
        <v>89860.800000000003</v>
      </c>
      <c r="K79" s="15">
        <v>32877.550000000003</v>
      </c>
      <c r="L79" s="15">
        <v>32877.550000000003</v>
      </c>
      <c r="M79" s="15">
        <v>10229</v>
      </c>
      <c r="N79" s="15">
        <v>1651134.3</v>
      </c>
    </row>
    <row r="80" spans="2:14" x14ac:dyDescent="0.2">
      <c r="B80" s="27"/>
      <c r="C80" t="s">
        <v>35</v>
      </c>
      <c r="D80" s="15">
        <v>837124.07000000007</v>
      </c>
      <c r="E80" s="15">
        <v>674746.45</v>
      </c>
      <c r="F80" s="15">
        <v>887643.67</v>
      </c>
      <c r="G80" s="15">
        <v>519589.32</v>
      </c>
      <c r="H80" s="15">
        <v>386093.66000000003</v>
      </c>
      <c r="I80" s="15">
        <v>362621.11</v>
      </c>
      <c r="J80" s="15">
        <v>221904.96000000002</v>
      </c>
      <c r="K80" s="15">
        <v>81188.81</v>
      </c>
      <c r="L80" s="15">
        <v>81188.81</v>
      </c>
      <c r="M80" s="15">
        <v>25259.8</v>
      </c>
      <c r="N80" s="15">
        <v>4077360.66</v>
      </c>
    </row>
    <row r="81" spans="1:14" x14ac:dyDescent="0.2">
      <c r="B81" s="27"/>
      <c r="C81" t="s">
        <v>36</v>
      </c>
      <c r="D81" s="15">
        <v>867686.3</v>
      </c>
      <c r="E81" s="15">
        <v>699380.5</v>
      </c>
      <c r="F81" s="15">
        <v>920050.3</v>
      </c>
      <c r="G81" s="15">
        <v>538558.79999999993</v>
      </c>
      <c r="H81" s="15">
        <v>400189.4</v>
      </c>
      <c r="I81" s="15">
        <v>375859.89999999997</v>
      </c>
      <c r="J81" s="15">
        <v>230006.40000000002</v>
      </c>
      <c r="K81" s="15">
        <v>84152.9</v>
      </c>
      <c r="L81" s="15">
        <v>84152.9</v>
      </c>
      <c r="M81" s="15">
        <v>26182</v>
      </c>
      <c r="N81" s="15">
        <v>4226219.4000000004</v>
      </c>
    </row>
    <row r="82" spans="1:14" x14ac:dyDescent="0.2">
      <c r="B82" s="27"/>
      <c r="C82" t="s">
        <v>37</v>
      </c>
      <c r="D82" s="15">
        <v>1943687.57</v>
      </c>
      <c r="E82" s="15">
        <v>1566668.95</v>
      </c>
      <c r="F82" s="15">
        <v>2060987.1700000002</v>
      </c>
      <c r="G82" s="15">
        <v>1206415.32</v>
      </c>
      <c r="H82" s="15">
        <v>896456.66</v>
      </c>
      <c r="I82" s="15">
        <v>841956.61</v>
      </c>
      <c r="J82" s="15">
        <v>515232.96</v>
      </c>
      <c r="K82" s="15">
        <v>188509.31</v>
      </c>
      <c r="L82" s="15">
        <v>188509.31</v>
      </c>
      <c r="M82" s="15">
        <v>58649.799999999996</v>
      </c>
      <c r="N82" s="15">
        <v>9467073.6600000001</v>
      </c>
    </row>
    <row r="83" spans="1:14" x14ac:dyDescent="0.2">
      <c r="B83" s="27"/>
      <c r="C83" t="s">
        <v>38</v>
      </c>
      <c r="D83" s="15">
        <v>1480336.06</v>
      </c>
      <c r="E83" s="15">
        <v>1193194.0999999999</v>
      </c>
      <c r="F83" s="15">
        <v>1569672.86</v>
      </c>
      <c r="G83" s="15">
        <v>918820.55999999994</v>
      </c>
      <c r="H83" s="15">
        <v>682752.28</v>
      </c>
      <c r="I83" s="15">
        <v>641244.38</v>
      </c>
      <c r="J83" s="15">
        <v>392407.68</v>
      </c>
      <c r="K83" s="15">
        <v>143570.98000000001</v>
      </c>
      <c r="L83" s="15">
        <v>143570.98000000001</v>
      </c>
      <c r="M83" s="15">
        <v>44668.4</v>
      </c>
      <c r="N83" s="15">
        <v>7210238.2800000003</v>
      </c>
    </row>
    <row r="84" spans="1:14" x14ac:dyDescent="0.2">
      <c r="B84" s="27"/>
      <c r="C84" t="s">
        <v>39</v>
      </c>
      <c r="D84" s="15">
        <v>271898.46000000002</v>
      </c>
      <c r="E84" s="15">
        <v>219158.09999999998</v>
      </c>
      <c r="F84" s="15">
        <v>288307.26</v>
      </c>
      <c r="G84" s="15">
        <v>168762.96</v>
      </c>
      <c r="H84" s="15">
        <v>125403.48000000001</v>
      </c>
      <c r="I84" s="15">
        <v>117779.57999999999</v>
      </c>
      <c r="J84" s="15">
        <v>72074.880000000005</v>
      </c>
      <c r="K84" s="15">
        <v>26370.18</v>
      </c>
      <c r="L84" s="15">
        <v>26370.18</v>
      </c>
      <c r="M84" s="15">
        <v>8204.4</v>
      </c>
      <c r="N84" s="15">
        <v>1324329.48</v>
      </c>
    </row>
    <row r="85" spans="1:14" x14ac:dyDescent="0.2">
      <c r="B85" s="27"/>
      <c r="C85" t="s">
        <v>40</v>
      </c>
      <c r="D85" s="15">
        <v>1832679.9300000002</v>
      </c>
      <c r="E85" s="15">
        <v>1477193.5499999998</v>
      </c>
      <c r="F85" s="15">
        <v>1943280.33</v>
      </c>
      <c r="G85" s="15">
        <v>1137514.68</v>
      </c>
      <c r="H85" s="15">
        <v>845258.34000000008</v>
      </c>
      <c r="I85" s="15">
        <v>793870.8899999999</v>
      </c>
      <c r="J85" s="15">
        <v>485807.04000000004</v>
      </c>
      <c r="K85" s="15">
        <v>177743.19</v>
      </c>
      <c r="L85" s="15">
        <v>177743.19</v>
      </c>
      <c r="M85" s="15">
        <v>55300.2</v>
      </c>
      <c r="N85" s="15">
        <v>8926391.3399999999</v>
      </c>
    </row>
    <row r="86" spans="1:14" x14ac:dyDescent="0.2">
      <c r="C86" t="s">
        <v>55</v>
      </c>
      <c r="D86" s="15">
        <v>36176546.780000001</v>
      </c>
      <c r="E86" s="15">
        <v>29159353.300000001</v>
      </c>
      <c r="F86" s="15">
        <v>38359765.180000007</v>
      </c>
      <c r="G86" s="15">
        <v>22454195.280000001</v>
      </c>
      <c r="H86" s="15">
        <v>16685143.640000002</v>
      </c>
      <c r="I86" s="15">
        <v>15670770.939999998</v>
      </c>
      <c r="J86" s="15">
        <v>9589683.8400000017</v>
      </c>
      <c r="K86" s="15">
        <v>3508596.7399999998</v>
      </c>
      <c r="L86" s="15">
        <v>3508596.7399999998</v>
      </c>
      <c r="M86" s="15">
        <v>1091609.2</v>
      </c>
      <c r="N86" s="15">
        <v>176204261.64000002</v>
      </c>
    </row>
    <row r="89" spans="1:14" ht="14.25" x14ac:dyDescent="0.2">
      <c r="A89" s="17">
        <v>0.25</v>
      </c>
      <c r="B89" s="16" t="s">
        <v>87</v>
      </c>
      <c r="C89" s="16" t="s">
        <v>0</v>
      </c>
      <c r="D89" s="16" t="s">
        <v>72</v>
      </c>
      <c r="E89" s="16" t="s">
        <v>73</v>
      </c>
      <c r="F89" s="16" t="s">
        <v>74</v>
      </c>
      <c r="G89" s="16" t="s">
        <v>75</v>
      </c>
      <c r="H89" s="16" t="s">
        <v>76</v>
      </c>
      <c r="I89" s="16" t="s">
        <v>77</v>
      </c>
      <c r="J89" s="16" t="s">
        <v>78</v>
      </c>
      <c r="K89" s="16" t="s">
        <v>79</v>
      </c>
      <c r="L89" s="16" t="s">
        <v>80</v>
      </c>
      <c r="M89" s="16" t="s">
        <v>81</v>
      </c>
      <c r="N89" s="16" t="s">
        <v>82</v>
      </c>
    </row>
    <row r="90" spans="1:14" ht="14.25" x14ac:dyDescent="0.2">
      <c r="A90" s="17"/>
      <c r="B90" s="16" t="s">
        <v>97</v>
      </c>
      <c r="C90" s="16" t="s">
        <v>98</v>
      </c>
      <c r="D90" s="20">
        <v>14723969.060000001</v>
      </c>
      <c r="E90" s="20">
        <v>14723969.060000001</v>
      </c>
      <c r="F90" s="20">
        <v>14723969.060000001</v>
      </c>
      <c r="G90" s="20">
        <v>14723969.060000001</v>
      </c>
      <c r="H90" s="20">
        <v>14723969.060000001</v>
      </c>
      <c r="I90" s="20">
        <v>14723969.060000001</v>
      </c>
      <c r="J90" s="20">
        <v>14723969.060000001</v>
      </c>
      <c r="K90" s="20">
        <v>14723969.060000001</v>
      </c>
      <c r="L90" s="20">
        <v>14723969.060000001</v>
      </c>
      <c r="M90" s="20">
        <v>14723969.060000001</v>
      </c>
      <c r="N90" s="20">
        <v>14723969.060000001</v>
      </c>
    </row>
    <row r="91" spans="1:14" x14ac:dyDescent="0.2">
      <c r="B91" s="27" t="s">
        <v>92</v>
      </c>
      <c r="C91" t="s">
        <v>41</v>
      </c>
      <c r="D91" s="15">
        <v>1131153.8</v>
      </c>
      <c r="E91" s="15">
        <v>911742.99999999988</v>
      </c>
      <c r="F91" s="15">
        <v>1199417.8</v>
      </c>
      <c r="G91" s="15">
        <v>702088.79999999993</v>
      </c>
      <c r="H91" s="15">
        <v>521704.4</v>
      </c>
      <c r="I91" s="15">
        <v>489987.39999999997</v>
      </c>
      <c r="J91" s="15">
        <v>299846.40000000002</v>
      </c>
      <c r="K91" s="15">
        <v>109705.4</v>
      </c>
      <c r="L91" s="15">
        <v>109705.4</v>
      </c>
      <c r="M91" s="15">
        <v>34132</v>
      </c>
      <c r="N91" s="15">
        <v>5509484.4000000004</v>
      </c>
    </row>
    <row r="92" spans="1:14" x14ac:dyDescent="0.2">
      <c r="B92" s="27"/>
      <c r="C92" t="s">
        <v>42</v>
      </c>
      <c r="D92" s="15">
        <v>1215112.1100000001</v>
      </c>
      <c r="E92" s="15">
        <v>979415.85</v>
      </c>
      <c r="F92" s="15">
        <v>1288442.9099999999</v>
      </c>
      <c r="G92" s="15">
        <v>754200.36</v>
      </c>
      <c r="H92" s="15">
        <v>560427.18000000005</v>
      </c>
      <c r="I92" s="15">
        <v>526356.02999999991</v>
      </c>
      <c r="J92" s="15">
        <v>322102.08</v>
      </c>
      <c r="K92" s="15">
        <v>117848.13</v>
      </c>
      <c r="L92" s="15">
        <v>117848.13</v>
      </c>
      <c r="M92" s="15">
        <v>36665.4</v>
      </c>
      <c r="N92" s="15">
        <v>5918418.1799999997</v>
      </c>
    </row>
    <row r="93" spans="1:14" x14ac:dyDescent="0.2">
      <c r="B93" s="27"/>
      <c r="C93" t="s">
        <v>43</v>
      </c>
      <c r="D93" s="15">
        <v>1909612.4400000002</v>
      </c>
      <c r="E93" s="15">
        <v>1539203.4</v>
      </c>
      <c r="F93" s="15">
        <v>2024855.6400000001</v>
      </c>
      <c r="G93" s="15">
        <v>1185265.44</v>
      </c>
      <c r="H93" s="15">
        <v>880740.72000000009</v>
      </c>
      <c r="I93" s="15">
        <v>827196.11999999988</v>
      </c>
      <c r="J93" s="15">
        <v>506200.32000000001</v>
      </c>
      <c r="K93" s="15">
        <v>185204.52</v>
      </c>
      <c r="L93" s="15">
        <v>185204.52</v>
      </c>
      <c r="M93" s="15">
        <v>57621.599999999999</v>
      </c>
      <c r="N93" s="15">
        <v>9301104.7200000007</v>
      </c>
    </row>
    <row r="94" spans="1:14" x14ac:dyDescent="0.2">
      <c r="B94" s="27"/>
      <c r="C94" t="s">
        <v>44</v>
      </c>
      <c r="D94" s="15">
        <v>750004.15</v>
      </c>
      <c r="E94" s="15">
        <v>604525.25</v>
      </c>
      <c r="F94" s="15">
        <v>795266.15</v>
      </c>
      <c r="G94" s="15">
        <v>465515.39999999997</v>
      </c>
      <c r="H94" s="15">
        <v>345912.7</v>
      </c>
      <c r="I94" s="15">
        <v>324882.94999999995</v>
      </c>
      <c r="J94" s="15">
        <v>198811.2</v>
      </c>
      <c r="K94" s="15">
        <v>72739.45</v>
      </c>
      <c r="L94" s="15">
        <v>72739.45</v>
      </c>
      <c r="M94" s="15">
        <v>22631</v>
      </c>
      <c r="N94" s="15">
        <v>3653027.7</v>
      </c>
    </row>
    <row r="95" spans="1:14" x14ac:dyDescent="0.2">
      <c r="B95" s="27"/>
      <c r="C95" t="s">
        <v>45</v>
      </c>
      <c r="D95" s="15">
        <v>3575429.62</v>
      </c>
      <c r="E95" s="15">
        <v>2881900.6999999997</v>
      </c>
      <c r="F95" s="15">
        <v>3791203.22</v>
      </c>
      <c r="G95" s="15">
        <v>2219211.12</v>
      </c>
      <c r="H95" s="15">
        <v>1649039.56</v>
      </c>
      <c r="I95" s="15">
        <v>1548786.2599999998</v>
      </c>
      <c r="J95" s="15">
        <v>947775.3600000001</v>
      </c>
      <c r="K95" s="15">
        <v>346764.46</v>
      </c>
      <c r="L95" s="15">
        <v>346764.46</v>
      </c>
      <c r="M95" s="15">
        <v>107886.8</v>
      </c>
      <c r="N95" s="15">
        <v>17414761.559999999</v>
      </c>
    </row>
    <row r="96" spans="1:14" x14ac:dyDescent="0.2">
      <c r="B96" s="27"/>
      <c r="C96" t="s">
        <v>100</v>
      </c>
      <c r="D96" s="15">
        <v>484780.2</v>
      </c>
      <c r="E96" s="15">
        <v>390746.99999999994</v>
      </c>
      <c r="F96" s="15">
        <v>514036.2</v>
      </c>
      <c r="G96" s="15">
        <v>300895.2</v>
      </c>
      <c r="H96" s="15">
        <v>223587.6</v>
      </c>
      <c r="I96" s="15">
        <v>209994.59999999998</v>
      </c>
      <c r="J96" s="15">
        <v>128505.60000000001</v>
      </c>
      <c r="K96" s="15">
        <v>47016.6</v>
      </c>
      <c r="L96" s="15">
        <v>47016.6</v>
      </c>
      <c r="M96" s="15">
        <v>14628</v>
      </c>
      <c r="N96" s="15">
        <v>2361207.6</v>
      </c>
    </row>
    <row r="97" spans="2:14" x14ac:dyDescent="0.2">
      <c r="B97" s="27"/>
      <c r="C97" t="s">
        <v>46</v>
      </c>
      <c r="D97" s="15">
        <v>1250241.1100000001</v>
      </c>
      <c r="E97" s="15">
        <v>1007730.85</v>
      </c>
      <c r="F97" s="15">
        <v>1325691.9099999999</v>
      </c>
      <c r="G97" s="15">
        <v>776004.36</v>
      </c>
      <c r="H97" s="15">
        <v>576629.18000000005</v>
      </c>
      <c r="I97" s="15">
        <v>541573.02999999991</v>
      </c>
      <c r="J97" s="15">
        <v>331414.08</v>
      </c>
      <c r="K97" s="15">
        <v>121255.13</v>
      </c>
      <c r="L97" s="15">
        <v>121255.13</v>
      </c>
      <c r="M97" s="15">
        <v>37725.4</v>
      </c>
      <c r="N97" s="15">
        <v>6089520.1799999997</v>
      </c>
    </row>
    <row r="98" spans="2:14" x14ac:dyDescent="0.2">
      <c r="B98" s="27" t="s">
        <v>88</v>
      </c>
      <c r="C98" t="s">
        <v>5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</row>
    <row r="99" spans="2:14" x14ac:dyDescent="0.2">
      <c r="B99" s="27"/>
      <c r="C99" t="s">
        <v>8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</row>
    <row r="100" spans="2:14" x14ac:dyDescent="0.2">
      <c r="B100" s="27"/>
      <c r="C100" t="s">
        <v>10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</row>
    <row r="101" spans="2:14" x14ac:dyDescent="0.2">
      <c r="B101" s="27"/>
      <c r="C101" t="s">
        <v>12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</row>
    <row r="102" spans="2:14" x14ac:dyDescent="0.2">
      <c r="B102" s="27"/>
      <c r="C102" t="s">
        <v>47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</row>
    <row r="103" spans="2:14" x14ac:dyDescent="0.2">
      <c r="B103" s="27"/>
      <c r="C103" t="s">
        <v>48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</row>
    <row r="104" spans="2:14" x14ac:dyDescent="0.2">
      <c r="B104" s="27"/>
      <c r="C104" t="s">
        <v>49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</row>
    <row r="105" spans="2:14" x14ac:dyDescent="0.2">
      <c r="B105" s="27"/>
      <c r="C105" t="s">
        <v>50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</row>
    <row r="106" spans="2:14" x14ac:dyDescent="0.2">
      <c r="B106" t="s">
        <v>89</v>
      </c>
      <c r="C106" t="s">
        <v>15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</row>
    <row r="107" spans="2:14" x14ac:dyDescent="0.2">
      <c r="B107" t="s">
        <v>91</v>
      </c>
      <c r="C107" t="s">
        <v>23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</row>
    <row r="108" spans="2:14" x14ac:dyDescent="0.2">
      <c r="B108" s="27" t="s">
        <v>90</v>
      </c>
      <c r="C108" t="s">
        <v>18</v>
      </c>
      <c r="D108" s="15">
        <v>0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</row>
    <row r="109" spans="2:14" x14ac:dyDescent="0.2">
      <c r="B109" s="27"/>
      <c r="C109" t="s">
        <v>19</v>
      </c>
      <c r="D109" s="15">
        <v>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</row>
    <row r="110" spans="2:14" x14ac:dyDescent="0.2">
      <c r="B110" s="27"/>
      <c r="C110" t="s">
        <v>20</v>
      </c>
      <c r="D110" s="15">
        <v>0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</row>
    <row r="111" spans="2:14" x14ac:dyDescent="0.2">
      <c r="B111" s="27"/>
      <c r="C111" t="s">
        <v>21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</row>
    <row r="112" spans="2:14" x14ac:dyDescent="0.2">
      <c r="B112" s="27"/>
      <c r="C112" t="s">
        <v>22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</row>
    <row r="113" spans="2:14" x14ac:dyDescent="0.2">
      <c r="B113" s="27"/>
      <c r="C113" t="s">
        <v>24</v>
      </c>
      <c r="D113" s="15">
        <v>2368748.4700000002</v>
      </c>
      <c r="E113" s="15">
        <v>1909280.45</v>
      </c>
      <c r="F113" s="15">
        <v>2511700.0699999998</v>
      </c>
      <c r="G113" s="15">
        <v>1470243.72</v>
      </c>
      <c r="H113" s="15">
        <v>1092500.8600000001</v>
      </c>
      <c r="I113" s="15">
        <v>1026082.3099999999</v>
      </c>
      <c r="J113" s="15">
        <v>627908.16</v>
      </c>
      <c r="K113" s="15">
        <v>229734.01</v>
      </c>
      <c r="L113" s="15">
        <v>229734.01</v>
      </c>
      <c r="M113" s="15">
        <v>71475.8</v>
      </c>
      <c r="N113" s="15">
        <v>11537407.859999999</v>
      </c>
    </row>
    <row r="114" spans="2:14" x14ac:dyDescent="0.2">
      <c r="B114" s="27"/>
      <c r="C114" t="s">
        <v>26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</row>
    <row r="115" spans="2:14" x14ac:dyDescent="0.2">
      <c r="B115" s="27"/>
      <c r="C115" t="s">
        <v>27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</row>
    <row r="116" spans="2:14" x14ac:dyDescent="0.2">
      <c r="B116" s="27"/>
      <c r="C116" t="s">
        <v>29</v>
      </c>
      <c r="D116" s="15">
        <v>0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</row>
    <row r="117" spans="2:14" x14ac:dyDescent="0.2">
      <c r="B117" s="27"/>
      <c r="C117" t="s">
        <v>31</v>
      </c>
      <c r="D117" s="15">
        <v>0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</row>
    <row r="118" spans="2:14" x14ac:dyDescent="0.2">
      <c r="B118" s="27"/>
      <c r="C118" t="s">
        <v>32</v>
      </c>
      <c r="D118" s="15">
        <v>0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</row>
    <row r="119" spans="2:14" x14ac:dyDescent="0.2">
      <c r="B119" s="27"/>
      <c r="C119" t="s">
        <v>33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</row>
    <row r="120" spans="2:14" x14ac:dyDescent="0.2">
      <c r="B120" s="27"/>
      <c r="C120" t="s">
        <v>34</v>
      </c>
      <c r="D120" s="15">
        <v>338994.85000000003</v>
      </c>
      <c r="E120" s="15">
        <v>273239.75</v>
      </c>
      <c r="F120" s="15">
        <v>359452.85000000003</v>
      </c>
      <c r="G120" s="15">
        <v>210408.6</v>
      </c>
      <c r="H120" s="15">
        <v>156349.30000000002</v>
      </c>
      <c r="I120" s="15">
        <v>146844.04999999999</v>
      </c>
      <c r="J120" s="15">
        <v>89860.800000000003</v>
      </c>
      <c r="K120" s="15">
        <v>32877.550000000003</v>
      </c>
      <c r="L120" s="15">
        <v>32877.550000000003</v>
      </c>
      <c r="M120" s="15">
        <v>10229</v>
      </c>
      <c r="N120" s="15">
        <v>1651134.3</v>
      </c>
    </row>
    <row r="121" spans="2:14" x14ac:dyDescent="0.2">
      <c r="B121" s="27"/>
      <c r="C121" t="s">
        <v>35</v>
      </c>
      <c r="D121" s="15">
        <v>837124.07000000007</v>
      </c>
      <c r="E121" s="15">
        <v>674746.45</v>
      </c>
      <c r="F121" s="15">
        <v>887643.67</v>
      </c>
      <c r="G121" s="15">
        <v>519589.32</v>
      </c>
      <c r="H121" s="15">
        <v>386093.66000000003</v>
      </c>
      <c r="I121" s="15">
        <v>362621.11</v>
      </c>
      <c r="J121" s="15">
        <v>221904.96000000002</v>
      </c>
      <c r="K121" s="15">
        <v>81188.81</v>
      </c>
      <c r="L121" s="15">
        <v>81188.81</v>
      </c>
      <c r="M121" s="15">
        <v>25259.8</v>
      </c>
      <c r="N121" s="15">
        <v>4077360.66</v>
      </c>
    </row>
    <row r="122" spans="2:14" x14ac:dyDescent="0.2">
      <c r="B122" s="27"/>
      <c r="C122" t="s">
        <v>36</v>
      </c>
      <c r="D122" s="15">
        <v>867686.3</v>
      </c>
      <c r="E122" s="15">
        <v>699380.5</v>
      </c>
      <c r="F122" s="15">
        <v>920050.3</v>
      </c>
      <c r="G122" s="15">
        <v>538558.79999999993</v>
      </c>
      <c r="H122" s="15">
        <v>400189.4</v>
      </c>
      <c r="I122" s="15">
        <v>375859.89999999997</v>
      </c>
      <c r="J122" s="15">
        <v>230006.40000000002</v>
      </c>
      <c r="K122" s="15">
        <v>84152.9</v>
      </c>
      <c r="L122" s="15">
        <v>84152.9</v>
      </c>
      <c r="M122" s="15">
        <v>26182</v>
      </c>
      <c r="N122" s="15">
        <v>4226219.4000000004</v>
      </c>
    </row>
    <row r="123" spans="2:14" x14ac:dyDescent="0.2">
      <c r="B123" s="27"/>
      <c r="C123" t="s">
        <v>37</v>
      </c>
      <c r="D123" s="15">
        <v>1943687.57</v>
      </c>
      <c r="E123" s="15">
        <v>1566668.95</v>
      </c>
      <c r="F123" s="15">
        <v>2060987.1700000002</v>
      </c>
      <c r="G123" s="15">
        <v>1206415.32</v>
      </c>
      <c r="H123" s="15">
        <v>896456.66</v>
      </c>
      <c r="I123" s="15">
        <v>841956.61</v>
      </c>
      <c r="J123" s="15">
        <v>515232.96</v>
      </c>
      <c r="K123" s="15">
        <v>188509.31</v>
      </c>
      <c r="L123" s="15">
        <v>188509.31</v>
      </c>
      <c r="M123" s="15">
        <v>58649.799999999996</v>
      </c>
      <c r="N123" s="15">
        <v>9467073.6600000001</v>
      </c>
    </row>
    <row r="124" spans="2:14" x14ac:dyDescent="0.2">
      <c r="B124" s="27"/>
      <c r="C124" t="s">
        <v>38</v>
      </c>
      <c r="D124" s="15">
        <v>1480336.06</v>
      </c>
      <c r="E124" s="15">
        <v>1193194.0999999999</v>
      </c>
      <c r="F124" s="15">
        <v>1569672.86</v>
      </c>
      <c r="G124" s="15">
        <v>918820.55999999994</v>
      </c>
      <c r="H124" s="15">
        <v>682752.28</v>
      </c>
      <c r="I124" s="15">
        <v>641244.38</v>
      </c>
      <c r="J124" s="15">
        <v>392407.68</v>
      </c>
      <c r="K124" s="15">
        <v>143570.98000000001</v>
      </c>
      <c r="L124" s="15">
        <v>143570.98000000001</v>
      </c>
      <c r="M124" s="15">
        <v>44668.4</v>
      </c>
      <c r="N124" s="15">
        <v>7210238.2800000003</v>
      </c>
    </row>
    <row r="125" spans="2:14" x14ac:dyDescent="0.2">
      <c r="B125" s="27"/>
      <c r="C125" t="s">
        <v>39</v>
      </c>
      <c r="D125" s="15">
        <v>271898.46000000002</v>
      </c>
      <c r="E125" s="15">
        <v>219158.09999999998</v>
      </c>
      <c r="F125" s="15">
        <v>288307.26</v>
      </c>
      <c r="G125" s="15">
        <v>168762.96</v>
      </c>
      <c r="H125" s="15">
        <v>125403.48000000001</v>
      </c>
      <c r="I125" s="15">
        <v>117779.57999999999</v>
      </c>
      <c r="J125" s="15">
        <v>72074.880000000005</v>
      </c>
      <c r="K125" s="15">
        <v>26370.18</v>
      </c>
      <c r="L125" s="15">
        <v>26370.18</v>
      </c>
      <c r="M125" s="15">
        <v>8204.4</v>
      </c>
      <c r="N125" s="15">
        <v>1324329.48</v>
      </c>
    </row>
    <row r="126" spans="2:14" x14ac:dyDescent="0.2">
      <c r="B126" s="27"/>
      <c r="C126" t="s">
        <v>40</v>
      </c>
      <c r="D126" s="15">
        <v>1832679.9300000002</v>
      </c>
      <c r="E126" s="15">
        <v>1477193.5499999998</v>
      </c>
      <c r="F126" s="15">
        <v>1943280.33</v>
      </c>
      <c r="G126" s="15">
        <v>1137514.68</v>
      </c>
      <c r="H126" s="15">
        <v>845258.34000000008</v>
      </c>
      <c r="I126" s="15">
        <v>793870.8899999999</v>
      </c>
      <c r="J126" s="15">
        <v>485807.04000000004</v>
      </c>
      <c r="K126" s="15">
        <v>177743.19</v>
      </c>
      <c r="L126" s="15">
        <v>177743.19</v>
      </c>
      <c r="M126" s="15">
        <v>55300.2</v>
      </c>
      <c r="N126" s="15">
        <v>8926391.3399999999</v>
      </c>
    </row>
    <row r="127" spans="2:14" x14ac:dyDescent="0.2">
      <c r="C127" t="s">
        <v>55</v>
      </c>
      <c r="D127" s="15">
        <v>19772708.940000001</v>
      </c>
      <c r="E127" s="15">
        <v>15937380.899999999</v>
      </c>
      <c r="F127" s="15">
        <v>20965972.140000001</v>
      </c>
      <c r="G127" s="15">
        <v>12272599.439999998</v>
      </c>
      <c r="H127" s="15">
        <v>9119457.7200000007</v>
      </c>
      <c r="I127" s="15">
        <v>8565040.6199999992</v>
      </c>
      <c r="J127" s="15">
        <v>5241352.32</v>
      </c>
      <c r="K127" s="15">
        <v>1917664.02</v>
      </c>
      <c r="L127" s="15">
        <v>1917664.02</v>
      </c>
      <c r="M127" s="15">
        <v>596631.6</v>
      </c>
      <c r="N127" s="15">
        <v>96306471.719999999</v>
      </c>
    </row>
  </sheetData>
  <autoFilter ref="B91:B126" xr:uid="{C04D856F-AF1F-4609-9B6B-B08F2510E52A}"/>
  <sortState xmlns:xlrd2="http://schemas.microsoft.com/office/spreadsheetml/2017/richdata2" ref="A5:N43">
    <sortCondition ref="B5:B43"/>
  </sortState>
  <mergeCells count="9">
    <mergeCell ref="B5:B11"/>
    <mergeCell ref="B48:B54"/>
    <mergeCell ref="B91:B97"/>
    <mergeCell ref="B108:B126"/>
    <mergeCell ref="B55:B62"/>
    <mergeCell ref="B65:B85"/>
    <mergeCell ref="B12:B19"/>
    <mergeCell ref="B22:B42"/>
    <mergeCell ref="B98:B10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0A2E-6497-4CD1-9A08-EC13A0B64BF5}">
  <dimension ref="A1:L29"/>
  <sheetViews>
    <sheetView workbookViewId="0">
      <selection activeCell="J29" sqref="J29"/>
    </sheetView>
  </sheetViews>
  <sheetFormatPr defaultRowHeight="14.25" x14ac:dyDescent="0.2"/>
  <cols>
    <col min="1" max="16384" width="9.140625" style="21"/>
  </cols>
  <sheetData>
    <row r="1" spans="1:12" ht="16.5" thickBot="1" x14ac:dyDescent="0.3">
      <c r="A1" s="37" t="s">
        <v>113</v>
      </c>
      <c r="B1" s="38" t="s">
        <v>112</v>
      </c>
      <c r="C1" s="38" t="s">
        <v>111</v>
      </c>
      <c r="D1" s="39" t="s">
        <v>110</v>
      </c>
      <c r="E1" s="44"/>
      <c r="F1" s="46"/>
      <c r="G1" s="47"/>
      <c r="H1" s="50" t="s">
        <v>98</v>
      </c>
      <c r="I1" s="50" t="s">
        <v>104</v>
      </c>
      <c r="J1" s="50" t="s">
        <v>116</v>
      </c>
      <c r="K1" s="50" t="s">
        <v>108</v>
      </c>
      <c r="L1" s="51" t="s">
        <v>118</v>
      </c>
    </row>
    <row r="2" spans="1:12" x14ac:dyDescent="0.2">
      <c r="A2" s="40" t="s">
        <v>109</v>
      </c>
      <c r="B2" s="29" t="s">
        <v>90</v>
      </c>
      <c r="C2" s="29" t="s">
        <v>108</v>
      </c>
      <c r="D2" s="30">
        <v>67259.975054850249</v>
      </c>
      <c r="E2" s="29"/>
      <c r="F2" s="48" t="s">
        <v>121</v>
      </c>
      <c r="G2" s="29" t="s">
        <v>114</v>
      </c>
      <c r="H2" s="29"/>
      <c r="I2" s="29"/>
      <c r="J2" s="29">
        <v>80428.560441558366</v>
      </c>
      <c r="K2" s="29">
        <v>67259.975054850249</v>
      </c>
      <c r="L2" s="30"/>
    </row>
    <row r="3" spans="1:12" x14ac:dyDescent="0.2">
      <c r="A3" s="40" t="s">
        <v>109</v>
      </c>
      <c r="B3" s="29" t="s">
        <v>88</v>
      </c>
      <c r="C3" s="29" t="s">
        <v>106</v>
      </c>
      <c r="D3" s="30">
        <v>80428.560441558366</v>
      </c>
      <c r="E3" s="29"/>
      <c r="F3" s="48"/>
      <c r="G3" s="29" t="s">
        <v>115</v>
      </c>
      <c r="H3" s="29"/>
      <c r="I3" s="29">
        <v>34255.256684547981</v>
      </c>
      <c r="J3" s="29">
        <v>93152.201648204791</v>
      </c>
      <c r="K3" s="29">
        <v>79914.46236820989</v>
      </c>
      <c r="L3" s="30"/>
    </row>
    <row r="4" spans="1:12" x14ac:dyDescent="0.2">
      <c r="A4" s="40" t="s">
        <v>107</v>
      </c>
      <c r="B4" s="29" t="s">
        <v>88</v>
      </c>
      <c r="C4" s="29" t="s">
        <v>106</v>
      </c>
      <c r="D4" s="30">
        <v>93152.201648204791</v>
      </c>
      <c r="E4" s="29"/>
      <c r="F4" s="48"/>
      <c r="G4" s="29" t="s">
        <v>99</v>
      </c>
      <c r="H4" s="29">
        <f>SUM(D9)</f>
        <v>41914.112043193833</v>
      </c>
      <c r="I4" s="29">
        <f>SUM(D8)</f>
        <v>3324.508165315764</v>
      </c>
      <c r="J4" s="29">
        <v>25938.421943390429</v>
      </c>
      <c r="K4" s="29"/>
      <c r="L4" s="30"/>
    </row>
    <row r="5" spans="1:12" x14ac:dyDescent="0.2">
      <c r="A5" s="40" t="s">
        <v>107</v>
      </c>
      <c r="B5" s="29" t="s">
        <v>90</v>
      </c>
      <c r="C5" s="29" t="s">
        <v>108</v>
      </c>
      <c r="D5" s="30">
        <v>79914.46236820989</v>
      </c>
      <c r="E5" s="29"/>
      <c r="F5" s="48"/>
      <c r="G5" s="31" t="s">
        <v>7</v>
      </c>
      <c r="H5" s="29"/>
      <c r="I5" s="29">
        <v>29367</v>
      </c>
      <c r="J5" s="29">
        <v>84385</v>
      </c>
      <c r="K5" s="29">
        <v>130507</v>
      </c>
      <c r="L5" s="30"/>
    </row>
    <row r="6" spans="1:12" ht="14.25" customHeight="1" x14ac:dyDescent="0.2">
      <c r="A6" s="40" t="s">
        <v>107</v>
      </c>
      <c r="B6" s="29" t="s">
        <v>105</v>
      </c>
      <c r="C6" s="29" t="s">
        <v>104</v>
      </c>
      <c r="D6" s="30">
        <v>34255.256684547981</v>
      </c>
      <c r="E6" s="29"/>
      <c r="F6" s="48" t="s">
        <v>121</v>
      </c>
      <c r="G6" s="32" t="s">
        <v>119</v>
      </c>
      <c r="H6" s="29"/>
      <c r="I6" s="29"/>
      <c r="J6" s="29"/>
      <c r="K6" s="29"/>
      <c r="L6" s="33">
        <v>347591</v>
      </c>
    </row>
    <row r="7" spans="1:12" ht="18" customHeight="1" x14ac:dyDescent="0.2">
      <c r="A7" s="40" t="s">
        <v>103</v>
      </c>
      <c r="B7" s="29" t="s">
        <v>88</v>
      </c>
      <c r="C7" s="29" t="s">
        <v>106</v>
      </c>
      <c r="D7" s="30">
        <v>25938.421943390429</v>
      </c>
      <c r="E7" s="29"/>
      <c r="F7" s="48"/>
      <c r="G7" s="32" t="s">
        <v>120</v>
      </c>
      <c r="H7" s="29"/>
      <c r="I7" s="29"/>
      <c r="J7" s="29"/>
      <c r="K7" s="29"/>
      <c r="L7" s="33">
        <v>303372</v>
      </c>
    </row>
    <row r="8" spans="1:12" ht="14.25" customHeight="1" x14ac:dyDescent="0.2">
      <c r="A8" s="40" t="s">
        <v>103</v>
      </c>
      <c r="B8" s="29" t="s">
        <v>105</v>
      </c>
      <c r="C8" s="29" t="s">
        <v>104</v>
      </c>
      <c r="D8" s="30">
        <v>3324.508165315764</v>
      </c>
      <c r="E8" s="29"/>
      <c r="F8" s="48"/>
      <c r="G8" s="32" t="s">
        <v>123</v>
      </c>
      <c r="H8" s="29"/>
      <c r="I8" s="29"/>
      <c r="J8" s="29"/>
      <c r="K8" s="29"/>
      <c r="L8" s="33">
        <v>207004</v>
      </c>
    </row>
    <row r="9" spans="1:12" ht="16.5" customHeight="1" x14ac:dyDescent="0.2">
      <c r="A9" s="40" t="s">
        <v>103</v>
      </c>
      <c r="B9" s="29" t="s">
        <v>97</v>
      </c>
      <c r="C9" s="29" t="s">
        <v>102</v>
      </c>
      <c r="D9" s="30">
        <v>41914.112043193833</v>
      </c>
      <c r="E9" s="29"/>
      <c r="F9" s="48" t="s">
        <v>122</v>
      </c>
      <c r="G9" s="29" t="s">
        <v>119</v>
      </c>
      <c r="H9" s="29"/>
      <c r="I9" s="29"/>
      <c r="J9" s="29"/>
      <c r="K9" s="29"/>
      <c r="L9" s="30">
        <v>347591</v>
      </c>
    </row>
    <row r="10" spans="1:12" ht="14.25" customHeight="1" x14ac:dyDescent="0.2">
      <c r="A10" s="41" t="s">
        <v>7</v>
      </c>
      <c r="B10" s="31" t="s">
        <v>106</v>
      </c>
      <c r="C10" s="29"/>
      <c r="D10" s="30">
        <v>84385</v>
      </c>
      <c r="E10" s="29"/>
      <c r="F10" s="48"/>
      <c r="G10" s="29" t="s">
        <v>120</v>
      </c>
      <c r="H10" s="29"/>
      <c r="I10" s="29"/>
      <c r="J10" s="29"/>
      <c r="K10" s="29"/>
      <c r="L10" s="30">
        <v>303372</v>
      </c>
    </row>
    <row r="11" spans="1:12" ht="23.25" customHeight="1" thickBot="1" x14ac:dyDescent="0.25">
      <c r="A11" s="41" t="s">
        <v>7</v>
      </c>
      <c r="B11" s="31" t="s">
        <v>104</v>
      </c>
      <c r="C11" s="29"/>
      <c r="D11" s="30">
        <v>29367</v>
      </c>
      <c r="E11" s="29"/>
      <c r="F11" s="49"/>
      <c r="G11" s="34" t="s">
        <v>123</v>
      </c>
      <c r="H11" s="35"/>
      <c r="I11" s="35"/>
      <c r="J11" s="35"/>
      <c r="K11" s="35"/>
      <c r="L11" s="36">
        <v>48213</v>
      </c>
    </row>
    <row r="12" spans="1:12" x14ac:dyDescent="0.2">
      <c r="A12" s="41" t="s">
        <v>7</v>
      </c>
      <c r="B12" s="31" t="s">
        <v>108</v>
      </c>
      <c r="C12" s="29"/>
      <c r="D12" s="30">
        <v>130507</v>
      </c>
      <c r="E12" s="29"/>
    </row>
    <row r="13" spans="1:12" x14ac:dyDescent="0.2">
      <c r="A13" s="42" t="s">
        <v>119</v>
      </c>
      <c r="B13" s="32" t="s">
        <v>117</v>
      </c>
      <c r="C13" s="32" t="s">
        <v>118</v>
      </c>
      <c r="D13" s="33">
        <v>347591</v>
      </c>
      <c r="E13" s="45"/>
    </row>
    <row r="14" spans="1:12" ht="15" thickBot="1" x14ac:dyDescent="0.25">
      <c r="A14" s="43" t="s">
        <v>120</v>
      </c>
      <c r="B14" s="34" t="s">
        <v>117</v>
      </c>
      <c r="C14" s="34" t="s">
        <v>118</v>
      </c>
      <c r="D14" s="36">
        <v>303372</v>
      </c>
      <c r="E14" s="45"/>
    </row>
    <row r="20" spans="1:8" ht="15" thickBot="1" x14ac:dyDescent="0.25"/>
    <row r="21" spans="1:8" x14ac:dyDescent="0.2">
      <c r="A21" s="52" t="s">
        <v>126</v>
      </c>
      <c r="B21" s="53"/>
      <c r="C21" s="53"/>
      <c r="D21" s="53"/>
      <c r="E21" s="53"/>
      <c r="F21" s="53"/>
      <c r="G21" s="53"/>
      <c r="H21" s="54"/>
    </row>
    <row r="22" spans="1:8" x14ac:dyDescent="0.2">
      <c r="A22" s="55"/>
      <c r="B22" s="56"/>
      <c r="C22" s="56"/>
      <c r="D22" s="56"/>
      <c r="E22" s="56"/>
      <c r="F22" s="56"/>
      <c r="G22" s="56"/>
      <c r="H22" s="57"/>
    </row>
    <row r="23" spans="1:8" x14ac:dyDescent="0.2">
      <c r="A23" s="55"/>
      <c r="B23" s="56"/>
      <c r="C23" s="56"/>
      <c r="D23" s="56"/>
      <c r="E23" s="56"/>
      <c r="F23" s="56"/>
      <c r="G23" s="56"/>
      <c r="H23" s="57"/>
    </row>
    <row r="24" spans="1:8" x14ac:dyDescent="0.2">
      <c r="A24" s="55"/>
      <c r="B24" s="56"/>
      <c r="C24" s="56"/>
      <c r="D24" s="56"/>
      <c r="E24" s="56"/>
      <c r="F24" s="56"/>
      <c r="G24" s="56"/>
      <c r="H24" s="57"/>
    </row>
    <row r="25" spans="1:8" x14ac:dyDescent="0.2">
      <c r="A25" s="55"/>
      <c r="B25" s="56"/>
      <c r="C25" s="56"/>
      <c r="D25" s="56"/>
      <c r="E25" s="56"/>
      <c r="F25" s="56"/>
      <c r="G25" s="56"/>
      <c r="H25" s="57"/>
    </row>
    <row r="26" spans="1:8" x14ac:dyDescent="0.2">
      <c r="A26" s="55"/>
      <c r="B26" s="56"/>
      <c r="C26" s="56"/>
      <c r="D26" s="56"/>
      <c r="E26" s="56"/>
      <c r="F26" s="56"/>
      <c r="G26" s="56"/>
      <c r="H26" s="57"/>
    </row>
    <row r="27" spans="1:8" x14ac:dyDescent="0.2">
      <c r="A27" s="55"/>
      <c r="B27" s="56"/>
      <c r="C27" s="56"/>
      <c r="D27" s="56"/>
      <c r="E27" s="56"/>
      <c r="F27" s="56"/>
      <c r="G27" s="56"/>
      <c r="H27" s="57"/>
    </row>
    <row r="28" spans="1:8" x14ac:dyDescent="0.2">
      <c r="A28" s="55"/>
      <c r="B28" s="56"/>
      <c r="C28" s="56"/>
      <c r="D28" s="56"/>
      <c r="E28" s="56"/>
      <c r="F28" s="56"/>
      <c r="G28" s="56"/>
      <c r="H28" s="57"/>
    </row>
    <row r="29" spans="1:8" ht="15" thickBot="1" x14ac:dyDescent="0.25">
      <c r="A29" s="58"/>
      <c r="B29" s="59"/>
      <c r="C29" s="59"/>
      <c r="D29" s="59"/>
      <c r="E29" s="59"/>
      <c r="F29" s="59"/>
      <c r="G29" s="59"/>
      <c r="H29" s="60"/>
    </row>
  </sheetData>
  <mergeCells count="4">
    <mergeCell ref="A21:H29"/>
    <mergeCell ref="F2:F5"/>
    <mergeCell ref="F6:F8"/>
    <mergeCell ref="F9:F1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85"/>
  <sheetViews>
    <sheetView workbookViewId="0">
      <selection activeCell="B45" sqref="B45"/>
    </sheetView>
  </sheetViews>
  <sheetFormatPr defaultColWidth="12.5703125" defaultRowHeight="15.75" customHeight="1" x14ac:dyDescent="0.2"/>
  <cols>
    <col min="2" max="2" width="27.140625" customWidth="1"/>
    <col min="3" max="3" width="21.42578125" customWidth="1"/>
    <col min="4" max="4" width="18.140625" bestFit="1" customWidth="1"/>
    <col min="5" max="6" width="17.42578125" bestFit="1" customWidth="1"/>
    <col min="8" max="8" width="16" bestFit="1" customWidth="1"/>
    <col min="9" max="9" width="19.5703125" bestFit="1" customWidth="1"/>
    <col min="10" max="10" width="18.85546875" bestFit="1" customWidth="1"/>
    <col min="11" max="11" width="17.42578125" customWidth="1"/>
    <col min="12" max="12" width="18.140625" customWidth="1"/>
    <col min="13" max="13" width="15.140625" bestFit="1" customWidth="1"/>
    <col min="14" max="14" width="20.42578125" bestFit="1" customWidth="1"/>
    <col min="15" max="16" width="14" bestFit="1" customWidth="1"/>
    <col min="17" max="17" width="16.85546875" customWidth="1"/>
    <col min="18" max="18" width="21.85546875" customWidth="1"/>
  </cols>
  <sheetData>
    <row r="1" spans="1:18" ht="15.75" customHeight="1" x14ac:dyDescent="0.2">
      <c r="H1" s="28" t="s">
        <v>84</v>
      </c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25.5" x14ac:dyDescent="0.2">
      <c r="A2" t="s">
        <v>87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3" t="s">
        <v>70</v>
      </c>
      <c r="H2" s="14" t="s">
        <v>72</v>
      </c>
      <c r="I2" s="14" t="s">
        <v>73</v>
      </c>
      <c r="J2" s="14" t="s">
        <v>74</v>
      </c>
      <c r="K2" s="14" t="s">
        <v>75</v>
      </c>
      <c r="L2" s="14" t="s">
        <v>76</v>
      </c>
      <c r="M2" s="14" t="s">
        <v>77</v>
      </c>
      <c r="N2" s="14" t="s">
        <v>78</v>
      </c>
      <c r="O2" s="14" t="s">
        <v>79</v>
      </c>
      <c r="P2" s="14" t="s">
        <v>80</v>
      </c>
      <c r="Q2" s="14" t="s">
        <v>81</v>
      </c>
      <c r="R2" s="14" t="s">
        <v>82</v>
      </c>
    </row>
    <row r="3" spans="1:18" ht="12.75" x14ac:dyDescent="0.2">
      <c r="A3" t="s">
        <v>97</v>
      </c>
      <c r="B3" s="1" t="s">
        <v>98</v>
      </c>
      <c r="C3" s="1"/>
      <c r="D3" s="1">
        <v>41914</v>
      </c>
      <c r="E3" s="1"/>
      <c r="F3" s="1" t="s">
        <v>99</v>
      </c>
      <c r="G3" s="13"/>
      <c r="H3" s="15">
        <f t="shared" ref="H3:R3" si="0">IF($F3="Tidal", $D3*$F$52, 0)</f>
        <v>14723969.060000001</v>
      </c>
      <c r="I3" s="15">
        <f t="shared" si="0"/>
        <v>14723969.060000001</v>
      </c>
      <c r="J3" s="15">
        <f t="shared" si="0"/>
        <v>14723969.060000001</v>
      </c>
      <c r="K3" s="15">
        <f t="shared" si="0"/>
        <v>14723969.060000001</v>
      </c>
      <c r="L3" s="15">
        <f t="shared" si="0"/>
        <v>14723969.060000001</v>
      </c>
      <c r="M3" s="15">
        <f t="shared" si="0"/>
        <v>14723969.060000001</v>
      </c>
      <c r="N3" s="15">
        <f t="shared" si="0"/>
        <v>14723969.060000001</v>
      </c>
      <c r="O3" s="15">
        <f t="shared" si="0"/>
        <v>14723969.060000001</v>
      </c>
      <c r="P3" s="15">
        <f t="shared" si="0"/>
        <v>14723969.060000001</v>
      </c>
      <c r="Q3" s="15">
        <f t="shared" si="0"/>
        <v>14723969.060000001</v>
      </c>
      <c r="R3" s="15">
        <f t="shared" si="0"/>
        <v>14723969.060000001</v>
      </c>
    </row>
    <row r="4" spans="1:18" ht="12.75" x14ac:dyDescent="0.2">
      <c r="A4" t="s">
        <v>88</v>
      </c>
      <c r="B4" s="2" t="s">
        <v>5</v>
      </c>
      <c r="C4" s="2">
        <v>80</v>
      </c>
      <c r="D4" s="2">
        <v>16543</v>
      </c>
      <c r="E4" s="2" t="s">
        <v>6</v>
      </c>
      <c r="F4" s="2" t="s">
        <v>7</v>
      </c>
      <c r="G4" t="s">
        <v>5</v>
      </c>
      <c r="H4" s="15">
        <f t="shared" ref="H4:H41" si="1">IF($F4="MW", $D4*$F$52, 0)</f>
        <v>5811390.4700000007</v>
      </c>
      <c r="I4" s="15">
        <f t="shared" ref="I4:I41" si="2">IF($F4="MW", $D4*$F$53, 0)</f>
        <v>4684150.4499999993</v>
      </c>
      <c r="J4" s="15">
        <f t="shared" ref="J4:J41" si="3">IF($F4="MW", $D4*$F$54, 0)</f>
        <v>6162102.0700000003</v>
      </c>
      <c r="K4" s="15">
        <f t="shared" ref="K4:K41" si="4">IF($F4="MW", $D4*$F$55, 0)</f>
        <v>3607035.7199999997</v>
      </c>
      <c r="L4" s="15">
        <f t="shared" ref="L4:L41" si="5">IF($F4="MW", $D4*$F$56, 0)</f>
        <v>2680296.8600000003</v>
      </c>
      <c r="M4" s="15">
        <f t="shared" ref="M4:M41" si="6">IF($F4="MW", $D4*$F$57, 0)</f>
        <v>2517348.3099999996</v>
      </c>
      <c r="N4" s="15">
        <f t="shared" ref="N4:N41" si="7">IF($F4="MW", $D4*$F$58, 0)</f>
        <v>1540484.1600000001</v>
      </c>
      <c r="O4" s="15">
        <f t="shared" ref="O4:O41" si="8">IF($F4="MW", $D4*$F$59, 0)</f>
        <v>563620.01</v>
      </c>
      <c r="P4" s="15">
        <f t="shared" ref="P4:P41" si="9">IF($F4="MW", $D4*$F$60, 0)</f>
        <v>563620.01</v>
      </c>
      <c r="Q4" s="15">
        <f t="shared" ref="Q4:Q41" si="10">IF($F4="MW", $D4*$F$61, 0)</f>
        <v>175355.8</v>
      </c>
      <c r="R4" s="15">
        <f t="shared" ref="R4:R41" si="11">IF($F4="MW", $D4*$F$62, 0)</f>
        <v>28305403.859999999</v>
      </c>
    </row>
    <row r="5" spans="1:18" ht="12.75" x14ac:dyDescent="0.2">
      <c r="A5" t="s">
        <v>88</v>
      </c>
      <c r="B5" s="2" t="s">
        <v>8</v>
      </c>
      <c r="C5" s="2">
        <v>76</v>
      </c>
      <c r="D5" s="2">
        <v>11798</v>
      </c>
      <c r="E5" s="2" t="s">
        <v>9</v>
      </c>
      <c r="F5" s="2" t="s">
        <v>7</v>
      </c>
      <c r="G5" t="s">
        <v>8</v>
      </c>
      <c r="H5" s="15">
        <f t="shared" si="1"/>
        <v>4144519.4200000004</v>
      </c>
      <c r="I5" s="15">
        <f t="shared" si="2"/>
        <v>3340603.6999999997</v>
      </c>
      <c r="J5" s="15">
        <f t="shared" si="3"/>
        <v>4394637.0200000005</v>
      </c>
      <c r="K5" s="15">
        <f t="shared" si="4"/>
        <v>2572435.92</v>
      </c>
      <c r="L5" s="15">
        <f t="shared" si="5"/>
        <v>1911511.9600000002</v>
      </c>
      <c r="M5" s="15">
        <f t="shared" si="6"/>
        <v>1795301.66</v>
      </c>
      <c r="N5" s="15">
        <f t="shared" si="7"/>
        <v>1098629.76</v>
      </c>
      <c r="O5" s="15">
        <f t="shared" si="8"/>
        <v>401957.86</v>
      </c>
      <c r="P5" s="15">
        <f t="shared" si="9"/>
        <v>401957.86</v>
      </c>
      <c r="Q5" s="15">
        <f t="shared" si="10"/>
        <v>125058.8</v>
      </c>
      <c r="R5" s="15">
        <f t="shared" si="11"/>
        <v>20186613.960000001</v>
      </c>
    </row>
    <row r="6" spans="1:18" ht="12.75" x14ac:dyDescent="0.2">
      <c r="A6" t="s">
        <v>88</v>
      </c>
      <c r="B6" s="2" t="s">
        <v>10</v>
      </c>
      <c r="C6" s="2">
        <v>62</v>
      </c>
      <c r="D6" s="2">
        <v>8799</v>
      </c>
      <c r="E6" s="2" t="s">
        <v>9</v>
      </c>
      <c r="F6" s="2" t="s">
        <v>7</v>
      </c>
      <c r="G6" t="s">
        <v>10</v>
      </c>
      <c r="H6" s="15">
        <f t="shared" si="1"/>
        <v>3091000.71</v>
      </c>
      <c r="I6" s="15">
        <f t="shared" si="2"/>
        <v>2491436.8499999996</v>
      </c>
      <c r="J6" s="15">
        <f t="shared" si="3"/>
        <v>3277539.5100000002</v>
      </c>
      <c r="K6" s="15">
        <f t="shared" si="4"/>
        <v>1918533.96</v>
      </c>
      <c r="L6" s="15">
        <f t="shared" si="5"/>
        <v>1425613.98</v>
      </c>
      <c r="M6" s="15">
        <f t="shared" si="6"/>
        <v>1338943.8299999998</v>
      </c>
      <c r="N6" s="15">
        <f t="shared" si="7"/>
        <v>819362.88</v>
      </c>
      <c r="O6" s="15">
        <f t="shared" si="8"/>
        <v>299781.93</v>
      </c>
      <c r="P6" s="15">
        <f t="shared" si="9"/>
        <v>299781.93</v>
      </c>
      <c r="Q6" s="15">
        <f t="shared" si="10"/>
        <v>93269.4</v>
      </c>
      <c r="R6" s="15">
        <f t="shared" si="11"/>
        <v>15055264.98</v>
      </c>
    </row>
    <row r="7" spans="1:18" ht="12.75" x14ac:dyDescent="0.2">
      <c r="A7" t="s">
        <v>88</v>
      </c>
      <c r="B7" s="2" t="s">
        <v>12</v>
      </c>
      <c r="C7" s="2">
        <v>61</v>
      </c>
      <c r="D7" s="2">
        <v>9111</v>
      </c>
      <c r="E7" s="2" t="s">
        <v>13</v>
      </c>
      <c r="F7" s="2" t="s">
        <v>7</v>
      </c>
      <c r="G7" t="s">
        <v>12</v>
      </c>
      <c r="H7" s="15">
        <f t="shared" si="1"/>
        <v>3200603.1900000004</v>
      </c>
      <c r="I7" s="15">
        <f t="shared" si="2"/>
        <v>2579779.65</v>
      </c>
      <c r="J7" s="15">
        <f t="shared" si="3"/>
        <v>3393756.39</v>
      </c>
      <c r="K7" s="15">
        <f t="shared" si="4"/>
        <v>1986562.44</v>
      </c>
      <c r="L7" s="15">
        <f t="shared" si="5"/>
        <v>1476164.2200000002</v>
      </c>
      <c r="M7" s="15">
        <f t="shared" si="6"/>
        <v>1386420.8699999999</v>
      </c>
      <c r="N7" s="15">
        <f t="shared" si="7"/>
        <v>848416.32000000007</v>
      </c>
      <c r="O7" s="15">
        <f t="shared" si="8"/>
        <v>310411.77</v>
      </c>
      <c r="P7" s="15">
        <f t="shared" si="9"/>
        <v>310411.77</v>
      </c>
      <c r="Q7" s="15">
        <f t="shared" si="10"/>
        <v>96576.599999999991</v>
      </c>
      <c r="R7" s="15">
        <f t="shared" si="11"/>
        <v>15589103.220000001</v>
      </c>
    </row>
    <row r="8" spans="1:18" ht="12.75" x14ac:dyDescent="0.2">
      <c r="A8" t="s">
        <v>89</v>
      </c>
      <c r="B8" s="2" t="s">
        <v>15</v>
      </c>
      <c r="C8" s="2">
        <v>116</v>
      </c>
      <c r="D8" s="2">
        <v>12907</v>
      </c>
      <c r="E8" s="2" t="s">
        <v>16</v>
      </c>
      <c r="F8" s="2" t="s">
        <v>7</v>
      </c>
      <c r="G8" t="s">
        <v>15</v>
      </c>
      <c r="H8" s="15">
        <f t="shared" si="1"/>
        <v>4534100.03</v>
      </c>
      <c r="I8" s="15">
        <f t="shared" si="2"/>
        <v>3654617.05</v>
      </c>
      <c r="J8" s="15">
        <f t="shared" si="3"/>
        <v>4807728.43</v>
      </c>
      <c r="K8" s="15">
        <f t="shared" si="4"/>
        <v>2814242.28</v>
      </c>
      <c r="L8" s="15">
        <f t="shared" si="5"/>
        <v>2091192.1400000001</v>
      </c>
      <c r="M8" s="15">
        <f t="shared" si="6"/>
        <v>1964058.19</v>
      </c>
      <c r="N8" s="15">
        <f t="shared" si="7"/>
        <v>1201899.8400000001</v>
      </c>
      <c r="O8" s="15">
        <f t="shared" si="8"/>
        <v>439741.49</v>
      </c>
      <c r="P8" s="15">
        <f t="shared" si="9"/>
        <v>439741.49</v>
      </c>
      <c r="Q8" s="15">
        <f t="shared" si="10"/>
        <v>136814.19999999998</v>
      </c>
      <c r="R8" s="15">
        <f t="shared" si="11"/>
        <v>22084135.140000001</v>
      </c>
    </row>
    <row r="9" spans="1:18" ht="12.75" x14ac:dyDescent="0.2">
      <c r="A9" t="s">
        <v>90</v>
      </c>
      <c r="B9" s="2" t="s">
        <v>18</v>
      </c>
      <c r="C9" s="2">
        <v>57</v>
      </c>
      <c r="D9" s="2">
        <v>5936</v>
      </c>
      <c r="E9" s="2" t="s">
        <v>16</v>
      </c>
      <c r="F9" s="2" t="s">
        <v>7</v>
      </c>
      <c r="G9" t="s">
        <v>18</v>
      </c>
      <c r="H9" s="15">
        <f t="shared" si="1"/>
        <v>2085257.4400000002</v>
      </c>
      <c r="I9" s="15">
        <f t="shared" si="2"/>
        <v>1680778.4</v>
      </c>
      <c r="J9" s="15">
        <f t="shared" si="3"/>
        <v>2211100.64</v>
      </c>
      <c r="K9" s="15">
        <f t="shared" si="4"/>
        <v>1294285.44</v>
      </c>
      <c r="L9" s="15">
        <f t="shared" si="5"/>
        <v>961750.72000000009</v>
      </c>
      <c r="M9" s="15">
        <f t="shared" si="6"/>
        <v>903281.11999999988</v>
      </c>
      <c r="N9" s="15">
        <f t="shared" si="7"/>
        <v>552760.32000000007</v>
      </c>
      <c r="O9" s="15">
        <f t="shared" si="8"/>
        <v>202239.52</v>
      </c>
      <c r="P9" s="15">
        <f t="shared" si="9"/>
        <v>202239.52</v>
      </c>
      <c r="Q9" s="15">
        <f t="shared" si="10"/>
        <v>62921.599999999999</v>
      </c>
      <c r="R9" s="15">
        <f t="shared" si="11"/>
        <v>10156614.720000001</v>
      </c>
    </row>
    <row r="10" spans="1:18" ht="12.75" x14ac:dyDescent="0.2">
      <c r="A10" t="s">
        <v>90</v>
      </c>
      <c r="B10" s="2" t="s">
        <v>19</v>
      </c>
      <c r="C10" s="2">
        <v>49</v>
      </c>
      <c r="D10" s="2">
        <v>3094</v>
      </c>
      <c r="E10" s="2" t="s">
        <v>16</v>
      </c>
      <c r="F10" s="2" t="s">
        <v>7</v>
      </c>
      <c r="G10" t="s">
        <v>19</v>
      </c>
      <c r="H10" s="15">
        <f t="shared" si="1"/>
        <v>1086891.26</v>
      </c>
      <c r="I10" s="15">
        <f t="shared" si="2"/>
        <v>876066.1</v>
      </c>
      <c r="J10" s="15">
        <f t="shared" si="3"/>
        <v>1152484.06</v>
      </c>
      <c r="K10" s="15">
        <f t="shared" si="4"/>
        <v>674615.76</v>
      </c>
      <c r="L10" s="15">
        <f t="shared" si="5"/>
        <v>501289.88</v>
      </c>
      <c r="M10" s="15">
        <f t="shared" si="6"/>
        <v>470813.98</v>
      </c>
      <c r="N10" s="15">
        <f t="shared" si="7"/>
        <v>288113.28000000003</v>
      </c>
      <c r="O10" s="15">
        <f t="shared" si="8"/>
        <v>105412.58</v>
      </c>
      <c r="P10" s="15">
        <f t="shared" si="9"/>
        <v>105412.58</v>
      </c>
      <c r="Q10" s="15">
        <f t="shared" si="10"/>
        <v>32796.400000000001</v>
      </c>
      <c r="R10" s="15">
        <f t="shared" si="11"/>
        <v>5293895.88</v>
      </c>
    </row>
    <row r="11" spans="1:18" ht="12.75" x14ac:dyDescent="0.2">
      <c r="A11" t="s">
        <v>90</v>
      </c>
      <c r="B11" s="2" t="s">
        <v>20</v>
      </c>
      <c r="C11" s="2">
        <v>41</v>
      </c>
      <c r="D11" s="2">
        <v>1165</v>
      </c>
      <c r="E11" s="2" t="s">
        <v>13</v>
      </c>
      <c r="F11" s="2" t="s">
        <v>7</v>
      </c>
      <c r="G11" t="s">
        <v>20</v>
      </c>
      <c r="H11" s="15">
        <f t="shared" si="1"/>
        <v>409252.85000000003</v>
      </c>
      <c r="I11" s="15">
        <f t="shared" si="2"/>
        <v>329869.75</v>
      </c>
      <c r="J11" s="15">
        <f t="shared" si="3"/>
        <v>433950.85000000003</v>
      </c>
      <c r="K11" s="15">
        <f t="shared" si="4"/>
        <v>254016.59999999998</v>
      </c>
      <c r="L11" s="15">
        <f t="shared" si="5"/>
        <v>188753.30000000002</v>
      </c>
      <c r="M11" s="15">
        <f t="shared" si="6"/>
        <v>177278.05</v>
      </c>
      <c r="N11" s="15">
        <f t="shared" si="7"/>
        <v>108484.8</v>
      </c>
      <c r="O11" s="15">
        <f t="shared" si="8"/>
        <v>39691.550000000003</v>
      </c>
      <c r="P11" s="15">
        <f t="shared" si="9"/>
        <v>39691.550000000003</v>
      </c>
      <c r="Q11" s="15">
        <f t="shared" si="10"/>
        <v>12349</v>
      </c>
      <c r="R11" s="15">
        <f t="shared" si="11"/>
        <v>1993338.3</v>
      </c>
    </row>
    <row r="12" spans="1:18" ht="12.75" x14ac:dyDescent="0.2">
      <c r="A12" t="s">
        <v>90</v>
      </c>
      <c r="B12" s="2" t="s">
        <v>21</v>
      </c>
      <c r="C12" s="2">
        <v>50</v>
      </c>
      <c r="D12" s="2">
        <v>3625</v>
      </c>
      <c r="E12" s="2" t="s">
        <v>13</v>
      </c>
      <c r="F12" s="2" t="s">
        <v>7</v>
      </c>
      <c r="G12" t="s">
        <v>21</v>
      </c>
      <c r="H12" s="15">
        <f t="shared" si="1"/>
        <v>1273426.25</v>
      </c>
      <c r="I12" s="15">
        <f t="shared" si="2"/>
        <v>1026418.7499999999</v>
      </c>
      <c r="J12" s="15">
        <f t="shared" si="3"/>
        <v>1350276.25</v>
      </c>
      <c r="K12" s="15">
        <f t="shared" si="4"/>
        <v>790395</v>
      </c>
      <c r="L12" s="15">
        <f t="shared" si="5"/>
        <v>587322.5</v>
      </c>
      <c r="M12" s="15">
        <f t="shared" si="6"/>
        <v>551616.25</v>
      </c>
      <c r="N12" s="15">
        <f t="shared" si="7"/>
        <v>337560</v>
      </c>
      <c r="O12" s="15">
        <f t="shared" si="8"/>
        <v>123503.75</v>
      </c>
      <c r="P12" s="15">
        <f t="shared" si="9"/>
        <v>123503.75</v>
      </c>
      <c r="Q12" s="15">
        <f t="shared" si="10"/>
        <v>38425</v>
      </c>
      <c r="R12" s="15">
        <f t="shared" si="11"/>
        <v>6202447.5</v>
      </c>
    </row>
    <row r="13" spans="1:18" ht="12.75" x14ac:dyDescent="0.2">
      <c r="A13" t="s">
        <v>90</v>
      </c>
      <c r="B13" s="2" t="s">
        <v>22</v>
      </c>
      <c r="C13" s="2">
        <v>46</v>
      </c>
      <c r="D13" s="2">
        <v>3216</v>
      </c>
      <c r="E13" s="2" t="s">
        <v>9</v>
      </c>
      <c r="F13" s="2" t="s">
        <v>7</v>
      </c>
      <c r="G13" t="s">
        <v>22</v>
      </c>
      <c r="H13" s="15">
        <f t="shared" si="1"/>
        <v>1129748.6400000001</v>
      </c>
      <c r="I13" s="15">
        <f t="shared" si="2"/>
        <v>910610.39999999991</v>
      </c>
      <c r="J13" s="15">
        <f t="shared" si="3"/>
        <v>1197927.8400000001</v>
      </c>
      <c r="K13" s="15">
        <f t="shared" si="4"/>
        <v>701216.64</v>
      </c>
      <c r="L13" s="15">
        <f t="shared" si="5"/>
        <v>521056.32</v>
      </c>
      <c r="M13" s="15">
        <f t="shared" si="6"/>
        <v>489378.72</v>
      </c>
      <c r="N13" s="15">
        <f t="shared" si="7"/>
        <v>299473.92000000004</v>
      </c>
      <c r="O13" s="15">
        <f t="shared" si="8"/>
        <v>109569.12</v>
      </c>
      <c r="P13" s="15">
        <f t="shared" si="9"/>
        <v>109569.12</v>
      </c>
      <c r="Q13" s="15">
        <f t="shared" si="10"/>
        <v>34089.599999999999</v>
      </c>
      <c r="R13" s="15">
        <f t="shared" si="11"/>
        <v>5502640.3200000003</v>
      </c>
    </row>
    <row r="14" spans="1:18" ht="12.75" x14ac:dyDescent="0.2">
      <c r="A14" t="s">
        <v>91</v>
      </c>
      <c r="B14" s="2" t="s">
        <v>23</v>
      </c>
      <c r="C14" s="2">
        <v>58</v>
      </c>
      <c r="D14" s="2">
        <v>10358</v>
      </c>
      <c r="E14" s="2" t="s">
        <v>9</v>
      </c>
      <c r="F14" s="2" t="s">
        <v>7</v>
      </c>
      <c r="G14" t="s">
        <v>23</v>
      </c>
      <c r="H14" s="15">
        <f t="shared" si="1"/>
        <v>3638661.8200000003</v>
      </c>
      <c r="I14" s="15">
        <f t="shared" si="2"/>
        <v>2932867.6999999997</v>
      </c>
      <c r="J14" s="15">
        <f t="shared" si="3"/>
        <v>3858251.42</v>
      </c>
      <c r="K14" s="15">
        <f t="shared" si="4"/>
        <v>2258458.3199999998</v>
      </c>
      <c r="L14" s="15">
        <f t="shared" si="5"/>
        <v>1678203.1600000001</v>
      </c>
      <c r="M14" s="15">
        <f t="shared" si="6"/>
        <v>1576176.8599999999</v>
      </c>
      <c r="N14" s="15">
        <f t="shared" si="7"/>
        <v>964536.96000000008</v>
      </c>
      <c r="O14" s="15">
        <f t="shared" si="8"/>
        <v>352897.06</v>
      </c>
      <c r="P14" s="15">
        <f t="shared" si="9"/>
        <v>352897.06</v>
      </c>
      <c r="Q14" s="15">
        <f t="shared" si="10"/>
        <v>109794.8</v>
      </c>
      <c r="R14" s="15">
        <f t="shared" si="11"/>
        <v>17722745.16</v>
      </c>
    </row>
    <row r="15" spans="1:18" ht="12.75" x14ac:dyDescent="0.2">
      <c r="A15" t="s">
        <v>90</v>
      </c>
      <c r="B15" s="2" t="s">
        <v>24</v>
      </c>
      <c r="C15" s="2">
        <v>40</v>
      </c>
      <c r="D15" s="2">
        <v>6743</v>
      </c>
      <c r="E15" s="2" t="s">
        <v>13</v>
      </c>
      <c r="F15" s="2" t="s">
        <v>7</v>
      </c>
      <c r="G15" t="s">
        <v>24</v>
      </c>
      <c r="H15" s="15">
        <f t="shared" si="1"/>
        <v>2368748.4700000002</v>
      </c>
      <c r="I15" s="15">
        <f t="shared" si="2"/>
        <v>1909280.45</v>
      </c>
      <c r="J15" s="15">
        <f t="shared" si="3"/>
        <v>2511700.0699999998</v>
      </c>
      <c r="K15" s="15">
        <f t="shared" si="4"/>
        <v>1470243.72</v>
      </c>
      <c r="L15" s="15">
        <f t="shared" si="5"/>
        <v>1092500.8600000001</v>
      </c>
      <c r="M15" s="15">
        <f t="shared" si="6"/>
        <v>1026082.3099999999</v>
      </c>
      <c r="N15" s="15">
        <f t="shared" si="7"/>
        <v>627908.16</v>
      </c>
      <c r="O15" s="15">
        <f t="shared" si="8"/>
        <v>229734.01</v>
      </c>
      <c r="P15" s="15">
        <f t="shared" si="9"/>
        <v>229734.01</v>
      </c>
      <c r="Q15" s="15">
        <f t="shared" si="10"/>
        <v>71475.8</v>
      </c>
      <c r="R15" s="15">
        <f t="shared" si="11"/>
        <v>11537407.859999999</v>
      </c>
    </row>
    <row r="16" spans="1:18" ht="12.75" x14ac:dyDescent="0.2">
      <c r="A16" t="s">
        <v>90</v>
      </c>
      <c r="B16" s="2" t="s">
        <v>25</v>
      </c>
      <c r="C16" s="2">
        <v>33</v>
      </c>
      <c r="D16" s="2">
        <v>2105</v>
      </c>
      <c r="E16" s="2" t="s">
        <v>9</v>
      </c>
      <c r="F16" s="2" t="s">
        <v>7</v>
      </c>
      <c r="G16" t="s">
        <v>25</v>
      </c>
      <c r="H16" s="15">
        <f t="shared" si="1"/>
        <v>739465.45000000007</v>
      </c>
      <c r="I16" s="15">
        <f t="shared" si="2"/>
        <v>596030.75</v>
      </c>
      <c r="J16" s="15">
        <f t="shared" si="3"/>
        <v>784091.45000000007</v>
      </c>
      <c r="K16" s="15">
        <f t="shared" si="4"/>
        <v>458974.2</v>
      </c>
      <c r="L16" s="15">
        <f t="shared" si="5"/>
        <v>341052.10000000003</v>
      </c>
      <c r="M16" s="15">
        <f t="shared" si="6"/>
        <v>320317.84999999998</v>
      </c>
      <c r="N16" s="15">
        <f t="shared" si="7"/>
        <v>196017.6</v>
      </c>
      <c r="O16" s="15">
        <f t="shared" si="8"/>
        <v>71717.350000000006</v>
      </c>
      <c r="P16" s="15">
        <f t="shared" si="9"/>
        <v>71717.350000000006</v>
      </c>
      <c r="Q16" s="15">
        <f t="shared" si="10"/>
        <v>22313</v>
      </c>
      <c r="R16" s="15">
        <f t="shared" si="11"/>
        <v>3601697.1</v>
      </c>
    </row>
    <row r="17" spans="1:18" ht="12.75" x14ac:dyDescent="0.2">
      <c r="A17" t="s">
        <v>90</v>
      </c>
      <c r="B17" s="2" t="s">
        <v>26</v>
      </c>
      <c r="C17" s="2">
        <v>34</v>
      </c>
      <c r="D17" s="2">
        <v>6060</v>
      </c>
      <c r="E17" s="2" t="s">
        <v>16</v>
      </c>
      <c r="F17" s="2" t="s">
        <v>7</v>
      </c>
      <c r="G17" t="s">
        <v>26</v>
      </c>
      <c r="H17" s="15">
        <f t="shared" si="1"/>
        <v>2128817.4</v>
      </c>
      <c r="I17" s="15">
        <f t="shared" si="2"/>
        <v>1715888.9999999998</v>
      </c>
      <c r="J17" s="15">
        <f t="shared" si="3"/>
        <v>2257289.4</v>
      </c>
      <c r="K17" s="15">
        <f t="shared" si="4"/>
        <v>1321322.3999999999</v>
      </c>
      <c r="L17" s="15">
        <f t="shared" si="5"/>
        <v>981841.20000000007</v>
      </c>
      <c r="M17" s="15">
        <f t="shared" si="6"/>
        <v>922150.2</v>
      </c>
      <c r="N17" s="15">
        <f t="shared" si="7"/>
        <v>564307.20000000007</v>
      </c>
      <c r="O17" s="15">
        <f t="shared" si="8"/>
        <v>206464.2</v>
      </c>
      <c r="P17" s="15">
        <f t="shared" si="9"/>
        <v>206464.2</v>
      </c>
      <c r="Q17" s="15">
        <f t="shared" si="10"/>
        <v>64236</v>
      </c>
      <c r="R17" s="15">
        <f t="shared" si="11"/>
        <v>10368781.199999999</v>
      </c>
    </row>
    <row r="18" spans="1:18" ht="12.75" x14ac:dyDescent="0.2">
      <c r="A18" t="s">
        <v>90</v>
      </c>
      <c r="B18" s="2" t="s">
        <v>27</v>
      </c>
      <c r="C18" s="2">
        <v>26</v>
      </c>
      <c r="D18" s="2">
        <v>12127</v>
      </c>
      <c r="E18" s="2" t="s">
        <v>9</v>
      </c>
      <c r="F18" s="2" t="s">
        <v>7</v>
      </c>
      <c r="G18" t="s">
        <v>27</v>
      </c>
      <c r="H18" s="15">
        <f t="shared" si="1"/>
        <v>4260093.83</v>
      </c>
      <c r="I18" s="15">
        <f t="shared" si="2"/>
        <v>3433760.05</v>
      </c>
      <c r="J18" s="15">
        <f t="shared" si="3"/>
        <v>4517186.2300000004</v>
      </c>
      <c r="K18" s="15">
        <f t="shared" si="4"/>
        <v>2644171.08</v>
      </c>
      <c r="L18" s="15">
        <f t="shared" si="5"/>
        <v>1964816.54</v>
      </c>
      <c r="M18" s="15">
        <f t="shared" si="6"/>
        <v>1845365.5899999999</v>
      </c>
      <c r="N18" s="15">
        <f t="shared" si="7"/>
        <v>1129266.24</v>
      </c>
      <c r="O18" s="15">
        <f t="shared" si="8"/>
        <v>413166.89</v>
      </c>
      <c r="P18" s="15">
        <f t="shared" si="9"/>
        <v>413166.89</v>
      </c>
      <c r="Q18" s="15">
        <f t="shared" si="10"/>
        <v>128546.2</v>
      </c>
      <c r="R18" s="15">
        <f t="shared" si="11"/>
        <v>20749539.539999999</v>
      </c>
    </row>
    <row r="19" spans="1:18" ht="12.75" x14ac:dyDescent="0.2">
      <c r="A19" t="s">
        <v>90</v>
      </c>
      <c r="B19" s="2" t="s">
        <v>28</v>
      </c>
      <c r="C19" s="2">
        <v>25</v>
      </c>
      <c r="D19" s="2">
        <v>1401</v>
      </c>
      <c r="E19" s="2" t="s">
        <v>9</v>
      </c>
      <c r="F19" s="2" t="s">
        <v>7</v>
      </c>
      <c r="G19" t="s">
        <v>28</v>
      </c>
      <c r="H19" s="15">
        <f t="shared" si="1"/>
        <v>492157.29000000004</v>
      </c>
      <c r="I19" s="15">
        <f t="shared" si="2"/>
        <v>396693.14999999997</v>
      </c>
      <c r="J19" s="15">
        <f t="shared" si="3"/>
        <v>521858.49</v>
      </c>
      <c r="K19" s="15">
        <f t="shared" si="4"/>
        <v>305474.03999999998</v>
      </c>
      <c r="L19" s="15">
        <f t="shared" si="5"/>
        <v>226990.02000000002</v>
      </c>
      <c r="M19" s="15">
        <f t="shared" si="6"/>
        <v>213190.16999999998</v>
      </c>
      <c r="N19" s="15">
        <f t="shared" si="7"/>
        <v>130461.12000000001</v>
      </c>
      <c r="O19" s="15">
        <f t="shared" si="8"/>
        <v>47732.07</v>
      </c>
      <c r="P19" s="15">
        <f t="shared" si="9"/>
        <v>47732.07</v>
      </c>
      <c r="Q19" s="15">
        <f t="shared" si="10"/>
        <v>14850.6</v>
      </c>
      <c r="R19" s="15">
        <f t="shared" si="11"/>
        <v>2397139.02</v>
      </c>
    </row>
    <row r="20" spans="1:18" ht="12.75" x14ac:dyDescent="0.2">
      <c r="A20" t="s">
        <v>90</v>
      </c>
      <c r="B20" s="2" t="s">
        <v>29</v>
      </c>
      <c r="C20" s="2" t="s">
        <v>30</v>
      </c>
      <c r="D20" s="2">
        <v>35663</v>
      </c>
      <c r="E20" s="2" t="s">
        <v>9</v>
      </c>
      <c r="F20" s="2" t="s">
        <v>7</v>
      </c>
      <c r="G20" t="s">
        <v>29</v>
      </c>
      <c r="H20" s="15">
        <f t="shared" si="1"/>
        <v>12528055.270000001</v>
      </c>
      <c r="I20" s="15">
        <f t="shared" si="2"/>
        <v>10097978.449999999</v>
      </c>
      <c r="J20" s="15">
        <f t="shared" si="3"/>
        <v>13284110.870000001</v>
      </c>
      <c r="K20" s="15">
        <f t="shared" si="4"/>
        <v>7775960.5199999996</v>
      </c>
      <c r="L20" s="15">
        <f t="shared" si="5"/>
        <v>5778119.2600000007</v>
      </c>
      <c r="M20" s="15">
        <f t="shared" si="6"/>
        <v>5426838.71</v>
      </c>
      <c r="N20" s="15">
        <f t="shared" si="7"/>
        <v>3320938.56</v>
      </c>
      <c r="O20" s="15">
        <f t="shared" si="8"/>
        <v>1215038.4099999999</v>
      </c>
      <c r="P20" s="15">
        <f t="shared" si="9"/>
        <v>1215038.4099999999</v>
      </c>
      <c r="Q20" s="15">
        <f t="shared" si="10"/>
        <v>378027.8</v>
      </c>
      <c r="R20" s="15">
        <f t="shared" si="11"/>
        <v>61020106.259999998</v>
      </c>
    </row>
    <row r="21" spans="1:18" ht="12.75" x14ac:dyDescent="0.2">
      <c r="A21" t="s">
        <v>90</v>
      </c>
      <c r="B21" s="2" t="s">
        <v>31</v>
      </c>
      <c r="C21" s="2">
        <v>9</v>
      </c>
      <c r="D21" s="2">
        <v>24750</v>
      </c>
      <c r="E21" s="2" t="s">
        <v>9</v>
      </c>
      <c r="F21" s="2" t="s">
        <v>7</v>
      </c>
      <c r="G21" t="s">
        <v>31</v>
      </c>
      <c r="H21" s="15">
        <f t="shared" si="1"/>
        <v>8694427.5</v>
      </c>
      <c r="I21" s="15">
        <f t="shared" si="2"/>
        <v>7007962.4999999991</v>
      </c>
      <c r="J21" s="15">
        <f t="shared" si="3"/>
        <v>9219127.5</v>
      </c>
      <c r="K21" s="15">
        <f t="shared" si="4"/>
        <v>5396490</v>
      </c>
      <c r="L21" s="15">
        <f t="shared" si="5"/>
        <v>4009995.0000000005</v>
      </c>
      <c r="M21" s="15">
        <f t="shared" si="6"/>
        <v>3766207.4999999995</v>
      </c>
      <c r="N21" s="15">
        <f t="shared" si="7"/>
        <v>2304720</v>
      </c>
      <c r="O21" s="15">
        <f t="shared" si="8"/>
        <v>843232.5</v>
      </c>
      <c r="P21" s="15">
        <f t="shared" si="9"/>
        <v>843232.5</v>
      </c>
      <c r="Q21" s="15">
        <f t="shared" si="10"/>
        <v>262350</v>
      </c>
      <c r="R21" s="15">
        <f t="shared" si="11"/>
        <v>42347745</v>
      </c>
    </row>
    <row r="22" spans="1:18" ht="12.75" x14ac:dyDescent="0.2">
      <c r="A22" t="s">
        <v>90</v>
      </c>
      <c r="B22" s="2" t="s">
        <v>32</v>
      </c>
      <c r="C22" s="2">
        <v>10</v>
      </c>
      <c r="D22" s="2">
        <v>7193</v>
      </c>
      <c r="E22" s="2" t="s">
        <v>9</v>
      </c>
      <c r="F22" s="2" t="s">
        <v>7</v>
      </c>
      <c r="G22" t="s">
        <v>32</v>
      </c>
      <c r="H22" s="15">
        <f t="shared" si="1"/>
        <v>2526828.9700000002</v>
      </c>
      <c r="I22" s="15">
        <f t="shared" si="2"/>
        <v>2036697.9499999997</v>
      </c>
      <c r="J22" s="15">
        <f t="shared" si="3"/>
        <v>2679320.5700000003</v>
      </c>
      <c r="K22" s="15">
        <f t="shared" si="4"/>
        <v>1568361.72</v>
      </c>
      <c r="L22" s="15">
        <f t="shared" si="5"/>
        <v>1165409.8600000001</v>
      </c>
      <c r="M22" s="15">
        <f t="shared" si="6"/>
        <v>1094558.8099999998</v>
      </c>
      <c r="N22" s="15">
        <f t="shared" si="7"/>
        <v>669812.16</v>
      </c>
      <c r="O22" s="15">
        <f t="shared" si="8"/>
        <v>245065.51</v>
      </c>
      <c r="P22" s="15">
        <f t="shared" si="9"/>
        <v>245065.51</v>
      </c>
      <c r="Q22" s="15">
        <f t="shared" si="10"/>
        <v>76245.8</v>
      </c>
      <c r="R22" s="15">
        <f t="shared" si="11"/>
        <v>12307366.859999999</v>
      </c>
    </row>
    <row r="23" spans="1:18" ht="12.75" x14ac:dyDescent="0.2">
      <c r="A23" t="s">
        <v>90</v>
      </c>
      <c r="B23" s="2" t="s">
        <v>33</v>
      </c>
      <c r="C23" s="2">
        <v>18</v>
      </c>
      <c r="D23" s="2">
        <v>1809</v>
      </c>
      <c r="E23" s="2" t="s">
        <v>9</v>
      </c>
      <c r="F23" s="2" t="s">
        <v>7</v>
      </c>
      <c r="G23" t="s">
        <v>33</v>
      </c>
      <c r="H23" s="15">
        <f t="shared" si="1"/>
        <v>635483.61</v>
      </c>
      <c r="I23" s="15">
        <f t="shared" si="2"/>
        <v>512218.35</v>
      </c>
      <c r="J23" s="15">
        <f t="shared" si="3"/>
        <v>673834.41</v>
      </c>
      <c r="K23" s="15">
        <f t="shared" si="4"/>
        <v>394434.36</v>
      </c>
      <c r="L23" s="15">
        <f t="shared" si="5"/>
        <v>293094.18</v>
      </c>
      <c r="M23" s="15">
        <f t="shared" si="6"/>
        <v>275275.52999999997</v>
      </c>
      <c r="N23" s="15">
        <f t="shared" si="7"/>
        <v>168454.08000000002</v>
      </c>
      <c r="O23" s="15">
        <f t="shared" si="8"/>
        <v>61632.63</v>
      </c>
      <c r="P23" s="15">
        <f t="shared" si="9"/>
        <v>61632.63</v>
      </c>
      <c r="Q23" s="15">
        <f t="shared" si="10"/>
        <v>19175.399999999998</v>
      </c>
      <c r="R23" s="15">
        <f t="shared" si="11"/>
        <v>3095235.18</v>
      </c>
    </row>
    <row r="24" spans="1:18" ht="12.75" x14ac:dyDescent="0.2">
      <c r="A24" t="s">
        <v>90</v>
      </c>
      <c r="B24" s="2" t="s">
        <v>34</v>
      </c>
      <c r="C24" s="2">
        <v>6</v>
      </c>
      <c r="D24" s="2">
        <v>965</v>
      </c>
      <c r="E24" s="2" t="s">
        <v>9</v>
      </c>
      <c r="F24" s="2" t="s">
        <v>7</v>
      </c>
      <c r="G24" t="s">
        <v>34</v>
      </c>
      <c r="H24" s="15">
        <f t="shared" si="1"/>
        <v>338994.85000000003</v>
      </c>
      <c r="I24" s="15">
        <f t="shared" si="2"/>
        <v>273239.75</v>
      </c>
      <c r="J24" s="15">
        <f t="shared" si="3"/>
        <v>359452.85000000003</v>
      </c>
      <c r="K24" s="15">
        <f t="shared" si="4"/>
        <v>210408.6</v>
      </c>
      <c r="L24" s="15">
        <f t="shared" si="5"/>
        <v>156349.30000000002</v>
      </c>
      <c r="M24" s="15">
        <f t="shared" si="6"/>
        <v>146844.04999999999</v>
      </c>
      <c r="N24" s="15">
        <f t="shared" si="7"/>
        <v>89860.800000000003</v>
      </c>
      <c r="O24" s="15">
        <f t="shared" si="8"/>
        <v>32877.550000000003</v>
      </c>
      <c r="P24" s="15">
        <f t="shared" si="9"/>
        <v>32877.550000000003</v>
      </c>
      <c r="Q24" s="15">
        <f t="shared" si="10"/>
        <v>10229</v>
      </c>
      <c r="R24" s="15">
        <f t="shared" si="11"/>
        <v>1651134.3</v>
      </c>
    </row>
    <row r="25" spans="1:18" ht="12.75" x14ac:dyDescent="0.2">
      <c r="A25" t="s">
        <v>90</v>
      </c>
      <c r="B25" s="2" t="s">
        <v>35</v>
      </c>
      <c r="C25" s="2">
        <v>20</v>
      </c>
      <c r="D25" s="2">
        <v>2383</v>
      </c>
      <c r="E25" s="2" t="s">
        <v>9</v>
      </c>
      <c r="F25" s="2" t="s">
        <v>7</v>
      </c>
      <c r="G25" t="s">
        <v>35</v>
      </c>
      <c r="H25" s="15">
        <f t="shared" si="1"/>
        <v>837124.07000000007</v>
      </c>
      <c r="I25" s="15">
        <f t="shared" si="2"/>
        <v>674746.45</v>
      </c>
      <c r="J25" s="15">
        <f t="shared" si="3"/>
        <v>887643.67</v>
      </c>
      <c r="K25" s="15">
        <f t="shared" si="4"/>
        <v>519589.32</v>
      </c>
      <c r="L25" s="15">
        <f t="shared" si="5"/>
        <v>386093.66000000003</v>
      </c>
      <c r="M25" s="15">
        <f t="shared" si="6"/>
        <v>362621.11</v>
      </c>
      <c r="N25" s="15">
        <f t="shared" si="7"/>
        <v>221904.96000000002</v>
      </c>
      <c r="O25" s="15">
        <f t="shared" si="8"/>
        <v>81188.81</v>
      </c>
      <c r="P25" s="15">
        <f t="shared" si="9"/>
        <v>81188.81</v>
      </c>
      <c r="Q25" s="15">
        <f t="shared" si="10"/>
        <v>25259.8</v>
      </c>
      <c r="R25" s="15">
        <f t="shared" si="11"/>
        <v>4077360.66</v>
      </c>
    </row>
    <row r="26" spans="1:18" ht="12.75" x14ac:dyDescent="0.2">
      <c r="A26" t="s">
        <v>90</v>
      </c>
      <c r="B26" s="2" t="s">
        <v>36</v>
      </c>
      <c r="C26" s="2">
        <v>27</v>
      </c>
      <c r="D26" s="2">
        <v>2470</v>
      </c>
      <c r="E26" s="2" t="s">
        <v>9</v>
      </c>
      <c r="F26" s="2" t="s">
        <v>7</v>
      </c>
      <c r="G26" t="s">
        <v>36</v>
      </c>
      <c r="H26" s="15">
        <f t="shared" si="1"/>
        <v>867686.3</v>
      </c>
      <c r="I26" s="15">
        <f t="shared" si="2"/>
        <v>699380.5</v>
      </c>
      <c r="J26" s="15">
        <f t="shared" si="3"/>
        <v>920050.3</v>
      </c>
      <c r="K26" s="15">
        <f t="shared" si="4"/>
        <v>538558.79999999993</v>
      </c>
      <c r="L26" s="15">
        <f t="shared" si="5"/>
        <v>400189.4</v>
      </c>
      <c r="M26" s="15">
        <f t="shared" si="6"/>
        <v>375859.89999999997</v>
      </c>
      <c r="N26" s="15">
        <f t="shared" si="7"/>
        <v>230006.40000000002</v>
      </c>
      <c r="O26" s="15">
        <f t="shared" si="8"/>
        <v>84152.9</v>
      </c>
      <c r="P26" s="15">
        <f t="shared" si="9"/>
        <v>84152.9</v>
      </c>
      <c r="Q26" s="15">
        <f t="shared" si="10"/>
        <v>26182</v>
      </c>
      <c r="R26" s="15">
        <f t="shared" si="11"/>
        <v>4226219.4000000004</v>
      </c>
    </row>
    <row r="27" spans="1:18" ht="12.75" x14ac:dyDescent="0.2">
      <c r="A27" t="s">
        <v>90</v>
      </c>
      <c r="B27" s="2" t="s">
        <v>37</v>
      </c>
      <c r="C27" s="2">
        <v>32</v>
      </c>
      <c r="D27" s="2">
        <v>5533</v>
      </c>
      <c r="E27" s="2" t="s">
        <v>16</v>
      </c>
      <c r="F27" s="2" t="s">
        <v>7</v>
      </c>
      <c r="G27" t="s">
        <v>37</v>
      </c>
      <c r="H27" s="15">
        <f t="shared" si="1"/>
        <v>1943687.57</v>
      </c>
      <c r="I27" s="15">
        <f t="shared" si="2"/>
        <v>1566668.95</v>
      </c>
      <c r="J27" s="15">
        <f t="shared" si="3"/>
        <v>2060987.1700000002</v>
      </c>
      <c r="K27" s="15">
        <f t="shared" si="4"/>
        <v>1206415.32</v>
      </c>
      <c r="L27" s="15">
        <f t="shared" si="5"/>
        <v>896456.66</v>
      </c>
      <c r="M27" s="15">
        <f t="shared" si="6"/>
        <v>841956.61</v>
      </c>
      <c r="N27" s="15">
        <f t="shared" si="7"/>
        <v>515232.96</v>
      </c>
      <c r="O27" s="15">
        <f t="shared" si="8"/>
        <v>188509.31</v>
      </c>
      <c r="P27" s="15">
        <f t="shared" si="9"/>
        <v>188509.31</v>
      </c>
      <c r="Q27" s="15">
        <f t="shared" si="10"/>
        <v>58649.799999999996</v>
      </c>
      <c r="R27" s="15">
        <f t="shared" si="11"/>
        <v>9467073.6600000001</v>
      </c>
    </row>
    <row r="28" spans="1:18" ht="12.75" x14ac:dyDescent="0.2">
      <c r="A28" t="s">
        <v>90</v>
      </c>
      <c r="B28" s="2" t="s">
        <v>38</v>
      </c>
      <c r="C28" s="2">
        <v>35</v>
      </c>
      <c r="D28" s="2">
        <v>4214</v>
      </c>
      <c r="E28" s="2" t="s">
        <v>9</v>
      </c>
      <c r="F28" s="2" t="s">
        <v>7</v>
      </c>
      <c r="G28" t="s">
        <v>38</v>
      </c>
      <c r="H28" s="15">
        <f t="shared" si="1"/>
        <v>1480336.06</v>
      </c>
      <c r="I28" s="15">
        <f t="shared" si="2"/>
        <v>1193194.0999999999</v>
      </c>
      <c r="J28" s="15">
        <f t="shared" si="3"/>
        <v>1569672.86</v>
      </c>
      <c r="K28" s="15">
        <f t="shared" si="4"/>
        <v>918820.55999999994</v>
      </c>
      <c r="L28" s="15">
        <f t="shared" si="5"/>
        <v>682752.28</v>
      </c>
      <c r="M28" s="15">
        <f t="shared" si="6"/>
        <v>641244.38</v>
      </c>
      <c r="N28" s="15">
        <f t="shared" si="7"/>
        <v>392407.68</v>
      </c>
      <c r="O28" s="15">
        <f t="shared" si="8"/>
        <v>143570.98000000001</v>
      </c>
      <c r="P28" s="15">
        <f t="shared" si="9"/>
        <v>143570.98000000001</v>
      </c>
      <c r="Q28" s="15">
        <f t="shared" si="10"/>
        <v>44668.4</v>
      </c>
      <c r="R28" s="15">
        <f t="shared" si="11"/>
        <v>7210238.2800000003</v>
      </c>
    </row>
    <row r="29" spans="1:18" ht="12.75" x14ac:dyDescent="0.2">
      <c r="A29" t="s">
        <v>90</v>
      </c>
      <c r="B29" s="2" t="s">
        <v>39</v>
      </c>
      <c r="C29" s="2">
        <v>36</v>
      </c>
      <c r="D29" s="2">
        <v>774</v>
      </c>
      <c r="E29" s="2" t="s">
        <v>13</v>
      </c>
      <c r="F29" s="2" t="s">
        <v>7</v>
      </c>
      <c r="G29" t="s">
        <v>39</v>
      </c>
      <c r="H29" s="15">
        <f t="shared" si="1"/>
        <v>271898.46000000002</v>
      </c>
      <c r="I29" s="15">
        <f t="shared" si="2"/>
        <v>219158.09999999998</v>
      </c>
      <c r="J29" s="15">
        <f t="shared" si="3"/>
        <v>288307.26</v>
      </c>
      <c r="K29" s="15">
        <f t="shared" si="4"/>
        <v>168762.96</v>
      </c>
      <c r="L29" s="15">
        <f t="shared" si="5"/>
        <v>125403.48000000001</v>
      </c>
      <c r="M29" s="15">
        <f t="shared" si="6"/>
        <v>117779.57999999999</v>
      </c>
      <c r="N29" s="15">
        <f t="shared" si="7"/>
        <v>72074.880000000005</v>
      </c>
      <c r="O29" s="15">
        <f t="shared" si="8"/>
        <v>26370.18</v>
      </c>
      <c r="P29" s="15">
        <f t="shared" si="9"/>
        <v>26370.18</v>
      </c>
      <c r="Q29" s="15">
        <f t="shared" si="10"/>
        <v>8204.4</v>
      </c>
      <c r="R29" s="15">
        <f t="shared" si="11"/>
        <v>1324329.48</v>
      </c>
    </row>
    <row r="30" spans="1:18" ht="12.75" x14ac:dyDescent="0.2">
      <c r="A30" t="s">
        <v>90</v>
      </c>
      <c r="B30" s="2" t="s">
        <v>40</v>
      </c>
      <c r="C30" s="2">
        <v>44</v>
      </c>
      <c r="D30" s="2">
        <v>5217</v>
      </c>
      <c r="E30" s="2" t="s">
        <v>16</v>
      </c>
      <c r="F30" s="2" t="s">
        <v>7</v>
      </c>
      <c r="G30" t="s">
        <v>40</v>
      </c>
      <c r="H30" s="15">
        <f t="shared" si="1"/>
        <v>1832679.9300000002</v>
      </c>
      <c r="I30" s="15">
        <f t="shared" si="2"/>
        <v>1477193.5499999998</v>
      </c>
      <c r="J30" s="15">
        <f t="shared" si="3"/>
        <v>1943280.33</v>
      </c>
      <c r="K30" s="15">
        <f t="shared" si="4"/>
        <v>1137514.68</v>
      </c>
      <c r="L30" s="15">
        <f t="shared" si="5"/>
        <v>845258.34000000008</v>
      </c>
      <c r="M30" s="15">
        <f t="shared" si="6"/>
        <v>793870.8899999999</v>
      </c>
      <c r="N30" s="15">
        <f t="shared" si="7"/>
        <v>485807.04000000004</v>
      </c>
      <c r="O30" s="15">
        <f t="shared" si="8"/>
        <v>177743.19</v>
      </c>
      <c r="P30" s="15">
        <f t="shared" si="9"/>
        <v>177743.19</v>
      </c>
      <c r="Q30" s="15">
        <f t="shared" si="10"/>
        <v>55300.2</v>
      </c>
      <c r="R30" s="15">
        <f t="shared" si="11"/>
        <v>8926391.3399999999</v>
      </c>
    </row>
    <row r="31" spans="1:18" ht="12.75" x14ac:dyDescent="0.2">
      <c r="A31" s="19" t="s">
        <v>92</v>
      </c>
      <c r="B31" s="2" t="s">
        <v>100</v>
      </c>
      <c r="C31" s="2"/>
      <c r="D31" s="2">
        <v>1380</v>
      </c>
      <c r="E31" s="2" t="s">
        <v>101</v>
      </c>
      <c r="F31" s="2" t="s">
        <v>7</v>
      </c>
      <c r="G31" s="2" t="s">
        <v>100</v>
      </c>
      <c r="H31" s="15">
        <f t="shared" si="1"/>
        <v>484780.2</v>
      </c>
      <c r="I31" s="15">
        <f t="shared" si="2"/>
        <v>390746.99999999994</v>
      </c>
      <c r="J31" s="15">
        <f t="shared" si="3"/>
        <v>514036.2</v>
      </c>
      <c r="K31" s="15">
        <f t="shared" si="4"/>
        <v>300895.2</v>
      </c>
      <c r="L31" s="15">
        <f t="shared" si="5"/>
        <v>223587.6</v>
      </c>
      <c r="M31" s="15">
        <f t="shared" si="6"/>
        <v>209994.59999999998</v>
      </c>
      <c r="N31" s="15">
        <f t="shared" si="7"/>
        <v>128505.60000000001</v>
      </c>
      <c r="O31" s="15">
        <f t="shared" si="8"/>
        <v>47016.6</v>
      </c>
      <c r="P31" s="15">
        <f t="shared" si="9"/>
        <v>47016.6</v>
      </c>
      <c r="Q31" s="15">
        <f t="shared" si="10"/>
        <v>14628</v>
      </c>
      <c r="R31" s="15">
        <f t="shared" si="11"/>
        <v>2361207.6</v>
      </c>
    </row>
    <row r="32" spans="1:18" ht="12.75" x14ac:dyDescent="0.2">
      <c r="A32" t="s">
        <v>92</v>
      </c>
      <c r="B32" s="2" t="s">
        <v>41</v>
      </c>
      <c r="C32" s="2">
        <v>39</v>
      </c>
      <c r="D32" s="2">
        <v>3220</v>
      </c>
      <c r="E32" s="2" t="s">
        <v>9</v>
      </c>
      <c r="F32" s="2" t="s">
        <v>7</v>
      </c>
      <c r="G32" t="s">
        <v>41</v>
      </c>
      <c r="H32" s="15">
        <f t="shared" si="1"/>
        <v>1131153.8</v>
      </c>
      <c r="I32" s="15">
        <f t="shared" si="2"/>
        <v>911742.99999999988</v>
      </c>
      <c r="J32" s="15">
        <f t="shared" si="3"/>
        <v>1199417.8</v>
      </c>
      <c r="K32" s="15">
        <f t="shared" si="4"/>
        <v>702088.79999999993</v>
      </c>
      <c r="L32" s="15">
        <f t="shared" si="5"/>
        <v>521704.4</v>
      </c>
      <c r="M32" s="15">
        <f t="shared" si="6"/>
        <v>489987.39999999997</v>
      </c>
      <c r="N32" s="15">
        <f t="shared" si="7"/>
        <v>299846.40000000002</v>
      </c>
      <c r="O32" s="15">
        <f t="shared" si="8"/>
        <v>109705.4</v>
      </c>
      <c r="P32" s="15">
        <f t="shared" si="9"/>
        <v>109705.4</v>
      </c>
      <c r="Q32" s="15">
        <f t="shared" si="10"/>
        <v>34132</v>
      </c>
      <c r="R32" s="15">
        <f t="shared" si="11"/>
        <v>5509484.4000000004</v>
      </c>
    </row>
    <row r="33" spans="1:18" ht="12.75" x14ac:dyDescent="0.2">
      <c r="A33" t="s">
        <v>92</v>
      </c>
      <c r="B33" s="2" t="s">
        <v>42</v>
      </c>
      <c r="C33" s="2">
        <v>43</v>
      </c>
      <c r="D33" s="2">
        <v>3459</v>
      </c>
      <c r="E33" s="2" t="s">
        <v>13</v>
      </c>
      <c r="F33" s="2" t="s">
        <v>7</v>
      </c>
      <c r="G33" t="s">
        <v>42</v>
      </c>
      <c r="H33" s="15">
        <f t="shared" si="1"/>
        <v>1215112.1100000001</v>
      </c>
      <c r="I33" s="15">
        <f t="shared" si="2"/>
        <v>979415.85</v>
      </c>
      <c r="J33" s="15">
        <f t="shared" si="3"/>
        <v>1288442.9099999999</v>
      </c>
      <c r="K33" s="15">
        <f t="shared" si="4"/>
        <v>754200.36</v>
      </c>
      <c r="L33" s="15">
        <f t="shared" si="5"/>
        <v>560427.18000000005</v>
      </c>
      <c r="M33" s="15">
        <f t="shared" si="6"/>
        <v>526356.02999999991</v>
      </c>
      <c r="N33" s="15">
        <f t="shared" si="7"/>
        <v>322102.08</v>
      </c>
      <c r="O33" s="15">
        <f t="shared" si="8"/>
        <v>117848.13</v>
      </c>
      <c r="P33" s="15">
        <f t="shared" si="9"/>
        <v>117848.13</v>
      </c>
      <c r="Q33" s="15">
        <f t="shared" si="10"/>
        <v>36665.4</v>
      </c>
      <c r="R33" s="15">
        <f t="shared" si="11"/>
        <v>5918418.1799999997</v>
      </c>
    </row>
    <row r="34" spans="1:18" ht="12.75" x14ac:dyDescent="0.2">
      <c r="A34" t="s">
        <v>92</v>
      </c>
      <c r="B34" s="2" t="s">
        <v>43</v>
      </c>
      <c r="C34" s="2">
        <v>53</v>
      </c>
      <c r="D34" s="2">
        <v>5436</v>
      </c>
      <c r="E34" s="2" t="s">
        <v>16</v>
      </c>
      <c r="F34" s="2" t="s">
        <v>7</v>
      </c>
      <c r="G34" t="s">
        <v>43</v>
      </c>
      <c r="H34" s="15">
        <f t="shared" si="1"/>
        <v>1909612.4400000002</v>
      </c>
      <c r="I34" s="15">
        <f t="shared" si="2"/>
        <v>1539203.4</v>
      </c>
      <c r="J34" s="15">
        <f t="shared" si="3"/>
        <v>2024855.6400000001</v>
      </c>
      <c r="K34" s="15">
        <f t="shared" si="4"/>
        <v>1185265.44</v>
      </c>
      <c r="L34" s="15">
        <f t="shared" si="5"/>
        <v>880740.72000000009</v>
      </c>
      <c r="M34" s="15">
        <f t="shared" si="6"/>
        <v>827196.11999999988</v>
      </c>
      <c r="N34" s="15">
        <f t="shared" si="7"/>
        <v>506200.32000000001</v>
      </c>
      <c r="O34" s="15">
        <f t="shared" si="8"/>
        <v>185204.52</v>
      </c>
      <c r="P34" s="15">
        <f t="shared" si="9"/>
        <v>185204.52</v>
      </c>
      <c r="Q34" s="15">
        <f t="shared" si="10"/>
        <v>57621.599999999999</v>
      </c>
      <c r="R34" s="15">
        <f t="shared" si="11"/>
        <v>9301104.7200000007</v>
      </c>
    </row>
    <row r="35" spans="1:18" ht="12.75" x14ac:dyDescent="0.2">
      <c r="A35" t="s">
        <v>92</v>
      </c>
      <c r="B35" s="2" t="s">
        <v>44</v>
      </c>
      <c r="C35" s="2">
        <v>52</v>
      </c>
      <c r="D35" s="2">
        <v>2135</v>
      </c>
      <c r="E35" s="2" t="s">
        <v>16</v>
      </c>
      <c r="F35" s="2" t="s">
        <v>7</v>
      </c>
      <c r="G35" t="s">
        <v>44</v>
      </c>
      <c r="H35" s="15">
        <f t="shared" si="1"/>
        <v>750004.15</v>
      </c>
      <c r="I35" s="15">
        <f t="shared" si="2"/>
        <v>604525.25</v>
      </c>
      <c r="J35" s="15">
        <f t="shared" si="3"/>
        <v>795266.15</v>
      </c>
      <c r="K35" s="15">
        <f t="shared" si="4"/>
        <v>465515.39999999997</v>
      </c>
      <c r="L35" s="15">
        <f t="shared" si="5"/>
        <v>345912.7</v>
      </c>
      <c r="M35" s="15">
        <f t="shared" si="6"/>
        <v>324882.94999999995</v>
      </c>
      <c r="N35" s="15">
        <f t="shared" si="7"/>
        <v>198811.2</v>
      </c>
      <c r="O35" s="15">
        <f t="shared" si="8"/>
        <v>72739.45</v>
      </c>
      <c r="P35" s="15">
        <f t="shared" si="9"/>
        <v>72739.45</v>
      </c>
      <c r="Q35" s="15">
        <f t="shared" si="10"/>
        <v>22631</v>
      </c>
      <c r="R35" s="15">
        <f t="shared" si="11"/>
        <v>3653027.7</v>
      </c>
    </row>
    <row r="36" spans="1:18" ht="12.75" x14ac:dyDescent="0.2">
      <c r="A36" t="s">
        <v>92</v>
      </c>
      <c r="B36" s="2" t="s">
        <v>45</v>
      </c>
      <c r="C36" s="2">
        <v>54</v>
      </c>
      <c r="D36" s="2">
        <v>10178</v>
      </c>
      <c r="E36" s="2" t="s">
        <v>16</v>
      </c>
      <c r="F36" s="2" t="s">
        <v>7</v>
      </c>
      <c r="G36" t="s">
        <v>45</v>
      </c>
      <c r="H36" s="15">
        <f t="shared" si="1"/>
        <v>3575429.62</v>
      </c>
      <c r="I36" s="15">
        <f t="shared" si="2"/>
        <v>2881900.6999999997</v>
      </c>
      <c r="J36" s="15">
        <f t="shared" si="3"/>
        <v>3791203.22</v>
      </c>
      <c r="K36" s="15">
        <f t="shared" si="4"/>
        <v>2219211.12</v>
      </c>
      <c r="L36" s="15">
        <f t="shared" si="5"/>
        <v>1649039.56</v>
      </c>
      <c r="M36" s="15">
        <f t="shared" si="6"/>
        <v>1548786.2599999998</v>
      </c>
      <c r="N36" s="15">
        <f t="shared" si="7"/>
        <v>947775.3600000001</v>
      </c>
      <c r="O36" s="15">
        <f t="shared" si="8"/>
        <v>346764.46</v>
      </c>
      <c r="P36" s="15">
        <f t="shared" si="9"/>
        <v>346764.46</v>
      </c>
      <c r="Q36" s="15">
        <f t="shared" si="10"/>
        <v>107886.8</v>
      </c>
      <c r="R36" s="15">
        <f t="shared" si="11"/>
        <v>17414761.559999999</v>
      </c>
    </row>
    <row r="37" spans="1:18" ht="12.75" x14ac:dyDescent="0.2">
      <c r="A37" t="s">
        <v>92</v>
      </c>
      <c r="B37" s="2" t="s">
        <v>46</v>
      </c>
      <c r="C37" s="2">
        <v>55</v>
      </c>
      <c r="D37" s="2">
        <v>3559</v>
      </c>
      <c r="E37" s="2" t="s">
        <v>16</v>
      </c>
      <c r="F37" s="2" t="s">
        <v>7</v>
      </c>
      <c r="G37" t="s">
        <v>46</v>
      </c>
      <c r="H37" s="15">
        <f t="shared" si="1"/>
        <v>1250241.1100000001</v>
      </c>
      <c r="I37" s="15">
        <f t="shared" si="2"/>
        <v>1007730.85</v>
      </c>
      <c r="J37" s="15">
        <f t="shared" si="3"/>
        <v>1325691.9099999999</v>
      </c>
      <c r="K37" s="15">
        <f t="shared" si="4"/>
        <v>776004.36</v>
      </c>
      <c r="L37" s="15">
        <f t="shared" si="5"/>
        <v>576629.18000000005</v>
      </c>
      <c r="M37" s="15">
        <f t="shared" si="6"/>
        <v>541573.02999999991</v>
      </c>
      <c r="N37" s="15">
        <f t="shared" si="7"/>
        <v>331414.08</v>
      </c>
      <c r="O37" s="15">
        <f t="shared" si="8"/>
        <v>121255.13</v>
      </c>
      <c r="P37" s="15">
        <f t="shared" si="9"/>
        <v>121255.13</v>
      </c>
      <c r="Q37" s="15">
        <f t="shared" si="10"/>
        <v>37725.4</v>
      </c>
      <c r="R37" s="15">
        <f t="shared" si="11"/>
        <v>6089520.1799999997</v>
      </c>
    </row>
    <row r="38" spans="1:18" ht="12.75" x14ac:dyDescent="0.2">
      <c r="A38" t="s">
        <v>88</v>
      </c>
      <c r="B38" s="2" t="s">
        <v>47</v>
      </c>
      <c r="C38" s="2">
        <v>63</v>
      </c>
      <c r="D38" s="2">
        <v>208</v>
      </c>
      <c r="E38" s="2" t="s">
        <v>9</v>
      </c>
      <c r="F38" s="2" t="s">
        <v>7</v>
      </c>
      <c r="G38" t="s">
        <v>47</v>
      </c>
      <c r="H38" s="15">
        <f t="shared" si="1"/>
        <v>73068.320000000007</v>
      </c>
      <c r="I38" s="15">
        <f t="shared" si="2"/>
        <v>58895.199999999997</v>
      </c>
      <c r="J38" s="15">
        <f t="shared" si="3"/>
        <v>77477.919999999998</v>
      </c>
      <c r="K38" s="15">
        <f t="shared" si="4"/>
        <v>45352.32</v>
      </c>
      <c r="L38" s="15">
        <f t="shared" si="5"/>
        <v>33700.160000000003</v>
      </c>
      <c r="M38" s="15">
        <f t="shared" si="6"/>
        <v>31651.359999999997</v>
      </c>
      <c r="N38" s="15">
        <f t="shared" si="7"/>
        <v>19368.96</v>
      </c>
      <c r="O38" s="15">
        <f t="shared" si="8"/>
        <v>7086.56</v>
      </c>
      <c r="P38" s="15">
        <f t="shared" si="9"/>
        <v>7086.56</v>
      </c>
      <c r="Q38" s="15">
        <f t="shared" si="10"/>
        <v>2204.7999999999997</v>
      </c>
      <c r="R38" s="15">
        <f t="shared" si="11"/>
        <v>355892.16</v>
      </c>
    </row>
    <row r="39" spans="1:18" ht="12.75" x14ac:dyDescent="0.2">
      <c r="A39" t="s">
        <v>88</v>
      </c>
      <c r="B39" s="2" t="s">
        <v>48</v>
      </c>
      <c r="C39" s="2">
        <v>87</v>
      </c>
      <c r="D39" s="2">
        <v>2514</v>
      </c>
      <c r="E39" s="2" t="s">
        <v>9</v>
      </c>
      <c r="F39" s="2" t="s">
        <v>7</v>
      </c>
      <c r="G39" t="s">
        <v>48</v>
      </c>
      <c r="H39" s="15">
        <f t="shared" si="1"/>
        <v>883143.06</v>
      </c>
      <c r="I39" s="15">
        <f t="shared" si="2"/>
        <v>711839.1</v>
      </c>
      <c r="J39" s="15">
        <f t="shared" si="3"/>
        <v>936439.86</v>
      </c>
      <c r="K39" s="15">
        <f t="shared" si="4"/>
        <v>548152.55999999994</v>
      </c>
      <c r="L39" s="15">
        <f t="shared" si="5"/>
        <v>407318.28</v>
      </c>
      <c r="M39" s="15">
        <f t="shared" si="6"/>
        <v>382555.37999999995</v>
      </c>
      <c r="N39" s="15">
        <f t="shared" si="7"/>
        <v>234103.68000000002</v>
      </c>
      <c r="O39" s="15">
        <f t="shared" si="8"/>
        <v>85651.98</v>
      </c>
      <c r="P39" s="15">
        <f t="shared" si="9"/>
        <v>85651.98</v>
      </c>
      <c r="Q39" s="15">
        <f t="shared" si="10"/>
        <v>26648.399999999998</v>
      </c>
      <c r="R39" s="15">
        <f t="shared" si="11"/>
        <v>4301504.28</v>
      </c>
    </row>
    <row r="40" spans="1:18" ht="12.75" x14ac:dyDescent="0.2">
      <c r="A40" t="s">
        <v>88</v>
      </c>
      <c r="B40" s="2" t="s">
        <v>49</v>
      </c>
      <c r="C40" s="2">
        <v>89</v>
      </c>
      <c r="D40" s="2">
        <v>9211</v>
      </c>
      <c r="E40" s="2" t="s">
        <v>9</v>
      </c>
      <c r="F40" s="2" t="s">
        <v>7</v>
      </c>
      <c r="G40" t="s">
        <v>49</v>
      </c>
      <c r="H40" s="15">
        <f t="shared" si="1"/>
        <v>3235732.1900000004</v>
      </c>
      <c r="I40" s="15">
        <f t="shared" si="2"/>
        <v>2608094.65</v>
      </c>
      <c r="J40" s="15">
        <f t="shared" si="3"/>
        <v>3431005.39</v>
      </c>
      <c r="K40" s="15">
        <f t="shared" si="4"/>
        <v>2008366.44</v>
      </c>
      <c r="L40" s="15">
        <f t="shared" si="5"/>
        <v>1492366.2200000002</v>
      </c>
      <c r="M40" s="15">
        <f t="shared" si="6"/>
        <v>1401637.8699999999</v>
      </c>
      <c r="N40" s="15">
        <f t="shared" si="7"/>
        <v>857728.32000000007</v>
      </c>
      <c r="O40" s="15">
        <f t="shared" si="8"/>
        <v>313818.77</v>
      </c>
      <c r="P40" s="15">
        <f t="shared" si="9"/>
        <v>313818.77</v>
      </c>
      <c r="Q40" s="15">
        <f t="shared" si="10"/>
        <v>97636.599999999991</v>
      </c>
      <c r="R40" s="15">
        <f t="shared" si="11"/>
        <v>15760205.220000001</v>
      </c>
    </row>
    <row r="41" spans="1:18" ht="12.75" x14ac:dyDescent="0.2">
      <c r="A41" t="s">
        <v>88</v>
      </c>
      <c r="B41" s="2" t="s">
        <v>50</v>
      </c>
      <c r="C41" s="2">
        <v>60</v>
      </c>
      <c r="D41" s="2">
        <v>2936</v>
      </c>
      <c r="E41" s="2" t="s">
        <v>9</v>
      </c>
      <c r="F41" s="2" t="s">
        <v>7</v>
      </c>
      <c r="G41" t="s">
        <v>50</v>
      </c>
      <c r="H41" s="15">
        <f t="shared" si="1"/>
        <v>1031387.4400000001</v>
      </c>
      <c r="I41" s="15">
        <f t="shared" si="2"/>
        <v>831328.39999999991</v>
      </c>
      <c r="J41" s="15">
        <f t="shared" si="3"/>
        <v>1093630.6400000001</v>
      </c>
      <c r="K41" s="15">
        <f t="shared" si="4"/>
        <v>640165.43999999994</v>
      </c>
      <c r="L41" s="15">
        <f t="shared" si="5"/>
        <v>475690.72000000003</v>
      </c>
      <c r="M41" s="15">
        <f t="shared" si="6"/>
        <v>446771.11999999994</v>
      </c>
      <c r="N41" s="15">
        <f t="shared" si="7"/>
        <v>273400.32000000001</v>
      </c>
      <c r="O41" s="15">
        <f t="shared" si="8"/>
        <v>100029.52</v>
      </c>
      <c r="P41" s="15">
        <f t="shared" si="9"/>
        <v>100029.52</v>
      </c>
      <c r="Q41" s="15">
        <f t="shared" si="10"/>
        <v>31121.599999999999</v>
      </c>
      <c r="R41" s="15">
        <f t="shared" si="11"/>
        <v>5023554.72</v>
      </c>
    </row>
    <row r="42" spans="1:18" ht="12.75" x14ac:dyDescent="0.2">
      <c r="A42" s="19" t="s">
        <v>118</v>
      </c>
      <c r="B42" s="3" t="s">
        <v>124</v>
      </c>
      <c r="D42" s="26">
        <v>347591</v>
      </c>
      <c r="E42" s="3"/>
      <c r="F42" s="3" t="s">
        <v>119</v>
      </c>
      <c r="H42" s="15">
        <f>IF($F42="Meadows", $D42*$F$52, 0)</f>
        <v>122105242.39</v>
      </c>
      <c r="I42" s="15">
        <f t="shared" ref="I42:R42" si="12">IF($F42="Meadows", $D42*$F$52, 0)</f>
        <v>122105242.39</v>
      </c>
      <c r="J42" s="15">
        <f t="shared" si="12"/>
        <v>122105242.39</v>
      </c>
      <c r="K42" s="15">
        <f t="shared" si="12"/>
        <v>122105242.39</v>
      </c>
      <c r="L42" s="15">
        <f t="shared" si="12"/>
        <v>122105242.39</v>
      </c>
      <c r="M42" s="15">
        <f t="shared" si="12"/>
        <v>122105242.39</v>
      </c>
      <c r="N42" s="15">
        <f t="shared" si="12"/>
        <v>122105242.39</v>
      </c>
      <c r="O42" s="15">
        <f t="shared" si="12"/>
        <v>122105242.39</v>
      </c>
      <c r="P42" s="15">
        <f t="shared" si="12"/>
        <v>122105242.39</v>
      </c>
      <c r="Q42" s="15">
        <f t="shared" si="12"/>
        <v>122105242.39</v>
      </c>
      <c r="R42" s="15">
        <f t="shared" si="12"/>
        <v>122105242.39</v>
      </c>
    </row>
    <row r="43" spans="1:18" ht="12.75" x14ac:dyDescent="0.2">
      <c r="A43" s="19" t="s">
        <v>118</v>
      </c>
      <c r="B43" s="3" t="s">
        <v>124</v>
      </c>
      <c r="D43" s="26">
        <v>303372</v>
      </c>
      <c r="E43" s="3"/>
      <c r="F43" s="3" t="s">
        <v>120</v>
      </c>
      <c r="G43" s="4">
        <v>0</v>
      </c>
      <c r="H43" s="15">
        <f>IF($F43="Floodplain", $D43*$F$52, 0)</f>
        <v>106571549.88000001</v>
      </c>
      <c r="I43" s="15">
        <f t="shared" ref="I43:R43" si="13">IF($F43="Floodplain", $D43*$F$52, 0)</f>
        <v>106571549.88000001</v>
      </c>
      <c r="J43" s="15">
        <f t="shared" si="13"/>
        <v>106571549.88000001</v>
      </c>
      <c r="K43" s="15">
        <f t="shared" si="13"/>
        <v>106571549.88000001</v>
      </c>
      <c r="L43" s="15">
        <f t="shared" si="13"/>
        <v>106571549.88000001</v>
      </c>
      <c r="M43" s="15">
        <f t="shared" si="13"/>
        <v>106571549.88000001</v>
      </c>
      <c r="N43" s="15">
        <f t="shared" si="13"/>
        <v>106571549.88000001</v>
      </c>
      <c r="O43" s="15">
        <f t="shared" si="13"/>
        <v>106571549.88000001</v>
      </c>
      <c r="P43" s="15">
        <f t="shared" si="13"/>
        <v>106571549.88000001</v>
      </c>
      <c r="Q43" s="15">
        <f t="shared" si="13"/>
        <v>106571549.88000001</v>
      </c>
      <c r="R43" s="15">
        <f t="shared" si="13"/>
        <v>106571549.88000001</v>
      </c>
    </row>
    <row r="44" spans="1:18" ht="12.75" x14ac:dyDescent="0.2">
      <c r="A44" s="19" t="s">
        <v>118</v>
      </c>
      <c r="B44" s="3" t="s">
        <v>124</v>
      </c>
      <c r="D44" s="26">
        <v>207004</v>
      </c>
      <c r="E44" s="3"/>
      <c r="F44" s="3" t="s">
        <v>123</v>
      </c>
      <c r="G44" s="4"/>
      <c r="H44" s="15">
        <f>IF($F44="Wetland", $D44*$F$52, 0)</f>
        <v>72718435.160000011</v>
      </c>
      <c r="I44" s="15">
        <f t="shared" ref="I44:R44" si="14">IF($F44="Wetland", $D44*$F$52, 0)</f>
        <v>72718435.160000011</v>
      </c>
      <c r="J44" s="15">
        <f t="shared" si="14"/>
        <v>72718435.160000011</v>
      </c>
      <c r="K44" s="15">
        <f t="shared" si="14"/>
        <v>72718435.160000011</v>
      </c>
      <c r="L44" s="15">
        <f t="shared" si="14"/>
        <v>72718435.160000011</v>
      </c>
      <c r="M44" s="15">
        <f t="shared" si="14"/>
        <v>72718435.160000011</v>
      </c>
      <c r="N44" s="15">
        <f t="shared" si="14"/>
        <v>72718435.160000011</v>
      </c>
      <c r="O44" s="15">
        <f t="shared" si="14"/>
        <v>72718435.160000011</v>
      </c>
      <c r="P44" s="15">
        <f t="shared" si="14"/>
        <v>72718435.160000011</v>
      </c>
      <c r="Q44" s="15">
        <f t="shared" si="14"/>
        <v>72718435.160000011</v>
      </c>
      <c r="R44" s="15">
        <f t="shared" si="14"/>
        <v>72718435.160000011</v>
      </c>
    </row>
    <row r="45" spans="1:18" ht="12.75" x14ac:dyDescent="0.2">
      <c r="D45" s="4">
        <f>SUM(D4:D41)</f>
        <v>250195</v>
      </c>
      <c r="G45" s="16" t="s">
        <v>86</v>
      </c>
      <c r="H45" s="15">
        <f t="shared" ref="H45:R45" si="15">SUM(H4:H41)</f>
        <v>87891001.549999997</v>
      </c>
      <c r="I45" s="15">
        <f t="shared" si="15"/>
        <v>70842714.250000015</v>
      </c>
      <c r="J45" s="15">
        <f t="shared" si="15"/>
        <v>93195135.549999997</v>
      </c>
      <c r="K45" s="15">
        <f t="shared" si="15"/>
        <v>54552517.799999982</v>
      </c>
      <c r="L45" s="15">
        <f t="shared" si="15"/>
        <v>40536593.899999999</v>
      </c>
      <c r="M45" s="15">
        <f t="shared" si="15"/>
        <v>38072173.149999999</v>
      </c>
      <c r="N45" s="15">
        <f t="shared" si="15"/>
        <v>23298158.399999991</v>
      </c>
      <c r="O45" s="15">
        <f t="shared" si="15"/>
        <v>8524143.6499999985</v>
      </c>
      <c r="P45" s="15">
        <f t="shared" si="15"/>
        <v>8524143.6499999985</v>
      </c>
      <c r="Q45" s="15">
        <f t="shared" si="15"/>
        <v>2652067</v>
      </c>
      <c r="R45" s="15">
        <f t="shared" si="15"/>
        <v>428088648.9000001</v>
      </c>
    </row>
    <row r="46" spans="1:18" ht="15.75" customHeight="1" x14ac:dyDescent="0.2">
      <c r="C46" s="19" t="s">
        <v>106</v>
      </c>
      <c r="D46">
        <f>SUM(D4:D8,D14,D38:D41)</f>
        <v>84385</v>
      </c>
      <c r="F46" s="4" t="s">
        <v>51</v>
      </c>
    </row>
    <row r="47" spans="1:18" ht="15.75" customHeight="1" x14ac:dyDescent="0.2">
      <c r="C47" s="19" t="s">
        <v>104</v>
      </c>
      <c r="D47">
        <f>SUM(D31:D37)</f>
        <v>29367</v>
      </c>
      <c r="F47" s="4" t="s">
        <v>52</v>
      </c>
    </row>
    <row r="48" spans="1:18" ht="15.75" customHeight="1" x14ac:dyDescent="0.2">
      <c r="A48" s="1" t="s">
        <v>11</v>
      </c>
      <c r="C48" s="19" t="s">
        <v>108</v>
      </c>
      <c r="D48">
        <f>SUM(D10:D13,D15:D30)</f>
        <v>130507</v>
      </c>
    </row>
    <row r="49" spans="1:6" ht="15.75" customHeight="1" x14ac:dyDescent="0.2">
      <c r="A49" s="2" t="s">
        <v>14</v>
      </c>
    </row>
    <row r="50" spans="1:6" ht="15.75" customHeight="1" x14ac:dyDescent="0.2">
      <c r="A50" s="3" t="s">
        <v>17</v>
      </c>
    </row>
    <row r="51" spans="1:6" ht="15.75" customHeight="1" x14ac:dyDescent="0.2">
      <c r="D51" s="9" t="s">
        <v>70</v>
      </c>
      <c r="E51" s="9" t="s">
        <v>71</v>
      </c>
      <c r="F51" s="9" t="s">
        <v>83</v>
      </c>
    </row>
    <row r="52" spans="1:6" ht="15.75" customHeight="1" x14ac:dyDescent="0.2">
      <c r="D52" s="10" t="s">
        <v>72</v>
      </c>
      <c r="E52" s="10">
        <v>187.77</v>
      </c>
      <c r="F52" s="10">
        <v>351.29</v>
      </c>
    </row>
    <row r="53" spans="1:6" ht="15.75" customHeight="1" x14ac:dyDescent="0.2">
      <c r="D53" s="10" t="s">
        <v>73</v>
      </c>
      <c r="E53" s="10">
        <v>151.35</v>
      </c>
      <c r="F53" s="10">
        <v>283.14999999999998</v>
      </c>
    </row>
    <row r="54" spans="1:6" ht="15.75" customHeight="1" x14ac:dyDescent="0.2">
      <c r="D54" s="10" t="s">
        <v>74</v>
      </c>
      <c r="E54" s="10">
        <v>199.11</v>
      </c>
      <c r="F54" s="10">
        <v>372.49</v>
      </c>
    </row>
    <row r="55" spans="1:6" ht="15.75" customHeight="1" x14ac:dyDescent="0.2">
      <c r="D55" s="10" t="s">
        <v>75</v>
      </c>
      <c r="E55" s="10">
        <v>116.55</v>
      </c>
      <c r="F55" s="10">
        <v>218.04</v>
      </c>
    </row>
    <row r="56" spans="1:6" ht="15.75" customHeight="1" x14ac:dyDescent="0.2">
      <c r="D56" s="10" t="s">
        <v>76</v>
      </c>
      <c r="E56" s="10">
        <v>86.6</v>
      </c>
      <c r="F56" s="10">
        <v>162.02000000000001</v>
      </c>
    </row>
    <row r="57" spans="1:6" ht="15.75" customHeight="1" x14ac:dyDescent="0.2">
      <c r="D57" s="10" t="s">
        <v>77</v>
      </c>
      <c r="E57" s="10">
        <v>81.34</v>
      </c>
      <c r="F57" s="10">
        <v>152.16999999999999</v>
      </c>
    </row>
    <row r="58" spans="1:6" ht="15.75" customHeight="1" x14ac:dyDescent="0.2">
      <c r="D58" s="10" t="s">
        <v>78</v>
      </c>
      <c r="E58" s="10">
        <v>49.78</v>
      </c>
      <c r="F58" s="10">
        <v>93.12</v>
      </c>
    </row>
    <row r="59" spans="1:6" ht="15.75" customHeight="1" x14ac:dyDescent="0.2">
      <c r="D59" s="10" t="s">
        <v>79</v>
      </c>
      <c r="E59" s="10">
        <v>18.21</v>
      </c>
      <c r="F59" s="10">
        <v>34.07</v>
      </c>
    </row>
    <row r="60" spans="1:6" ht="15.75" customHeight="1" x14ac:dyDescent="0.2">
      <c r="D60" s="10" t="s">
        <v>80</v>
      </c>
      <c r="E60" s="10">
        <v>18.21</v>
      </c>
      <c r="F60" s="10">
        <v>34.07</v>
      </c>
    </row>
    <row r="61" spans="1:6" ht="15.75" customHeight="1" x14ac:dyDescent="0.2">
      <c r="D61" s="10" t="s">
        <v>81</v>
      </c>
      <c r="E61" s="10">
        <v>5.67</v>
      </c>
      <c r="F61" s="10">
        <v>10.6</v>
      </c>
    </row>
    <row r="62" spans="1:6" ht="15.75" customHeight="1" x14ac:dyDescent="0.2">
      <c r="D62" s="11" t="s">
        <v>82</v>
      </c>
      <c r="E62" s="11">
        <v>914.59</v>
      </c>
      <c r="F62" s="12">
        <v>1711.02</v>
      </c>
    </row>
    <row r="68" spans="4:9" ht="15.75" customHeight="1" x14ac:dyDescent="0.2">
      <c r="G68" s="23"/>
      <c r="H68" s="23"/>
      <c r="I68" s="23"/>
    </row>
    <row r="69" spans="4:9" ht="15.75" customHeight="1" x14ac:dyDescent="0.2">
      <c r="G69" s="23"/>
      <c r="H69" s="23"/>
      <c r="I69" s="23"/>
    </row>
    <row r="70" spans="4:9" ht="15.75" customHeight="1" x14ac:dyDescent="0.2">
      <c r="D70" s="22" t="s">
        <v>93</v>
      </c>
      <c r="E70" s="23"/>
      <c r="F70" s="23"/>
      <c r="G70" s="23"/>
      <c r="H70" s="23"/>
      <c r="I70" s="23"/>
    </row>
    <row r="71" spans="4:9" ht="15.75" customHeight="1" x14ac:dyDescent="0.2">
      <c r="D71" s="23"/>
      <c r="E71" s="23"/>
      <c r="F71" s="23"/>
      <c r="G71" s="23"/>
      <c r="H71" s="23"/>
      <c r="I71" s="23"/>
    </row>
    <row r="72" spans="4:9" ht="15.75" customHeight="1" x14ac:dyDescent="0.2">
      <c r="D72" s="23"/>
      <c r="E72" s="23"/>
      <c r="F72" s="23"/>
      <c r="G72" s="23"/>
      <c r="H72" s="23"/>
      <c r="I72" s="23"/>
    </row>
    <row r="73" spans="4:9" ht="15.75" customHeight="1" x14ac:dyDescent="0.2">
      <c r="D73" s="23"/>
      <c r="E73" s="23"/>
      <c r="F73" s="23"/>
      <c r="G73" s="23"/>
      <c r="H73" s="23"/>
      <c r="I73" s="23"/>
    </row>
    <row r="74" spans="4:9" ht="15.75" customHeight="1" x14ac:dyDescent="0.2">
      <c r="D74" s="23"/>
      <c r="E74" s="23"/>
      <c r="F74" s="23"/>
      <c r="G74" s="23"/>
      <c r="H74" s="23"/>
      <c r="I74" s="23"/>
    </row>
    <row r="75" spans="4:9" ht="15.75" customHeight="1" x14ac:dyDescent="0.2">
      <c r="D75" s="23"/>
      <c r="E75" s="23"/>
      <c r="F75" s="23"/>
      <c r="G75" s="23"/>
      <c r="H75" s="23"/>
      <c r="I75" s="23"/>
    </row>
    <row r="76" spans="4:9" ht="15.75" customHeight="1" x14ac:dyDescent="0.2">
      <c r="D76" s="23"/>
      <c r="E76" s="23"/>
      <c r="F76" s="23"/>
      <c r="G76" s="23"/>
      <c r="H76" s="23"/>
      <c r="I76" s="23"/>
    </row>
    <row r="77" spans="4:9" ht="15.75" customHeight="1" x14ac:dyDescent="0.2">
      <c r="D77" s="23"/>
      <c r="E77" s="23"/>
      <c r="F77" s="23"/>
      <c r="G77" s="23"/>
      <c r="H77" s="23"/>
      <c r="I77" s="23"/>
    </row>
    <row r="78" spans="4:9" ht="15.75" customHeight="1" x14ac:dyDescent="0.2">
      <c r="D78" s="23"/>
      <c r="E78" s="23"/>
      <c r="F78" s="23"/>
      <c r="G78" s="25"/>
      <c r="H78" s="25"/>
      <c r="I78" s="25"/>
    </row>
    <row r="79" spans="4:9" ht="15.75" customHeight="1" x14ac:dyDescent="0.2">
      <c r="D79" s="23"/>
      <c r="E79" s="23"/>
      <c r="F79" s="23"/>
      <c r="G79" s="25"/>
      <c r="H79" s="25"/>
      <c r="I79" s="25"/>
    </row>
    <row r="80" spans="4:9" ht="15.75" customHeight="1" x14ac:dyDescent="0.2">
      <c r="D80" s="24" t="s">
        <v>85</v>
      </c>
      <c r="E80" s="25"/>
      <c r="F80" s="25"/>
      <c r="G80" s="25"/>
      <c r="H80" s="25"/>
      <c r="I80" s="25"/>
    </row>
    <row r="81" spans="4:9" ht="15.75" customHeight="1" x14ac:dyDescent="0.2">
      <c r="D81" s="25"/>
      <c r="E81" s="25"/>
      <c r="F81" s="25"/>
      <c r="G81" s="25"/>
      <c r="H81" s="25"/>
      <c r="I81" s="25"/>
    </row>
    <row r="82" spans="4:9" ht="15.75" customHeight="1" x14ac:dyDescent="0.2">
      <c r="D82" s="25"/>
      <c r="E82" s="25"/>
      <c r="F82" s="25"/>
      <c r="G82" s="25"/>
      <c r="H82" s="25"/>
      <c r="I82" s="25"/>
    </row>
    <row r="83" spans="4:9" ht="15.75" customHeight="1" x14ac:dyDescent="0.2">
      <c r="D83" s="25"/>
      <c r="E83" s="25"/>
      <c r="F83" s="25"/>
      <c r="G83" s="25"/>
      <c r="H83" s="25"/>
      <c r="I83" s="25"/>
    </row>
    <row r="84" spans="4:9" ht="15.75" customHeight="1" x14ac:dyDescent="0.2">
      <c r="D84" s="25"/>
      <c r="E84" s="25"/>
      <c r="F84" s="25"/>
    </row>
    <row r="85" spans="4:9" ht="15.75" customHeight="1" x14ac:dyDescent="0.2">
      <c r="D85" s="25"/>
      <c r="E85" s="25"/>
      <c r="F85" s="25"/>
    </row>
  </sheetData>
  <mergeCells count="1">
    <mergeCell ref="H1:R1"/>
  </mergeCells>
  <conditionalFormatting sqref="H3:R45">
    <cfRule type="top10" dxfId="3" priority="4" percent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59"/>
  <sheetViews>
    <sheetView workbookViewId="0">
      <selection activeCell="D43" sqref="D43"/>
    </sheetView>
  </sheetViews>
  <sheetFormatPr defaultColWidth="12.5703125" defaultRowHeight="15.75" customHeight="1" x14ac:dyDescent="0.2"/>
  <cols>
    <col min="8" max="8" width="30.5703125" customWidth="1"/>
    <col min="9" max="13" width="15" bestFit="1" customWidth="1"/>
    <col min="14" max="17" width="14" bestFit="1" customWidth="1"/>
    <col min="18" max="18" width="16" bestFit="1" customWidth="1"/>
  </cols>
  <sheetData>
    <row r="1" spans="1:18" ht="15.75" customHeight="1" x14ac:dyDescent="0.2">
      <c r="H1" s="28" t="s">
        <v>84</v>
      </c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25.5" x14ac:dyDescent="0.2">
      <c r="A2" t="s">
        <v>87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53</v>
      </c>
      <c r="G2" s="13" t="s">
        <v>70</v>
      </c>
      <c r="H2" s="14" t="s">
        <v>72</v>
      </c>
      <c r="I2" s="14" t="s">
        <v>73</v>
      </c>
      <c r="J2" s="14" t="s">
        <v>74</v>
      </c>
      <c r="K2" s="14" t="s">
        <v>75</v>
      </c>
      <c r="L2" s="14" t="s">
        <v>76</v>
      </c>
      <c r="M2" s="14" t="s">
        <v>77</v>
      </c>
      <c r="N2" s="14" t="s">
        <v>78</v>
      </c>
      <c r="O2" s="14" t="s">
        <v>79</v>
      </c>
      <c r="P2" s="14" t="s">
        <v>80</v>
      </c>
      <c r="Q2" s="14" t="s">
        <v>81</v>
      </c>
      <c r="R2" s="14" t="s">
        <v>82</v>
      </c>
    </row>
    <row r="3" spans="1:18" ht="12.75" x14ac:dyDescent="0.2">
      <c r="A3" t="s">
        <v>97</v>
      </c>
      <c r="B3" s="1" t="s">
        <v>98</v>
      </c>
      <c r="C3" s="1"/>
      <c r="D3" s="1">
        <v>41914</v>
      </c>
      <c r="E3" s="1"/>
      <c r="F3" s="1" t="s">
        <v>99</v>
      </c>
      <c r="G3" s="13"/>
      <c r="H3" s="15">
        <f t="shared" ref="H3:R3" si="0">IF($F3="Tidal", $D3*$F$49, 0)</f>
        <v>14723969.060000001</v>
      </c>
      <c r="I3" s="15">
        <f t="shared" si="0"/>
        <v>14723969.060000001</v>
      </c>
      <c r="J3" s="15">
        <f t="shared" si="0"/>
        <v>14723969.060000001</v>
      </c>
      <c r="K3" s="15">
        <f t="shared" si="0"/>
        <v>14723969.060000001</v>
      </c>
      <c r="L3" s="15">
        <f t="shared" si="0"/>
        <v>14723969.060000001</v>
      </c>
      <c r="M3" s="15">
        <f t="shared" si="0"/>
        <v>14723969.060000001</v>
      </c>
      <c r="N3" s="15">
        <f t="shared" si="0"/>
        <v>14723969.060000001</v>
      </c>
      <c r="O3" s="15">
        <f t="shared" si="0"/>
        <v>14723969.060000001</v>
      </c>
      <c r="P3" s="15">
        <f t="shared" si="0"/>
        <v>14723969.060000001</v>
      </c>
      <c r="Q3" s="15">
        <f t="shared" si="0"/>
        <v>14723969.060000001</v>
      </c>
      <c r="R3" s="15">
        <f t="shared" si="0"/>
        <v>14723969.060000001</v>
      </c>
    </row>
    <row r="4" spans="1:18" ht="12.75" x14ac:dyDescent="0.2">
      <c r="A4" t="s">
        <v>88</v>
      </c>
      <c r="B4" s="3" t="s">
        <v>5</v>
      </c>
      <c r="C4" s="3">
        <v>80</v>
      </c>
      <c r="D4" s="3">
        <v>16543</v>
      </c>
      <c r="E4" s="3" t="s">
        <v>6</v>
      </c>
      <c r="F4" s="3" t="s">
        <v>54</v>
      </c>
      <c r="G4" t="s">
        <v>5</v>
      </c>
      <c r="H4" s="15">
        <f t="shared" ref="H4:H41" si="1">IF($F4="MW", $D4*$F$49, 0)</f>
        <v>0</v>
      </c>
      <c r="I4" s="15">
        <f t="shared" ref="I4:I41" si="2">IF($F4="MW", $D4*$F$50, 0)</f>
        <v>0</v>
      </c>
      <c r="J4" s="15">
        <f t="shared" ref="J4:J41" si="3">IF($F4="MW", $D4*$F$51, 0)</f>
        <v>0</v>
      </c>
      <c r="K4" s="15">
        <f t="shared" ref="K4:K41" si="4">IF($F4="MW", $D4*$F$52, 0)</f>
        <v>0</v>
      </c>
      <c r="L4" s="15">
        <f t="shared" ref="L4:L41" si="5">IF($F4="MW", $D4*$F$53, 0)</f>
        <v>0</v>
      </c>
      <c r="M4" s="15">
        <f t="shared" ref="M4:M41" si="6">IF($F4="MW", $D4*$F$54, 0)</f>
        <v>0</v>
      </c>
      <c r="N4" s="15">
        <f t="shared" ref="N4:N41" si="7">IF($F4="MW", $D4*$F$55, 0)</f>
        <v>0</v>
      </c>
      <c r="O4" s="15">
        <f t="shared" ref="O4:O41" si="8">IF($F4="MW", $D4*$F$56, 0)</f>
        <v>0</v>
      </c>
      <c r="P4" s="15">
        <f t="shared" ref="P4:P41" si="9">IF($F4="MW", $D4*$F$57, 0)</f>
        <v>0</v>
      </c>
      <c r="Q4" s="15">
        <f t="shared" ref="Q4:Q41" si="10">IF($F4="MW", $D4*$F$58, 0)</f>
        <v>0</v>
      </c>
      <c r="R4" s="15">
        <f t="shared" ref="R4:R41" si="11">IF($F4="MW", $D4*$F$59, 0)</f>
        <v>0</v>
      </c>
    </row>
    <row r="5" spans="1:18" ht="12.75" x14ac:dyDescent="0.2">
      <c r="A5" t="s">
        <v>88</v>
      </c>
      <c r="B5" s="3" t="s">
        <v>8</v>
      </c>
      <c r="C5" s="3">
        <v>76</v>
      </c>
      <c r="D5" s="3">
        <v>11798</v>
      </c>
      <c r="E5" s="3" t="s">
        <v>9</v>
      </c>
      <c r="F5" s="3" t="s">
        <v>54</v>
      </c>
      <c r="G5" t="s">
        <v>8</v>
      </c>
      <c r="H5" s="15">
        <f t="shared" si="1"/>
        <v>0</v>
      </c>
      <c r="I5" s="15">
        <f t="shared" si="2"/>
        <v>0</v>
      </c>
      <c r="J5" s="15">
        <f t="shared" si="3"/>
        <v>0</v>
      </c>
      <c r="K5" s="15">
        <f t="shared" si="4"/>
        <v>0</v>
      </c>
      <c r="L5" s="15">
        <f t="shared" si="5"/>
        <v>0</v>
      </c>
      <c r="M5" s="15">
        <f t="shared" si="6"/>
        <v>0</v>
      </c>
      <c r="N5" s="15">
        <f t="shared" si="7"/>
        <v>0</v>
      </c>
      <c r="O5" s="15">
        <f t="shared" si="8"/>
        <v>0</v>
      </c>
      <c r="P5" s="15">
        <f t="shared" si="9"/>
        <v>0</v>
      </c>
      <c r="Q5" s="15">
        <f t="shared" si="10"/>
        <v>0</v>
      </c>
      <c r="R5" s="15">
        <f t="shared" si="11"/>
        <v>0</v>
      </c>
    </row>
    <row r="6" spans="1:18" ht="12.75" x14ac:dyDescent="0.2">
      <c r="A6" t="s">
        <v>88</v>
      </c>
      <c r="B6" s="3" t="s">
        <v>10</v>
      </c>
      <c r="C6" s="3">
        <v>62</v>
      </c>
      <c r="D6" s="3">
        <v>8799</v>
      </c>
      <c r="E6" s="3" t="s">
        <v>9</v>
      </c>
      <c r="F6" s="3" t="s">
        <v>54</v>
      </c>
      <c r="G6" t="s">
        <v>10</v>
      </c>
      <c r="H6" s="15">
        <f t="shared" si="1"/>
        <v>0</v>
      </c>
      <c r="I6" s="15">
        <f t="shared" si="2"/>
        <v>0</v>
      </c>
      <c r="J6" s="15">
        <f t="shared" si="3"/>
        <v>0</v>
      </c>
      <c r="K6" s="15">
        <f t="shared" si="4"/>
        <v>0</v>
      </c>
      <c r="L6" s="15">
        <f t="shared" si="5"/>
        <v>0</v>
      </c>
      <c r="M6" s="15">
        <f t="shared" si="6"/>
        <v>0</v>
      </c>
      <c r="N6" s="15">
        <f t="shared" si="7"/>
        <v>0</v>
      </c>
      <c r="O6" s="15">
        <f t="shared" si="8"/>
        <v>0</v>
      </c>
      <c r="P6" s="15">
        <f t="shared" si="9"/>
        <v>0</v>
      </c>
      <c r="Q6" s="15">
        <f t="shared" si="10"/>
        <v>0</v>
      </c>
      <c r="R6" s="15">
        <f t="shared" si="11"/>
        <v>0</v>
      </c>
    </row>
    <row r="7" spans="1:18" ht="12.75" x14ac:dyDescent="0.2">
      <c r="A7" t="s">
        <v>88</v>
      </c>
      <c r="B7" s="3" t="s">
        <v>12</v>
      </c>
      <c r="C7" s="3">
        <v>61</v>
      </c>
      <c r="D7" s="3">
        <v>9111</v>
      </c>
      <c r="E7" s="3" t="s">
        <v>13</v>
      </c>
      <c r="F7" s="3" t="s">
        <v>54</v>
      </c>
      <c r="G7" t="s">
        <v>12</v>
      </c>
      <c r="H7" s="15">
        <f t="shared" si="1"/>
        <v>0</v>
      </c>
      <c r="I7" s="15">
        <f t="shared" si="2"/>
        <v>0</v>
      </c>
      <c r="J7" s="15">
        <f t="shared" si="3"/>
        <v>0</v>
      </c>
      <c r="K7" s="15">
        <f t="shared" si="4"/>
        <v>0</v>
      </c>
      <c r="L7" s="15">
        <f t="shared" si="5"/>
        <v>0</v>
      </c>
      <c r="M7" s="15">
        <f t="shared" si="6"/>
        <v>0</v>
      </c>
      <c r="N7" s="15">
        <f t="shared" si="7"/>
        <v>0</v>
      </c>
      <c r="O7" s="15">
        <f t="shared" si="8"/>
        <v>0</v>
      </c>
      <c r="P7" s="15">
        <f t="shared" si="9"/>
        <v>0</v>
      </c>
      <c r="Q7" s="15">
        <f t="shared" si="10"/>
        <v>0</v>
      </c>
      <c r="R7" s="15">
        <f t="shared" si="11"/>
        <v>0</v>
      </c>
    </row>
    <row r="8" spans="1:18" ht="12.75" x14ac:dyDescent="0.2">
      <c r="A8" t="s">
        <v>89</v>
      </c>
      <c r="B8" s="2" t="s">
        <v>15</v>
      </c>
      <c r="C8" s="2">
        <v>116</v>
      </c>
      <c r="D8" s="2">
        <v>12907</v>
      </c>
      <c r="E8" s="2" t="s">
        <v>16</v>
      </c>
      <c r="F8" s="2" t="s">
        <v>7</v>
      </c>
      <c r="G8" t="s">
        <v>15</v>
      </c>
      <c r="H8" s="15">
        <f t="shared" si="1"/>
        <v>4534100.03</v>
      </c>
      <c r="I8" s="15">
        <f t="shared" si="2"/>
        <v>3654617.05</v>
      </c>
      <c r="J8" s="15">
        <f t="shared" si="3"/>
        <v>4807728.43</v>
      </c>
      <c r="K8" s="15">
        <f t="shared" si="4"/>
        <v>2814242.28</v>
      </c>
      <c r="L8" s="15">
        <f t="shared" si="5"/>
        <v>2091192.1400000001</v>
      </c>
      <c r="M8" s="15">
        <f t="shared" si="6"/>
        <v>1964058.19</v>
      </c>
      <c r="N8" s="15">
        <f t="shared" si="7"/>
        <v>1201899.8400000001</v>
      </c>
      <c r="O8" s="15">
        <f t="shared" si="8"/>
        <v>439741.49</v>
      </c>
      <c r="P8" s="15">
        <f t="shared" si="9"/>
        <v>439741.49</v>
      </c>
      <c r="Q8" s="15">
        <f t="shared" si="10"/>
        <v>136814.19999999998</v>
      </c>
      <c r="R8" s="15">
        <f t="shared" si="11"/>
        <v>22084135.140000001</v>
      </c>
    </row>
    <row r="9" spans="1:18" ht="12.75" x14ac:dyDescent="0.2">
      <c r="A9" t="s">
        <v>90</v>
      </c>
      <c r="B9" s="3" t="s">
        <v>18</v>
      </c>
      <c r="C9" s="3">
        <v>57</v>
      </c>
      <c r="D9" s="3">
        <v>5936</v>
      </c>
      <c r="E9" s="3" t="s">
        <v>16</v>
      </c>
      <c r="F9" s="3" t="s">
        <v>54</v>
      </c>
      <c r="G9" t="s">
        <v>18</v>
      </c>
      <c r="H9" s="15">
        <f t="shared" si="1"/>
        <v>0</v>
      </c>
      <c r="I9" s="15">
        <f t="shared" si="2"/>
        <v>0</v>
      </c>
      <c r="J9" s="15">
        <f t="shared" si="3"/>
        <v>0</v>
      </c>
      <c r="K9" s="15">
        <f t="shared" si="4"/>
        <v>0</v>
      </c>
      <c r="L9" s="15">
        <f t="shared" si="5"/>
        <v>0</v>
      </c>
      <c r="M9" s="15">
        <f t="shared" si="6"/>
        <v>0</v>
      </c>
      <c r="N9" s="15">
        <f t="shared" si="7"/>
        <v>0</v>
      </c>
      <c r="O9" s="15">
        <f t="shared" si="8"/>
        <v>0</v>
      </c>
      <c r="P9" s="15">
        <f t="shared" si="9"/>
        <v>0</v>
      </c>
      <c r="Q9" s="15">
        <f t="shared" si="10"/>
        <v>0</v>
      </c>
      <c r="R9" s="15">
        <f t="shared" si="11"/>
        <v>0</v>
      </c>
    </row>
    <row r="10" spans="1:18" ht="12.75" x14ac:dyDescent="0.2">
      <c r="A10" t="s">
        <v>90</v>
      </c>
      <c r="B10" s="2" t="s">
        <v>19</v>
      </c>
      <c r="C10" s="2">
        <v>49</v>
      </c>
      <c r="D10" s="2">
        <v>3094</v>
      </c>
      <c r="E10" s="2" t="s">
        <v>16</v>
      </c>
      <c r="F10" s="2" t="s">
        <v>7</v>
      </c>
      <c r="G10" t="s">
        <v>19</v>
      </c>
      <c r="H10" s="15">
        <f t="shared" si="1"/>
        <v>1086891.26</v>
      </c>
      <c r="I10" s="15">
        <f t="shared" si="2"/>
        <v>876066.1</v>
      </c>
      <c r="J10" s="15">
        <f t="shared" si="3"/>
        <v>1152484.06</v>
      </c>
      <c r="K10" s="15">
        <f t="shared" si="4"/>
        <v>674615.76</v>
      </c>
      <c r="L10" s="15">
        <f t="shared" si="5"/>
        <v>501289.88</v>
      </c>
      <c r="M10" s="15">
        <f t="shared" si="6"/>
        <v>470813.98</v>
      </c>
      <c r="N10" s="15">
        <f t="shared" si="7"/>
        <v>288113.28000000003</v>
      </c>
      <c r="O10" s="15">
        <f t="shared" si="8"/>
        <v>105412.58</v>
      </c>
      <c r="P10" s="15">
        <f t="shared" si="9"/>
        <v>105412.58</v>
      </c>
      <c r="Q10" s="15">
        <f t="shared" si="10"/>
        <v>32796.400000000001</v>
      </c>
      <c r="R10" s="15">
        <f t="shared" si="11"/>
        <v>5293895.88</v>
      </c>
    </row>
    <row r="11" spans="1:18" ht="12.75" x14ac:dyDescent="0.2">
      <c r="A11" t="s">
        <v>90</v>
      </c>
      <c r="B11" s="3" t="s">
        <v>20</v>
      </c>
      <c r="C11" s="3">
        <v>41</v>
      </c>
      <c r="D11" s="3">
        <v>1165</v>
      </c>
      <c r="E11" s="3" t="s">
        <v>13</v>
      </c>
      <c r="F11" s="3" t="s">
        <v>54</v>
      </c>
      <c r="G11" t="s">
        <v>20</v>
      </c>
      <c r="H11" s="15">
        <f t="shared" si="1"/>
        <v>0</v>
      </c>
      <c r="I11" s="15">
        <f t="shared" si="2"/>
        <v>0</v>
      </c>
      <c r="J11" s="15">
        <f t="shared" si="3"/>
        <v>0</v>
      </c>
      <c r="K11" s="15">
        <f t="shared" si="4"/>
        <v>0</v>
      </c>
      <c r="L11" s="15">
        <f t="shared" si="5"/>
        <v>0</v>
      </c>
      <c r="M11" s="15">
        <f t="shared" si="6"/>
        <v>0</v>
      </c>
      <c r="N11" s="15">
        <f t="shared" si="7"/>
        <v>0</v>
      </c>
      <c r="O11" s="15">
        <f t="shared" si="8"/>
        <v>0</v>
      </c>
      <c r="P11" s="15">
        <f t="shared" si="9"/>
        <v>0</v>
      </c>
      <c r="Q11" s="15">
        <f t="shared" si="10"/>
        <v>0</v>
      </c>
      <c r="R11" s="15">
        <f t="shared" si="11"/>
        <v>0</v>
      </c>
    </row>
    <row r="12" spans="1:18" ht="12.75" x14ac:dyDescent="0.2">
      <c r="A12" t="s">
        <v>90</v>
      </c>
      <c r="B12" s="3" t="s">
        <v>21</v>
      </c>
      <c r="C12" s="3">
        <v>50</v>
      </c>
      <c r="D12" s="3">
        <v>3625</v>
      </c>
      <c r="E12" s="3" t="s">
        <v>13</v>
      </c>
      <c r="F12" s="3" t="s">
        <v>54</v>
      </c>
      <c r="G12" t="s">
        <v>21</v>
      </c>
      <c r="H12" s="15">
        <f t="shared" si="1"/>
        <v>0</v>
      </c>
      <c r="I12" s="15">
        <f t="shared" si="2"/>
        <v>0</v>
      </c>
      <c r="J12" s="15">
        <f t="shared" si="3"/>
        <v>0</v>
      </c>
      <c r="K12" s="15">
        <f t="shared" si="4"/>
        <v>0</v>
      </c>
      <c r="L12" s="15">
        <f t="shared" si="5"/>
        <v>0</v>
      </c>
      <c r="M12" s="15">
        <f t="shared" si="6"/>
        <v>0</v>
      </c>
      <c r="N12" s="15">
        <f t="shared" si="7"/>
        <v>0</v>
      </c>
      <c r="O12" s="15">
        <f t="shared" si="8"/>
        <v>0</v>
      </c>
      <c r="P12" s="15">
        <f t="shared" si="9"/>
        <v>0</v>
      </c>
      <c r="Q12" s="15">
        <f t="shared" si="10"/>
        <v>0</v>
      </c>
      <c r="R12" s="15">
        <f t="shared" si="11"/>
        <v>0</v>
      </c>
    </row>
    <row r="13" spans="1:18" ht="12.75" x14ac:dyDescent="0.2">
      <c r="A13" t="s">
        <v>90</v>
      </c>
      <c r="B13" s="3" t="s">
        <v>22</v>
      </c>
      <c r="C13" s="3">
        <v>46</v>
      </c>
      <c r="D13" s="3">
        <v>3216</v>
      </c>
      <c r="E13" s="3" t="s">
        <v>9</v>
      </c>
      <c r="F13" s="3" t="s">
        <v>54</v>
      </c>
      <c r="G13" t="s">
        <v>22</v>
      </c>
      <c r="H13" s="15">
        <f t="shared" si="1"/>
        <v>0</v>
      </c>
      <c r="I13" s="15">
        <f t="shared" si="2"/>
        <v>0</v>
      </c>
      <c r="J13" s="15">
        <f t="shared" si="3"/>
        <v>0</v>
      </c>
      <c r="K13" s="15">
        <f t="shared" si="4"/>
        <v>0</v>
      </c>
      <c r="L13" s="15">
        <f t="shared" si="5"/>
        <v>0</v>
      </c>
      <c r="M13" s="15">
        <f t="shared" si="6"/>
        <v>0</v>
      </c>
      <c r="N13" s="15">
        <f t="shared" si="7"/>
        <v>0</v>
      </c>
      <c r="O13" s="15">
        <f t="shared" si="8"/>
        <v>0</v>
      </c>
      <c r="P13" s="15">
        <f t="shared" si="9"/>
        <v>0</v>
      </c>
      <c r="Q13" s="15">
        <f t="shared" si="10"/>
        <v>0</v>
      </c>
      <c r="R13" s="15">
        <f t="shared" si="11"/>
        <v>0</v>
      </c>
    </row>
    <row r="14" spans="1:18" ht="12.75" x14ac:dyDescent="0.2">
      <c r="A14" t="s">
        <v>91</v>
      </c>
      <c r="B14" s="3" t="s">
        <v>23</v>
      </c>
      <c r="C14" s="3">
        <v>58</v>
      </c>
      <c r="D14" s="3">
        <v>10358</v>
      </c>
      <c r="E14" s="3" t="s">
        <v>9</v>
      </c>
      <c r="F14" s="3" t="s">
        <v>54</v>
      </c>
      <c r="G14" t="s">
        <v>23</v>
      </c>
      <c r="H14" s="15">
        <f t="shared" si="1"/>
        <v>0</v>
      </c>
      <c r="I14" s="15">
        <f t="shared" si="2"/>
        <v>0</v>
      </c>
      <c r="J14" s="15">
        <f t="shared" si="3"/>
        <v>0</v>
      </c>
      <c r="K14" s="15">
        <f t="shared" si="4"/>
        <v>0</v>
      </c>
      <c r="L14" s="15">
        <f t="shared" si="5"/>
        <v>0</v>
      </c>
      <c r="M14" s="15">
        <f t="shared" si="6"/>
        <v>0</v>
      </c>
      <c r="N14" s="15">
        <f t="shared" si="7"/>
        <v>0</v>
      </c>
      <c r="O14" s="15">
        <f t="shared" si="8"/>
        <v>0</v>
      </c>
      <c r="P14" s="15">
        <f t="shared" si="9"/>
        <v>0</v>
      </c>
      <c r="Q14" s="15">
        <f t="shared" si="10"/>
        <v>0</v>
      </c>
      <c r="R14" s="15">
        <f t="shared" si="11"/>
        <v>0</v>
      </c>
    </row>
    <row r="15" spans="1:18" ht="12.75" x14ac:dyDescent="0.2">
      <c r="A15" t="s">
        <v>90</v>
      </c>
      <c r="B15" s="2" t="s">
        <v>24</v>
      </c>
      <c r="C15" s="2">
        <v>40</v>
      </c>
      <c r="D15" s="2">
        <v>6743</v>
      </c>
      <c r="E15" s="2" t="s">
        <v>13</v>
      </c>
      <c r="F15" s="2" t="s">
        <v>7</v>
      </c>
      <c r="G15" t="s">
        <v>24</v>
      </c>
      <c r="H15" s="15">
        <f t="shared" si="1"/>
        <v>2368748.4700000002</v>
      </c>
      <c r="I15" s="15">
        <f t="shared" si="2"/>
        <v>1909280.45</v>
      </c>
      <c r="J15" s="15">
        <f t="shared" si="3"/>
        <v>2511700.0699999998</v>
      </c>
      <c r="K15" s="15">
        <f t="shared" si="4"/>
        <v>1470243.72</v>
      </c>
      <c r="L15" s="15">
        <f t="shared" si="5"/>
        <v>1092500.8600000001</v>
      </c>
      <c r="M15" s="15">
        <f t="shared" si="6"/>
        <v>1026082.3099999999</v>
      </c>
      <c r="N15" s="15">
        <f t="shared" si="7"/>
        <v>627908.16</v>
      </c>
      <c r="O15" s="15">
        <f t="shared" si="8"/>
        <v>229734.01</v>
      </c>
      <c r="P15" s="15">
        <f t="shared" si="9"/>
        <v>229734.01</v>
      </c>
      <c r="Q15" s="15">
        <f t="shared" si="10"/>
        <v>71475.8</v>
      </c>
      <c r="R15" s="15">
        <f t="shared" si="11"/>
        <v>11537407.859999999</v>
      </c>
    </row>
    <row r="16" spans="1:18" ht="12.75" x14ac:dyDescent="0.2">
      <c r="A16" t="s">
        <v>90</v>
      </c>
      <c r="B16" s="2" t="s">
        <v>25</v>
      </c>
      <c r="C16" s="2">
        <v>33</v>
      </c>
      <c r="D16" s="2">
        <v>2105</v>
      </c>
      <c r="E16" s="2" t="s">
        <v>9</v>
      </c>
      <c r="F16" s="2" t="s">
        <v>7</v>
      </c>
      <c r="G16" t="s">
        <v>25</v>
      </c>
      <c r="H16" s="15">
        <f t="shared" si="1"/>
        <v>739465.45000000007</v>
      </c>
      <c r="I16" s="15">
        <f t="shared" si="2"/>
        <v>596030.75</v>
      </c>
      <c r="J16" s="15">
        <f t="shared" si="3"/>
        <v>784091.45000000007</v>
      </c>
      <c r="K16" s="15">
        <f t="shared" si="4"/>
        <v>458974.2</v>
      </c>
      <c r="L16" s="15">
        <f t="shared" si="5"/>
        <v>341052.10000000003</v>
      </c>
      <c r="M16" s="15">
        <f t="shared" si="6"/>
        <v>320317.84999999998</v>
      </c>
      <c r="N16" s="15">
        <f t="shared" si="7"/>
        <v>196017.6</v>
      </c>
      <c r="O16" s="15">
        <f t="shared" si="8"/>
        <v>71717.350000000006</v>
      </c>
      <c r="P16" s="15">
        <f t="shared" si="9"/>
        <v>71717.350000000006</v>
      </c>
      <c r="Q16" s="15">
        <f t="shared" si="10"/>
        <v>22313</v>
      </c>
      <c r="R16" s="15">
        <f t="shared" si="11"/>
        <v>3601697.1</v>
      </c>
    </row>
    <row r="17" spans="1:18" ht="12.75" x14ac:dyDescent="0.2">
      <c r="A17" t="s">
        <v>90</v>
      </c>
      <c r="B17" s="2" t="s">
        <v>26</v>
      </c>
      <c r="C17" s="2">
        <v>34</v>
      </c>
      <c r="D17" s="2">
        <v>6060</v>
      </c>
      <c r="E17" s="2" t="s">
        <v>16</v>
      </c>
      <c r="F17" s="2" t="s">
        <v>7</v>
      </c>
      <c r="G17" t="s">
        <v>26</v>
      </c>
      <c r="H17" s="15">
        <f t="shared" si="1"/>
        <v>2128817.4</v>
      </c>
      <c r="I17" s="15">
        <f t="shared" si="2"/>
        <v>1715888.9999999998</v>
      </c>
      <c r="J17" s="15">
        <f t="shared" si="3"/>
        <v>2257289.4</v>
      </c>
      <c r="K17" s="15">
        <f t="shared" si="4"/>
        <v>1321322.3999999999</v>
      </c>
      <c r="L17" s="15">
        <f t="shared" si="5"/>
        <v>981841.20000000007</v>
      </c>
      <c r="M17" s="15">
        <f t="shared" si="6"/>
        <v>922150.2</v>
      </c>
      <c r="N17" s="15">
        <f t="shared" si="7"/>
        <v>564307.20000000007</v>
      </c>
      <c r="O17" s="15">
        <f t="shared" si="8"/>
        <v>206464.2</v>
      </c>
      <c r="P17" s="15">
        <f t="shared" si="9"/>
        <v>206464.2</v>
      </c>
      <c r="Q17" s="15">
        <f t="shared" si="10"/>
        <v>64236</v>
      </c>
      <c r="R17" s="15">
        <f t="shared" si="11"/>
        <v>10368781.199999999</v>
      </c>
    </row>
    <row r="18" spans="1:18" ht="12.75" x14ac:dyDescent="0.2">
      <c r="A18" t="s">
        <v>90</v>
      </c>
      <c r="B18" s="2" t="s">
        <v>27</v>
      </c>
      <c r="C18" s="2">
        <v>26</v>
      </c>
      <c r="D18" s="2">
        <v>12127</v>
      </c>
      <c r="E18" s="2" t="s">
        <v>9</v>
      </c>
      <c r="F18" s="2" t="s">
        <v>7</v>
      </c>
      <c r="G18" t="s">
        <v>27</v>
      </c>
      <c r="H18" s="15">
        <f t="shared" si="1"/>
        <v>4260093.83</v>
      </c>
      <c r="I18" s="15">
        <f t="shared" si="2"/>
        <v>3433760.05</v>
      </c>
      <c r="J18" s="15">
        <f t="shared" si="3"/>
        <v>4517186.2300000004</v>
      </c>
      <c r="K18" s="15">
        <f t="shared" si="4"/>
        <v>2644171.08</v>
      </c>
      <c r="L18" s="15">
        <f t="shared" si="5"/>
        <v>1964816.54</v>
      </c>
      <c r="M18" s="15">
        <f t="shared" si="6"/>
        <v>1845365.5899999999</v>
      </c>
      <c r="N18" s="15">
        <f t="shared" si="7"/>
        <v>1129266.24</v>
      </c>
      <c r="O18" s="15">
        <f t="shared" si="8"/>
        <v>413166.89</v>
      </c>
      <c r="P18" s="15">
        <f t="shared" si="9"/>
        <v>413166.89</v>
      </c>
      <c r="Q18" s="15">
        <f t="shared" si="10"/>
        <v>128546.2</v>
      </c>
      <c r="R18" s="15">
        <f t="shared" si="11"/>
        <v>20749539.539999999</v>
      </c>
    </row>
    <row r="19" spans="1:18" ht="12.75" x14ac:dyDescent="0.2">
      <c r="A19" t="s">
        <v>90</v>
      </c>
      <c r="B19" s="2" t="s">
        <v>28</v>
      </c>
      <c r="C19" s="2">
        <v>25</v>
      </c>
      <c r="D19" s="2">
        <v>1401</v>
      </c>
      <c r="E19" s="2" t="s">
        <v>9</v>
      </c>
      <c r="F19" s="2" t="s">
        <v>7</v>
      </c>
      <c r="G19" t="s">
        <v>28</v>
      </c>
      <c r="H19" s="15">
        <f t="shared" si="1"/>
        <v>492157.29000000004</v>
      </c>
      <c r="I19" s="15">
        <f t="shared" si="2"/>
        <v>396693.14999999997</v>
      </c>
      <c r="J19" s="15">
        <f t="shared" si="3"/>
        <v>521858.49</v>
      </c>
      <c r="K19" s="15">
        <f t="shared" si="4"/>
        <v>305474.03999999998</v>
      </c>
      <c r="L19" s="15">
        <f t="shared" si="5"/>
        <v>226990.02000000002</v>
      </c>
      <c r="M19" s="15">
        <f t="shared" si="6"/>
        <v>213190.16999999998</v>
      </c>
      <c r="N19" s="15">
        <f t="shared" si="7"/>
        <v>130461.12000000001</v>
      </c>
      <c r="O19" s="15">
        <f t="shared" si="8"/>
        <v>47732.07</v>
      </c>
      <c r="P19" s="15">
        <f t="shared" si="9"/>
        <v>47732.07</v>
      </c>
      <c r="Q19" s="15">
        <f t="shared" si="10"/>
        <v>14850.6</v>
      </c>
      <c r="R19" s="15">
        <f t="shared" si="11"/>
        <v>2397139.02</v>
      </c>
    </row>
    <row r="20" spans="1:18" ht="12.75" x14ac:dyDescent="0.2">
      <c r="A20" t="s">
        <v>90</v>
      </c>
      <c r="B20" s="3" t="s">
        <v>29</v>
      </c>
      <c r="C20" s="3" t="s">
        <v>30</v>
      </c>
      <c r="D20" s="3">
        <v>35663</v>
      </c>
      <c r="E20" s="3" t="s">
        <v>9</v>
      </c>
      <c r="F20" s="3" t="s">
        <v>54</v>
      </c>
      <c r="G20" t="s">
        <v>29</v>
      </c>
      <c r="H20" s="15">
        <f t="shared" si="1"/>
        <v>0</v>
      </c>
      <c r="I20" s="15">
        <f t="shared" si="2"/>
        <v>0</v>
      </c>
      <c r="J20" s="15">
        <f t="shared" si="3"/>
        <v>0</v>
      </c>
      <c r="K20" s="15">
        <f t="shared" si="4"/>
        <v>0</v>
      </c>
      <c r="L20" s="15">
        <f t="shared" si="5"/>
        <v>0</v>
      </c>
      <c r="M20" s="15">
        <f t="shared" si="6"/>
        <v>0</v>
      </c>
      <c r="N20" s="15">
        <f t="shared" si="7"/>
        <v>0</v>
      </c>
      <c r="O20" s="15">
        <f t="shared" si="8"/>
        <v>0</v>
      </c>
      <c r="P20" s="15">
        <f t="shared" si="9"/>
        <v>0</v>
      </c>
      <c r="Q20" s="15">
        <f t="shared" si="10"/>
        <v>0</v>
      </c>
      <c r="R20" s="15">
        <f t="shared" si="11"/>
        <v>0</v>
      </c>
    </row>
    <row r="21" spans="1:18" ht="12.75" x14ac:dyDescent="0.2">
      <c r="A21" t="s">
        <v>90</v>
      </c>
      <c r="B21" s="3" t="s">
        <v>31</v>
      </c>
      <c r="C21" s="3">
        <v>9</v>
      </c>
      <c r="D21" s="3">
        <v>24750</v>
      </c>
      <c r="E21" s="3" t="s">
        <v>9</v>
      </c>
      <c r="F21" s="3" t="s">
        <v>54</v>
      </c>
      <c r="G21" t="s">
        <v>31</v>
      </c>
      <c r="H21" s="15">
        <f t="shared" si="1"/>
        <v>0</v>
      </c>
      <c r="I21" s="15">
        <f t="shared" si="2"/>
        <v>0</v>
      </c>
      <c r="J21" s="15">
        <f t="shared" si="3"/>
        <v>0</v>
      </c>
      <c r="K21" s="15">
        <f t="shared" si="4"/>
        <v>0</v>
      </c>
      <c r="L21" s="15">
        <f t="shared" si="5"/>
        <v>0</v>
      </c>
      <c r="M21" s="15">
        <f t="shared" si="6"/>
        <v>0</v>
      </c>
      <c r="N21" s="15">
        <f t="shared" si="7"/>
        <v>0</v>
      </c>
      <c r="O21" s="15">
        <f t="shared" si="8"/>
        <v>0</v>
      </c>
      <c r="P21" s="15">
        <f t="shared" si="9"/>
        <v>0</v>
      </c>
      <c r="Q21" s="15">
        <f t="shared" si="10"/>
        <v>0</v>
      </c>
      <c r="R21" s="15">
        <f t="shared" si="11"/>
        <v>0</v>
      </c>
    </row>
    <row r="22" spans="1:18" ht="12.75" x14ac:dyDescent="0.2">
      <c r="A22" t="s">
        <v>90</v>
      </c>
      <c r="B22" s="2" t="s">
        <v>32</v>
      </c>
      <c r="C22" s="2">
        <v>10</v>
      </c>
      <c r="D22" s="2">
        <v>7193</v>
      </c>
      <c r="E22" s="2" t="s">
        <v>9</v>
      </c>
      <c r="F22" s="2" t="s">
        <v>7</v>
      </c>
      <c r="G22" t="s">
        <v>32</v>
      </c>
      <c r="H22" s="15">
        <f t="shared" si="1"/>
        <v>2526828.9700000002</v>
      </c>
      <c r="I22" s="15">
        <f t="shared" si="2"/>
        <v>2036697.9499999997</v>
      </c>
      <c r="J22" s="15">
        <f t="shared" si="3"/>
        <v>2679320.5700000003</v>
      </c>
      <c r="K22" s="15">
        <f t="shared" si="4"/>
        <v>1568361.72</v>
      </c>
      <c r="L22" s="15">
        <f t="shared" si="5"/>
        <v>1165409.8600000001</v>
      </c>
      <c r="M22" s="15">
        <f t="shared" si="6"/>
        <v>1094558.8099999998</v>
      </c>
      <c r="N22" s="15">
        <f t="shared" si="7"/>
        <v>669812.16</v>
      </c>
      <c r="O22" s="15">
        <f t="shared" si="8"/>
        <v>245065.51</v>
      </c>
      <c r="P22" s="15">
        <f t="shared" si="9"/>
        <v>245065.51</v>
      </c>
      <c r="Q22" s="15">
        <f t="shared" si="10"/>
        <v>76245.8</v>
      </c>
      <c r="R22" s="15">
        <f t="shared" si="11"/>
        <v>12307366.859999999</v>
      </c>
    </row>
    <row r="23" spans="1:18" ht="12.75" x14ac:dyDescent="0.2">
      <c r="A23" t="s">
        <v>90</v>
      </c>
      <c r="B23" s="2" t="s">
        <v>33</v>
      </c>
      <c r="C23" s="2">
        <v>18</v>
      </c>
      <c r="D23" s="2">
        <v>1809</v>
      </c>
      <c r="E23" s="2" t="s">
        <v>9</v>
      </c>
      <c r="F23" s="2" t="s">
        <v>7</v>
      </c>
      <c r="G23" t="s">
        <v>33</v>
      </c>
      <c r="H23" s="15">
        <f t="shared" si="1"/>
        <v>635483.61</v>
      </c>
      <c r="I23" s="15">
        <f t="shared" si="2"/>
        <v>512218.35</v>
      </c>
      <c r="J23" s="15">
        <f t="shared" si="3"/>
        <v>673834.41</v>
      </c>
      <c r="K23" s="15">
        <f t="shared" si="4"/>
        <v>394434.36</v>
      </c>
      <c r="L23" s="15">
        <f t="shared" si="5"/>
        <v>293094.18</v>
      </c>
      <c r="M23" s="15">
        <f t="shared" si="6"/>
        <v>275275.52999999997</v>
      </c>
      <c r="N23" s="15">
        <f t="shared" si="7"/>
        <v>168454.08000000002</v>
      </c>
      <c r="O23" s="15">
        <f t="shared" si="8"/>
        <v>61632.63</v>
      </c>
      <c r="P23" s="15">
        <f t="shared" si="9"/>
        <v>61632.63</v>
      </c>
      <c r="Q23" s="15">
        <f t="shared" si="10"/>
        <v>19175.399999999998</v>
      </c>
      <c r="R23" s="15">
        <f t="shared" si="11"/>
        <v>3095235.18</v>
      </c>
    </row>
    <row r="24" spans="1:18" ht="12.75" x14ac:dyDescent="0.2">
      <c r="A24" t="s">
        <v>90</v>
      </c>
      <c r="B24" s="2" t="s">
        <v>34</v>
      </c>
      <c r="C24" s="2">
        <v>6</v>
      </c>
      <c r="D24" s="2">
        <v>965</v>
      </c>
      <c r="E24" s="2" t="s">
        <v>9</v>
      </c>
      <c r="F24" s="2" t="s">
        <v>7</v>
      </c>
      <c r="G24" t="s">
        <v>34</v>
      </c>
      <c r="H24" s="15">
        <f t="shared" si="1"/>
        <v>338994.85000000003</v>
      </c>
      <c r="I24" s="15">
        <f t="shared" si="2"/>
        <v>273239.75</v>
      </c>
      <c r="J24" s="15">
        <f t="shared" si="3"/>
        <v>359452.85000000003</v>
      </c>
      <c r="K24" s="15">
        <f t="shared" si="4"/>
        <v>210408.6</v>
      </c>
      <c r="L24" s="15">
        <f t="shared" si="5"/>
        <v>156349.30000000002</v>
      </c>
      <c r="M24" s="15">
        <f t="shared" si="6"/>
        <v>146844.04999999999</v>
      </c>
      <c r="N24" s="15">
        <f t="shared" si="7"/>
        <v>89860.800000000003</v>
      </c>
      <c r="O24" s="15">
        <f t="shared" si="8"/>
        <v>32877.550000000003</v>
      </c>
      <c r="P24" s="15">
        <f t="shared" si="9"/>
        <v>32877.550000000003</v>
      </c>
      <c r="Q24" s="15">
        <f t="shared" si="10"/>
        <v>10229</v>
      </c>
      <c r="R24" s="15">
        <f t="shared" si="11"/>
        <v>1651134.3</v>
      </c>
    </row>
    <row r="25" spans="1:18" ht="12.75" x14ac:dyDescent="0.2">
      <c r="A25" t="s">
        <v>90</v>
      </c>
      <c r="B25" s="2" t="s">
        <v>35</v>
      </c>
      <c r="C25" s="2">
        <v>20</v>
      </c>
      <c r="D25" s="2">
        <v>2383</v>
      </c>
      <c r="E25" s="2" t="s">
        <v>9</v>
      </c>
      <c r="F25" s="2" t="s">
        <v>7</v>
      </c>
      <c r="G25" t="s">
        <v>35</v>
      </c>
      <c r="H25" s="15">
        <f t="shared" si="1"/>
        <v>837124.07000000007</v>
      </c>
      <c r="I25" s="15">
        <f t="shared" si="2"/>
        <v>674746.45</v>
      </c>
      <c r="J25" s="15">
        <f t="shared" si="3"/>
        <v>887643.67</v>
      </c>
      <c r="K25" s="15">
        <f t="shared" si="4"/>
        <v>519589.32</v>
      </c>
      <c r="L25" s="15">
        <f t="shared" si="5"/>
        <v>386093.66000000003</v>
      </c>
      <c r="M25" s="15">
        <f t="shared" si="6"/>
        <v>362621.11</v>
      </c>
      <c r="N25" s="15">
        <f t="shared" si="7"/>
        <v>221904.96000000002</v>
      </c>
      <c r="O25" s="15">
        <f t="shared" si="8"/>
        <v>81188.81</v>
      </c>
      <c r="P25" s="15">
        <f t="shared" si="9"/>
        <v>81188.81</v>
      </c>
      <c r="Q25" s="15">
        <f t="shared" si="10"/>
        <v>25259.8</v>
      </c>
      <c r="R25" s="15">
        <f t="shared" si="11"/>
        <v>4077360.66</v>
      </c>
    </row>
    <row r="26" spans="1:18" ht="12.75" x14ac:dyDescent="0.2">
      <c r="A26" t="s">
        <v>90</v>
      </c>
      <c r="B26" s="2" t="s">
        <v>36</v>
      </c>
      <c r="C26" s="2">
        <v>27</v>
      </c>
      <c r="D26" s="2">
        <v>2470</v>
      </c>
      <c r="E26" s="2" t="s">
        <v>9</v>
      </c>
      <c r="F26" s="2" t="s">
        <v>7</v>
      </c>
      <c r="G26" t="s">
        <v>36</v>
      </c>
      <c r="H26" s="15">
        <f t="shared" si="1"/>
        <v>867686.3</v>
      </c>
      <c r="I26" s="15">
        <f t="shared" si="2"/>
        <v>699380.5</v>
      </c>
      <c r="J26" s="15">
        <f t="shared" si="3"/>
        <v>920050.3</v>
      </c>
      <c r="K26" s="15">
        <f t="shared" si="4"/>
        <v>538558.79999999993</v>
      </c>
      <c r="L26" s="15">
        <f t="shared" si="5"/>
        <v>400189.4</v>
      </c>
      <c r="M26" s="15">
        <f t="shared" si="6"/>
        <v>375859.89999999997</v>
      </c>
      <c r="N26" s="15">
        <f t="shared" si="7"/>
        <v>230006.40000000002</v>
      </c>
      <c r="O26" s="15">
        <f t="shared" si="8"/>
        <v>84152.9</v>
      </c>
      <c r="P26" s="15">
        <f t="shared" si="9"/>
        <v>84152.9</v>
      </c>
      <c r="Q26" s="15">
        <f t="shared" si="10"/>
        <v>26182</v>
      </c>
      <c r="R26" s="15">
        <f t="shared" si="11"/>
        <v>4226219.4000000004</v>
      </c>
    </row>
    <row r="27" spans="1:18" ht="12.75" x14ac:dyDescent="0.2">
      <c r="A27" t="s">
        <v>90</v>
      </c>
      <c r="B27" s="2" t="s">
        <v>37</v>
      </c>
      <c r="C27" s="2">
        <v>32</v>
      </c>
      <c r="D27" s="2">
        <v>5533</v>
      </c>
      <c r="E27" s="2" t="s">
        <v>16</v>
      </c>
      <c r="F27" s="2" t="s">
        <v>7</v>
      </c>
      <c r="G27" t="s">
        <v>37</v>
      </c>
      <c r="H27" s="15">
        <f t="shared" si="1"/>
        <v>1943687.57</v>
      </c>
      <c r="I27" s="15">
        <f t="shared" si="2"/>
        <v>1566668.95</v>
      </c>
      <c r="J27" s="15">
        <f t="shared" si="3"/>
        <v>2060987.1700000002</v>
      </c>
      <c r="K27" s="15">
        <f t="shared" si="4"/>
        <v>1206415.32</v>
      </c>
      <c r="L27" s="15">
        <f t="shared" si="5"/>
        <v>896456.66</v>
      </c>
      <c r="M27" s="15">
        <f t="shared" si="6"/>
        <v>841956.61</v>
      </c>
      <c r="N27" s="15">
        <f t="shared" si="7"/>
        <v>515232.96</v>
      </c>
      <c r="O27" s="15">
        <f t="shared" si="8"/>
        <v>188509.31</v>
      </c>
      <c r="P27" s="15">
        <f t="shared" si="9"/>
        <v>188509.31</v>
      </c>
      <c r="Q27" s="15">
        <f t="shared" si="10"/>
        <v>58649.799999999996</v>
      </c>
      <c r="R27" s="15">
        <f t="shared" si="11"/>
        <v>9467073.6600000001</v>
      </c>
    </row>
    <row r="28" spans="1:18" ht="12.75" x14ac:dyDescent="0.2">
      <c r="A28" t="s">
        <v>90</v>
      </c>
      <c r="B28" s="2" t="s">
        <v>38</v>
      </c>
      <c r="C28" s="2">
        <v>35</v>
      </c>
      <c r="D28" s="2">
        <v>4214</v>
      </c>
      <c r="E28" s="2" t="s">
        <v>9</v>
      </c>
      <c r="F28" s="2" t="s">
        <v>7</v>
      </c>
      <c r="G28" t="s">
        <v>38</v>
      </c>
      <c r="H28" s="15">
        <f t="shared" si="1"/>
        <v>1480336.06</v>
      </c>
      <c r="I28" s="15">
        <f t="shared" si="2"/>
        <v>1193194.0999999999</v>
      </c>
      <c r="J28" s="15">
        <f t="shared" si="3"/>
        <v>1569672.86</v>
      </c>
      <c r="K28" s="15">
        <f t="shared" si="4"/>
        <v>918820.55999999994</v>
      </c>
      <c r="L28" s="15">
        <f t="shared" si="5"/>
        <v>682752.28</v>
      </c>
      <c r="M28" s="15">
        <f t="shared" si="6"/>
        <v>641244.38</v>
      </c>
      <c r="N28" s="15">
        <f t="shared" si="7"/>
        <v>392407.68</v>
      </c>
      <c r="O28" s="15">
        <f t="shared" si="8"/>
        <v>143570.98000000001</v>
      </c>
      <c r="P28" s="15">
        <f t="shared" si="9"/>
        <v>143570.98000000001</v>
      </c>
      <c r="Q28" s="15">
        <f t="shared" si="10"/>
        <v>44668.4</v>
      </c>
      <c r="R28" s="15">
        <f t="shared" si="11"/>
        <v>7210238.2800000003</v>
      </c>
    </row>
    <row r="29" spans="1:18" ht="12.75" x14ac:dyDescent="0.2">
      <c r="A29" t="s">
        <v>90</v>
      </c>
      <c r="B29" s="2" t="s">
        <v>39</v>
      </c>
      <c r="C29" s="2">
        <v>36</v>
      </c>
      <c r="D29" s="2">
        <v>774</v>
      </c>
      <c r="E29" s="2" t="s">
        <v>13</v>
      </c>
      <c r="F29" s="2" t="s">
        <v>7</v>
      </c>
      <c r="G29" t="s">
        <v>39</v>
      </c>
      <c r="H29" s="15">
        <f t="shared" si="1"/>
        <v>271898.46000000002</v>
      </c>
      <c r="I29" s="15">
        <f t="shared" si="2"/>
        <v>219158.09999999998</v>
      </c>
      <c r="J29" s="15">
        <f t="shared" si="3"/>
        <v>288307.26</v>
      </c>
      <c r="K29" s="15">
        <f t="shared" si="4"/>
        <v>168762.96</v>
      </c>
      <c r="L29" s="15">
        <f t="shared" si="5"/>
        <v>125403.48000000001</v>
      </c>
      <c r="M29" s="15">
        <f t="shared" si="6"/>
        <v>117779.57999999999</v>
      </c>
      <c r="N29" s="15">
        <f t="shared" si="7"/>
        <v>72074.880000000005</v>
      </c>
      <c r="O29" s="15">
        <f t="shared" si="8"/>
        <v>26370.18</v>
      </c>
      <c r="P29" s="15">
        <f t="shared" si="9"/>
        <v>26370.18</v>
      </c>
      <c r="Q29" s="15">
        <f t="shared" si="10"/>
        <v>8204.4</v>
      </c>
      <c r="R29" s="15">
        <f t="shared" si="11"/>
        <v>1324329.48</v>
      </c>
    </row>
    <row r="30" spans="1:18" ht="12.75" x14ac:dyDescent="0.2">
      <c r="A30" t="s">
        <v>90</v>
      </c>
      <c r="B30" s="2" t="s">
        <v>40</v>
      </c>
      <c r="C30" s="2">
        <v>44</v>
      </c>
      <c r="D30" s="2">
        <v>5217</v>
      </c>
      <c r="E30" s="2" t="s">
        <v>16</v>
      </c>
      <c r="F30" s="2" t="s">
        <v>7</v>
      </c>
      <c r="G30" t="s">
        <v>40</v>
      </c>
      <c r="H30" s="15">
        <f t="shared" si="1"/>
        <v>1832679.9300000002</v>
      </c>
      <c r="I30" s="15">
        <f t="shared" si="2"/>
        <v>1477193.5499999998</v>
      </c>
      <c r="J30" s="15">
        <f t="shared" si="3"/>
        <v>1943280.33</v>
      </c>
      <c r="K30" s="15">
        <f t="shared" si="4"/>
        <v>1137514.68</v>
      </c>
      <c r="L30" s="15">
        <f t="shared" si="5"/>
        <v>845258.34000000008</v>
      </c>
      <c r="M30" s="15">
        <f t="shared" si="6"/>
        <v>793870.8899999999</v>
      </c>
      <c r="N30" s="15">
        <f t="shared" si="7"/>
        <v>485807.04000000004</v>
      </c>
      <c r="O30" s="15">
        <f t="shared" si="8"/>
        <v>177743.19</v>
      </c>
      <c r="P30" s="15">
        <f t="shared" si="9"/>
        <v>177743.19</v>
      </c>
      <c r="Q30" s="15">
        <f t="shared" si="10"/>
        <v>55300.2</v>
      </c>
      <c r="R30" s="15">
        <f t="shared" si="11"/>
        <v>8926391.3399999999</v>
      </c>
    </row>
    <row r="31" spans="1:18" ht="12.75" x14ac:dyDescent="0.2">
      <c r="A31" s="19" t="s">
        <v>92</v>
      </c>
      <c r="B31" s="2" t="s">
        <v>100</v>
      </c>
      <c r="C31" s="2"/>
      <c r="D31" s="2">
        <v>1380</v>
      </c>
      <c r="E31" s="2" t="s">
        <v>101</v>
      </c>
      <c r="F31" s="2" t="s">
        <v>7</v>
      </c>
      <c r="G31" s="2" t="s">
        <v>100</v>
      </c>
      <c r="H31" s="15">
        <f t="shared" si="1"/>
        <v>484780.2</v>
      </c>
      <c r="I31" s="15">
        <f t="shared" si="2"/>
        <v>390746.99999999994</v>
      </c>
      <c r="J31" s="15">
        <f t="shared" si="3"/>
        <v>514036.2</v>
      </c>
      <c r="K31" s="15">
        <f t="shared" si="4"/>
        <v>300895.2</v>
      </c>
      <c r="L31" s="15">
        <f t="shared" si="5"/>
        <v>223587.6</v>
      </c>
      <c r="M31" s="15">
        <f t="shared" si="6"/>
        <v>209994.59999999998</v>
      </c>
      <c r="N31" s="15">
        <f t="shared" si="7"/>
        <v>128505.60000000001</v>
      </c>
      <c r="O31" s="15">
        <f t="shared" si="8"/>
        <v>47016.6</v>
      </c>
      <c r="P31" s="15">
        <f t="shared" si="9"/>
        <v>47016.6</v>
      </c>
      <c r="Q31" s="15">
        <f t="shared" si="10"/>
        <v>14628</v>
      </c>
      <c r="R31" s="15">
        <f t="shared" si="11"/>
        <v>2361207.6</v>
      </c>
    </row>
    <row r="32" spans="1:18" ht="12.75" x14ac:dyDescent="0.2">
      <c r="A32" t="s">
        <v>92</v>
      </c>
      <c r="B32" s="2" t="s">
        <v>41</v>
      </c>
      <c r="C32" s="2">
        <v>39</v>
      </c>
      <c r="D32" s="2">
        <v>3220</v>
      </c>
      <c r="E32" s="2" t="s">
        <v>9</v>
      </c>
      <c r="F32" s="2" t="s">
        <v>7</v>
      </c>
      <c r="G32" t="s">
        <v>41</v>
      </c>
      <c r="H32" s="15">
        <f t="shared" si="1"/>
        <v>1131153.8</v>
      </c>
      <c r="I32" s="15">
        <f t="shared" si="2"/>
        <v>911742.99999999988</v>
      </c>
      <c r="J32" s="15">
        <f t="shared" si="3"/>
        <v>1199417.8</v>
      </c>
      <c r="K32" s="15">
        <f t="shared" si="4"/>
        <v>702088.79999999993</v>
      </c>
      <c r="L32" s="15">
        <f t="shared" si="5"/>
        <v>521704.4</v>
      </c>
      <c r="M32" s="15">
        <f t="shared" si="6"/>
        <v>489987.39999999997</v>
      </c>
      <c r="N32" s="15">
        <f t="shared" si="7"/>
        <v>299846.40000000002</v>
      </c>
      <c r="O32" s="15">
        <f t="shared" si="8"/>
        <v>109705.4</v>
      </c>
      <c r="P32" s="15">
        <f t="shared" si="9"/>
        <v>109705.4</v>
      </c>
      <c r="Q32" s="15">
        <f t="shared" si="10"/>
        <v>34132</v>
      </c>
      <c r="R32" s="15">
        <f t="shared" si="11"/>
        <v>5509484.4000000004</v>
      </c>
    </row>
    <row r="33" spans="1:18" ht="12.75" x14ac:dyDescent="0.2">
      <c r="A33" t="s">
        <v>92</v>
      </c>
      <c r="B33" s="2" t="s">
        <v>42</v>
      </c>
      <c r="C33" s="2">
        <v>43</v>
      </c>
      <c r="D33" s="2">
        <v>3459</v>
      </c>
      <c r="E33" s="2" t="s">
        <v>13</v>
      </c>
      <c r="F33" s="2" t="s">
        <v>7</v>
      </c>
      <c r="G33" t="s">
        <v>42</v>
      </c>
      <c r="H33" s="15">
        <f t="shared" si="1"/>
        <v>1215112.1100000001</v>
      </c>
      <c r="I33" s="15">
        <f t="shared" si="2"/>
        <v>979415.85</v>
      </c>
      <c r="J33" s="15">
        <f t="shared" si="3"/>
        <v>1288442.9099999999</v>
      </c>
      <c r="K33" s="15">
        <f t="shared" si="4"/>
        <v>754200.36</v>
      </c>
      <c r="L33" s="15">
        <f t="shared" si="5"/>
        <v>560427.18000000005</v>
      </c>
      <c r="M33" s="15">
        <f t="shared" si="6"/>
        <v>526356.02999999991</v>
      </c>
      <c r="N33" s="15">
        <f t="shared" si="7"/>
        <v>322102.08</v>
      </c>
      <c r="O33" s="15">
        <f t="shared" si="8"/>
        <v>117848.13</v>
      </c>
      <c r="P33" s="15">
        <f t="shared" si="9"/>
        <v>117848.13</v>
      </c>
      <c r="Q33" s="15">
        <f t="shared" si="10"/>
        <v>36665.4</v>
      </c>
      <c r="R33" s="15">
        <f t="shared" si="11"/>
        <v>5918418.1799999997</v>
      </c>
    </row>
    <row r="34" spans="1:18" ht="12.75" x14ac:dyDescent="0.2">
      <c r="A34" t="s">
        <v>92</v>
      </c>
      <c r="B34" s="2" t="s">
        <v>43</v>
      </c>
      <c r="C34" s="2">
        <v>53</v>
      </c>
      <c r="D34" s="2">
        <v>5436</v>
      </c>
      <c r="E34" s="2" t="s">
        <v>16</v>
      </c>
      <c r="F34" s="2" t="s">
        <v>7</v>
      </c>
      <c r="G34" t="s">
        <v>43</v>
      </c>
      <c r="H34" s="15">
        <f t="shared" si="1"/>
        <v>1909612.4400000002</v>
      </c>
      <c r="I34" s="15">
        <f t="shared" si="2"/>
        <v>1539203.4</v>
      </c>
      <c r="J34" s="15">
        <f t="shared" si="3"/>
        <v>2024855.6400000001</v>
      </c>
      <c r="K34" s="15">
        <f t="shared" si="4"/>
        <v>1185265.44</v>
      </c>
      <c r="L34" s="15">
        <f t="shared" si="5"/>
        <v>880740.72000000009</v>
      </c>
      <c r="M34" s="15">
        <f t="shared" si="6"/>
        <v>827196.11999999988</v>
      </c>
      <c r="N34" s="15">
        <f t="shared" si="7"/>
        <v>506200.32000000001</v>
      </c>
      <c r="O34" s="15">
        <f t="shared" si="8"/>
        <v>185204.52</v>
      </c>
      <c r="P34" s="15">
        <f t="shared" si="9"/>
        <v>185204.52</v>
      </c>
      <c r="Q34" s="15">
        <f t="shared" si="10"/>
        <v>57621.599999999999</v>
      </c>
      <c r="R34" s="15">
        <f t="shared" si="11"/>
        <v>9301104.7200000007</v>
      </c>
    </row>
    <row r="35" spans="1:18" ht="12.75" x14ac:dyDescent="0.2">
      <c r="A35" t="s">
        <v>92</v>
      </c>
      <c r="B35" s="2" t="s">
        <v>44</v>
      </c>
      <c r="C35" s="2">
        <v>52</v>
      </c>
      <c r="D35" s="2">
        <v>2135</v>
      </c>
      <c r="E35" s="2" t="s">
        <v>16</v>
      </c>
      <c r="F35" s="2" t="s">
        <v>7</v>
      </c>
      <c r="G35" t="s">
        <v>44</v>
      </c>
      <c r="H35" s="15">
        <f t="shared" si="1"/>
        <v>750004.15</v>
      </c>
      <c r="I35" s="15">
        <f t="shared" si="2"/>
        <v>604525.25</v>
      </c>
      <c r="J35" s="15">
        <f t="shared" si="3"/>
        <v>795266.15</v>
      </c>
      <c r="K35" s="15">
        <f t="shared" si="4"/>
        <v>465515.39999999997</v>
      </c>
      <c r="L35" s="15">
        <f t="shared" si="5"/>
        <v>345912.7</v>
      </c>
      <c r="M35" s="15">
        <f t="shared" si="6"/>
        <v>324882.94999999995</v>
      </c>
      <c r="N35" s="15">
        <f t="shared" si="7"/>
        <v>198811.2</v>
      </c>
      <c r="O35" s="15">
        <f t="shared" si="8"/>
        <v>72739.45</v>
      </c>
      <c r="P35" s="15">
        <f t="shared" si="9"/>
        <v>72739.45</v>
      </c>
      <c r="Q35" s="15">
        <f t="shared" si="10"/>
        <v>22631</v>
      </c>
      <c r="R35" s="15">
        <f t="shared" si="11"/>
        <v>3653027.7</v>
      </c>
    </row>
    <row r="36" spans="1:18" ht="12.75" x14ac:dyDescent="0.2">
      <c r="A36" t="s">
        <v>92</v>
      </c>
      <c r="B36" s="2" t="s">
        <v>45</v>
      </c>
      <c r="C36" s="2">
        <v>54</v>
      </c>
      <c r="D36" s="2">
        <v>10178</v>
      </c>
      <c r="E36" s="2" t="s">
        <v>16</v>
      </c>
      <c r="F36" s="2" t="s">
        <v>7</v>
      </c>
      <c r="G36" t="s">
        <v>45</v>
      </c>
      <c r="H36" s="15">
        <f t="shared" si="1"/>
        <v>3575429.62</v>
      </c>
      <c r="I36" s="15">
        <f t="shared" si="2"/>
        <v>2881900.6999999997</v>
      </c>
      <c r="J36" s="15">
        <f t="shared" si="3"/>
        <v>3791203.22</v>
      </c>
      <c r="K36" s="15">
        <f t="shared" si="4"/>
        <v>2219211.12</v>
      </c>
      <c r="L36" s="15">
        <f t="shared" si="5"/>
        <v>1649039.56</v>
      </c>
      <c r="M36" s="15">
        <f t="shared" si="6"/>
        <v>1548786.2599999998</v>
      </c>
      <c r="N36" s="15">
        <f t="shared" si="7"/>
        <v>947775.3600000001</v>
      </c>
      <c r="O36" s="15">
        <f t="shared" si="8"/>
        <v>346764.46</v>
      </c>
      <c r="P36" s="15">
        <f t="shared" si="9"/>
        <v>346764.46</v>
      </c>
      <c r="Q36" s="15">
        <f t="shared" si="10"/>
        <v>107886.8</v>
      </c>
      <c r="R36" s="15">
        <f t="shared" si="11"/>
        <v>17414761.559999999</v>
      </c>
    </row>
    <row r="37" spans="1:18" ht="12.75" x14ac:dyDescent="0.2">
      <c r="A37" t="s">
        <v>92</v>
      </c>
      <c r="B37" s="2" t="s">
        <v>46</v>
      </c>
      <c r="C37" s="2">
        <v>55</v>
      </c>
      <c r="D37" s="2">
        <v>3559</v>
      </c>
      <c r="E37" s="2" t="s">
        <v>16</v>
      </c>
      <c r="F37" s="2" t="s">
        <v>7</v>
      </c>
      <c r="G37" t="s">
        <v>46</v>
      </c>
      <c r="H37" s="15">
        <f t="shared" si="1"/>
        <v>1250241.1100000001</v>
      </c>
      <c r="I37" s="15">
        <f t="shared" si="2"/>
        <v>1007730.85</v>
      </c>
      <c r="J37" s="15">
        <f t="shared" si="3"/>
        <v>1325691.9099999999</v>
      </c>
      <c r="K37" s="15">
        <f t="shared" si="4"/>
        <v>776004.36</v>
      </c>
      <c r="L37" s="15">
        <f t="shared" si="5"/>
        <v>576629.18000000005</v>
      </c>
      <c r="M37" s="15">
        <f t="shared" si="6"/>
        <v>541573.02999999991</v>
      </c>
      <c r="N37" s="15">
        <f t="shared" si="7"/>
        <v>331414.08</v>
      </c>
      <c r="O37" s="15">
        <f t="shared" si="8"/>
        <v>121255.13</v>
      </c>
      <c r="P37" s="15">
        <f t="shared" si="9"/>
        <v>121255.13</v>
      </c>
      <c r="Q37" s="15">
        <f t="shared" si="10"/>
        <v>37725.4</v>
      </c>
      <c r="R37" s="15">
        <f t="shared" si="11"/>
        <v>6089520.1799999997</v>
      </c>
    </row>
    <row r="38" spans="1:18" ht="12.75" x14ac:dyDescent="0.2">
      <c r="A38" t="s">
        <v>88</v>
      </c>
      <c r="B38" s="3" t="s">
        <v>47</v>
      </c>
      <c r="C38" s="3">
        <v>63</v>
      </c>
      <c r="D38" s="3">
        <v>208</v>
      </c>
      <c r="E38" s="3" t="s">
        <v>9</v>
      </c>
      <c r="F38" s="3" t="s">
        <v>54</v>
      </c>
      <c r="G38" t="s">
        <v>47</v>
      </c>
      <c r="H38" s="15">
        <f t="shared" si="1"/>
        <v>0</v>
      </c>
      <c r="I38" s="15">
        <f t="shared" si="2"/>
        <v>0</v>
      </c>
      <c r="J38" s="15">
        <f t="shared" si="3"/>
        <v>0</v>
      </c>
      <c r="K38" s="15">
        <f t="shared" si="4"/>
        <v>0</v>
      </c>
      <c r="L38" s="15">
        <f t="shared" si="5"/>
        <v>0</v>
      </c>
      <c r="M38" s="15">
        <f t="shared" si="6"/>
        <v>0</v>
      </c>
      <c r="N38" s="15">
        <f t="shared" si="7"/>
        <v>0</v>
      </c>
      <c r="O38" s="15">
        <f t="shared" si="8"/>
        <v>0</v>
      </c>
      <c r="P38" s="15">
        <f t="shared" si="9"/>
        <v>0</v>
      </c>
      <c r="Q38" s="15">
        <f t="shared" si="10"/>
        <v>0</v>
      </c>
      <c r="R38" s="15">
        <f t="shared" si="11"/>
        <v>0</v>
      </c>
    </row>
    <row r="39" spans="1:18" ht="12.75" x14ac:dyDescent="0.2">
      <c r="A39" t="s">
        <v>88</v>
      </c>
      <c r="B39" s="3" t="s">
        <v>48</v>
      </c>
      <c r="C39" s="3">
        <v>87</v>
      </c>
      <c r="D39" s="3">
        <v>2514</v>
      </c>
      <c r="E39" s="3" t="s">
        <v>9</v>
      </c>
      <c r="F39" s="3" t="s">
        <v>54</v>
      </c>
      <c r="G39" t="s">
        <v>48</v>
      </c>
      <c r="H39" s="15">
        <f t="shared" si="1"/>
        <v>0</v>
      </c>
      <c r="I39" s="15">
        <f t="shared" si="2"/>
        <v>0</v>
      </c>
      <c r="J39" s="15">
        <f t="shared" si="3"/>
        <v>0</v>
      </c>
      <c r="K39" s="15">
        <f t="shared" si="4"/>
        <v>0</v>
      </c>
      <c r="L39" s="15">
        <f t="shared" si="5"/>
        <v>0</v>
      </c>
      <c r="M39" s="15">
        <f t="shared" si="6"/>
        <v>0</v>
      </c>
      <c r="N39" s="15">
        <f t="shared" si="7"/>
        <v>0</v>
      </c>
      <c r="O39" s="15">
        <f t="shared" si="8"/>
        <v>0</v>
      </c>
      <c r="P39" s="15">
        <f t="shared" si="9"/>
        <v>0</v>
      </c>
      <c r="Q39" s="15">
        <f t="shared" si="10"/>
        <v>0</v>
      </c>
      <c r="R39" s="15">
        <f t="shared" si="11"/>
        <v>0</v>
      </c>
    </row>
    <row r="40" spans="1:18" ht="12.75" x14ac:dyDescent="0.2">
      <c r="A40" t="s">
        <v>88</v>
      </c>
      <c r="B40" s="3" t="s">
        <v>49</v>
      </c>
      <c r="C40" s="3">
        <v>89</v>
      </c>
      <c r="D40" s="3">
        <v>9211</v>
      </c>
      <c r="E40" s="3" t="s">
        <v>9</v>
      </c>
      <c r="F40" s="3" t="s">
        <v>54</v>
      </c>
      <c r="G40" t="s">
        <v>49</v>
      </c>
      <c r="H40" s="15">
        <f t="shared" si="1"/>
        <v>0</v>
      </c>
      <c r="I40" s="15">
        <f t="shared" si="2"/>
        <v>0</v>
      </c>
      <c r="J40" s="15">
        <f t="shared" si="3"/>
        <v>0</v>
      </c>
      <c r="K40" s="15">
        <f t="shared" si="4"/>
        <v>0</v>
      </c>
      <c r="L40" s="15">
        <f t="shared" si="5"/>
        <v>0</v>
      </c>
      <c r="M40" s="15">
        <f t="shared" si="6"/>
        <v>0</v>
      </c>
      <c r="N40" s="15">
        <f t="shared" si="7"/>
        <v>0</v>
      </c>
      <c r="O40" s="15">
        <f t="shared" si="8"/>
        <v>0</v>
      </c>
      <c r="P40" s="15">
        <f t="shared" si="9"/>
        <v>0</v>
      </c>
      <c r="Q40" s="15">
        <f t="shared" si="10"/>
        <v>0</v>
      </c>
      <c r="R40" s="15">
        <f t="shared" si="11"/>
        <v>0</v>
      </c>
    </row>
    <row r="41" spans="1:18" ht="12.75" x14ac:dyDescent="0.2">
      <c r="A41" t="s">
        <v>88</v>
      </c>
      <c r="B41" s="3" t="s">
        <v>50</v>
      </c>
      <c r="C41" s="3">
        <v>60</v>
      </c>
      <c r="D41" s="3">
        <v>2936</v>
      </c>
      <c r="E41" s="3" t="s">
        <v>9</v>
      </c>
      <c r="F41" s="3" t="s">
        <v>54</v>
      </c>
      <c r="G41" t="s">
        <v>50</v>
      </c>
      <c r="H41" s="15">
        <f t="shared" si="1"/>
        <v>0</v>
      </c>
      <c r="I41" s="15">
        <f t="shared" si="2"/>
        <v>0</v>
      </c>
      <c r="J41" s="15">
        <f t="shared" si="3"/>
        <v>0</v>
      </c>
      <c r="K41" s="15">
        <f t="shared" si="4"/>
        <v>0</v>
      </c>
      <c r="L41" s="15">
        <f t="shared" si="5"/>
        <v>0</v>
      </c>
      <c r="M41" s="15">
        <f t="shared" si="6"/>
        <v>0</v>
      </c>
      <c r="N41" s="15">
        <f t="shared" si="7"/>
        <v>0</v>
      </c>
      <c r="O41" s="15">
        <f t="shared" si="8"/>
        <v>0</v>
      </c>
      <c r="P41" s="15">
        <f t="shared" si="9"/>
        <v>0</v>
      </c>
      <c r="Q41" s="15">
        <f t="shared" si="10"/>
        <v>0</v>
      </c>
      <c r="R41" s="15">
        <f t="shared" si="11"/>
        <v>0</v>
      </c>
    </row>
    <row r="42" spans="1:18" ht="15.75" customHeight="1" x14ac:dyDescent="0.2">
      <c r="B42" s="4" t="s">
        <v>55</v>
      </c>
      <c r="D42" s="4">
        <f>SUM(D8,D10,D15:D19,D22:D37)</f>
        <v>104362</v>
      </c>
      <c r="G42" s="16" t="s">
        <v>86</v>
      </c>
      <c r="H42" s="15">
        <f t="shared" ref="H42:R42" si="12">SUM(H4:H41)</f>
        <v>36661326.979999997</v>
      </c>
      <c r="I42" s="15">
        <f t="shared" si="12"/>
        <v>29550100.300000001</v>
      </c>
      <c r="J42" s="15">
        <f t="shared" si="12"/>
        <v>38873801.38000001</v>
      </c>
      <c r="K42" s="15">
        <f t="shared" si="12"/>
        <v>22755090.48</v>
      </c>
      <c r="L42" s="15">
        <f t="shared" si="12"/>
        <v>16908731.240000002</v>
      </c>
      <c r="M42" s="15">
        <f t="shared" si="12"/>
        <v>15880765.539999997</v>
      </c>
      <c r="N42" s="15">
        <f t="shared" si="12"/>
        <v>9718189.4399999995</v>
      </c>
      <c r="O42" s="15">
        <f t="shared" si="12"/>
        <v>3555613.34</v>
      </c>
      <c r="P42" s="15">
        <f t="shared" si="12"/>
        <v>3555613.34</v>
      </c>
      <c r="Q42" s="15">
        <f t="shared" si="12"/>
        <v>1106237.2</v>
      </c>
      <c r="R42" s="15">
        <f t="shared" si="12"/>
        <v>178565469.24000001</v>
      </c>
    </row>
    <row r="43" spans="1:18" ht="12.75" x14ac:dyDescent="0.2"/>
    <row r="44" spans="1:18" ht="12.75" x14ac:dyDescent="0.2">
      <c r="E44" s="4" t="s">
        <v>56</v>
      </c>
      <c r="F44" s="4">
        <v>128001</v>
      </c>
      <c r="G44" s="1"/>
    </row>
    <row r="45" spans="1:18" ht="15.75" customHeight="1" x14ac:dyDescent="0.2">
      <c r="E45" s="4" t="s">
        <v>57</v>
      </c>
      <c r="F45" s="4">
        <v>0.51400000000000001</v>
      </c>
      <c r="G45" s="1"/>
    </row>
    <row r="46" spans="1:18" ht="15.75" customHeight="1" x14ac:dyDescent="0.2">
      <c r="C46" s="1" t="s">
        <v>11</v>
      </c>
    </row>
    <row r="47" spans="1:18" ht="15.75" customHeight="1" x14ac:dyDescent="0.2">
      <c r="C47" s="2" t="s">
        <v>14</v>
      </c>
    </row>
    <row r="48" spans="1:18" ht="15.75" customHeight="1" x14ac:dyDescent="0.2">
      <c r="C48" s="3" t="s">
        <v>17</v>
      </c>
      <c r="D48" s="9" t="s">
        <v>70</v>
      </c>
      <c r="E48" s="9" t="s">
        <v>71</v>
      </c>
      <c r="F48" s="9" t="s">
        <v>83</v>
      </c>
    </row>
    <row r="49" spans="4:6" ht="15.75" customHeight="1" x14ac:dyDescent="0.2">
      <c r="D49" s="10" t="s">
        <v>72</v>
      </c>
      <c r="E49" s="10">
        <v>187.77</v>
      </c>
      <c r="F49" s="10">
        <v>351.29</v>
      </c>
    </row>
    <row r="50" spans="4:6" ht="15.75" customHeight="1" x14ac:dyDescent="0.2">
      <c r="D50" s="10" t="s">
        <v>73</v>
      </c>
      <c r="E50" s="10">
        <v>151.35</v>
      </c>
      <c r="F50" s="10">
        <v>283.14999999999998</v>
      </c>
    </row>
    <row r="51" spans="4:6" ht="15.75" customHeight="1" x14ac:dyDescent="0.2">
      <c r="D51" s="10" t="s">
        <v>74</v>
      </c>
      <c r="E51" s="10">
        <v>199.11</v>
      </c>
      <c r="F51" s="10">
        <v>372.49</v>
      </c>
    </row>
    <row r="52" spans="4:6" ht="15.75" customHeight="1" x14ac:dyDescent="0.2">
      <c r="D52" s="10" t="s">
        <v>75</v>
      </c>
      <c r="E52" s="10">
        <v>116.55</v>
      </c>
      <c r="F52" s="10">
        <v>218.04</v>
      </c>
    </row>
    <row r="53" spans="4:6" ht="15.75" customHeight="1" x14ac:dyDescent="0.2">
      <c r="D53" s="10" t="s">
        <v>76</v>
      </c>
      <c r="E53" s="10">
        <v>86.6</v>
      </c>
      <c r="F53" s="10">
        <v>162.02000000000001</v>
      </c>
    </row>
    <row r="54" spans="4:6" ht="15.75" customHeight="1" x14ac:dyDescent="0.2">
      <c r="D54" s="10" t="s">
        <v>77</v>
      </c>
      <c r="E54" s="10">
        <v>81.34</v>
      </c>
      <c r="F54" s="10">
        <v>152.16999999999999</v>
      </c>
    </row>
    <row r="55" spans="4:6" ht="15.75" customHeight="1" x14ac:dyDescent="0.2">
      <c r="D55" s="10" t="s">
        <v>78</v>
      </c>
      <c r="E55" s="10">
        <v>49.78</v>
      </c>
      <c r="F55" s="10">
        <v>93.12</v>
      </c>
    </row>
    <row r="56" spans="4:6" ht="15.75" customHeight="1" x14ac:dyDescent="0.2">
      <c r="D56" s="10" t="s">
        <v>79</v>
      </c>
      <c r="E56" s="10">
        <v>18.21</v>
      </c>
      <c r="F56" s="10">
        <v>34.07</v>
      </c>
    </row>
    <row r="57" spans="4:6" ht="15.75" customHeight="1" x14ac:dyDescent="0.2">
      <c r="D57" s="10" t="s">
        <v>80</v>
      </c>
      <c r="E57" s="10">
        <v>18.21</v>
      </c>
      <c r="F57" s="10">
        <v>34.07</v>
      </c>
    </row>
    <row r="58" spans="4:6" ht="15.75" customHeight="1" x14ac:dyDescent="0.2">
      <c r="D58" s="10" t="s">
        <v>81</v>
      </c>
      <c r="E58" s="10">
        <v>5.67</v>
      </c>
      <c r="F58" s="10">
        <v>10.6</v>
      </c>
    </row>
    <row r="59" spans="4:6" ht="15.75" customHeight="1" x14ac:dyDescent="0.2">
      <c r="D59" s="11" t="s">
        <v>82</v>
      </c>
      <c r="E59" s="11">
        <v>914.59</v>
      </c>
      <c r="F59" s="12">
        <v>1711.02</v>
      </c>
    </row>
  </sheetData>
  <mergeCells count="1">
    <mergeCell ref="H1:R1"/>
  </mergeCells>
  <conditionalFormatting sqref="H3:R30 H32:R42">
    <cfRule type="top10" dxfId="2" priority="3" percent="1" rank="10"/>
  </conditionalFormatting>
  <conditionalFormatting sqref="H31:R31">
    <cfRule type="top10" dxfId="1" priority="1" percent="1" rank="10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62"/>
  <sheetViews>
    <sheetView workbookViewId="0">
      <selection activeCell="B43" sqref="B43"/>
    </sheetView>
  </sheetViews>
  <sheetFormatPr defaultColWidth="12.5703125" defaultRowHeight="15.75" customHeight="1" x14ac:dyDescent="0.2"/>
  <cols>
    <col min="8" max="8" width="29.85546875" customWidth="1"/>
    <col min="9" max="11" width="15" bestFit="1" customWidth="1"/>
    <col min="12" max="16" width="14" bestFit="1" customWidth="1"/>
    <col min="17" max="17" width="12.7109375" bestFit="1" customWidth="1"/>
    <col min="18" max="18" width="15" bestFit="1" customWidth="1"/>
  </cols>
  <sheetData>
    <row r="1" spans="1:18" ht="15.75" customHeight="1" x14ac:dyDescent="0.2">
      <c r="H1" s="28" t="s">
        <v>84</v>
      </c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25.5" x14ac:dyDescent="0.2">
      <c r="A2" t="s">
        <v>87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58</v>
      </c>
      <c r="G2" s="13" t="s">
        <v>70</v>
      </c>
      <c r="H2" s="14" t="s">
        <v>72</v>
      </c>
      <c r="I2" s="14" t="s">
        <v>73</v>
      </c>
      <c r="J2" s="14" t="s">
        <v>74</v>
      </c>
      <c r="K2" s="14" t="s">
        <v>75</v>
      </c>
      <c r="L2" s="14" t="s">
        <v>76</v>
      </c>
      <c r="M2" s="14" t="s">
        <v>77</v>
      </c>
      <c r="N2" s="14" t="s">
        <v>78</v>
      </c>
      <c r="O2" s="14" t="s">
        <v>79</v>
      </c>
      <c r="P2" s="14" t="s">
        <v>80</v>
      </c>
      <c r="Q2" s="14" t="s">
        <v>81</v>
      </c>
      <c r="R2" s="14" t="s">
        <v>82</v>
      </c>
    </row>
    <row r="3" spans="1:18" ht="12.75" x14ac:dyDescent="0.2">
      <c r="A3" t="s">
        <v>97</v>
      </c>
      <c r="B3" s="1" t="s">
        <v>98</v>
      </c>
      <c r="C3" s="1"/>
      <c r="D3" s="1">
        <v>41914</v>
      </c>
      <c r="E3" s="1"/>
      <c r="F3" s="1" t="s">
        <v>99</v>
      </c>
      <c r="G3" s="13"/>
      <c r="H3" s="15">
        <f>IF($F3="Tidal", $D3*$F$52, 0)</f>
        <v>14723969.060000001</v>
      </c>
      <c r="I3" s="15">
        <f t="shared" ref="I3:R3" si="0">IF($F3="Tidal", $D3*$F$52, 0)</f>
        <v>14723969.060000001</v>
      </c>
      <c r="J3" s="15">
        <f t="shared" si="0"/>
        <v>14723969.060000001</v>
      </c>
      <c r="K3" s="15">
        <f t="shared" si="0"/>
        <v>14723969.060000001</v>
      </c>
      <c r="L3" s="15">
        <f t="shared" si="0"/>
        <v>14723969.060000001</v>
      </c>
      <c r="M3" s="15">
        <f t="shared" si="0"/>
        <v>14723969.060000001</v>
      </c>
      <c r="N3" s="15">
        <f t="shared" si="0"/>
        <v>14723969.060000001</v>
      </c>
      <c r="O3" s="15">
        <f t="shared" si="0"/>
        <v>14723969.060000001</v>
      </c>
      <c r="P3" s="15">
        <f t="shared" si="0"/>
        <v>14723969.060000001</v>
      </c>
      <c r="Q3" s="15">
        <f t="shared" si="0"/>
        <v>14723969.060000001</v>
      </c>
      <c r="R3" s="15">
        <f t="shared" si="0"/>
        <v>14723969.060000001</v>
      </c>
    </row>
    <row r="4" spans="1:18" ht="12.75" x14ac:dyDescent="0.2">
      <c r="A4" t="s">
        <v>88</v>
      </c>
      <c r="B4" s="3" t="s">
        <v>5</v>
      </c>
      <c r="C4" s="3">
        <v>80</v>
      </c>
      <c r="D4" s="3">
        <v>16543</v>
      </c>
      <c r="E4" s="3" t="s">
        <v>6</v>
      </c>
      <c r="F4" s="3" t="s">
        <v>54</v>
      </c>
      <c r="G4" t="s">
        <v>5</v>
      </c>
      <c r="H4" s="15">
        <f t="shared" ref="H4:H28" si="1">IF($F4="MW", $D4*$F$52, 0)</f>
        <v>0</v>
      </c>
      <c r="I4" s="15">
        <f t="shared" ref="I4:I28" si="2">IF($F4="MW", $D4*$F$53, 0)</f>
        <v>0</v>
      </c>
      <c r="J4" s="15">
        <f t="shared" ref="J4:J28" si="3">IF($F4="MW", $D4*$F$54, 0)</f>
        <v>0</v>
      </c>
      <c r="K4" s="15">
        <f t="shared" ref="K4:K28" si="4">IF($F4="MW", $D4*$F$55, 0)</f>
        <v>0</v>
      </c>
      <c r="L4" s="15">
        <f t="shared" ref="L4:L28" si="5">IF($F4="MW", $D4*$F$56, 0)</f>
        <v>0</v>
      </c>
      <c r="M4" s="15">
        <f t="shared" ref="M4:M28" si="6">IF($F4="MW", $D4*$F$57, 0)</f>
        <v>0</v>
      </c>
      <c r="N4" s="15">
        <f t="shared" ref="N4:N28" si="7">IF($F4="MW", $D4*$F$58, 0)</f>
        <v>0</v>
      </c>
      <c r="O4" s="15">
        <f t="shared" ref="O4:O28" si="8">IF($F4="MW", $D4*$F$59, 0)</f>
        <v>0</v>
      </c>
      <c r="P4" s="15">
        <f t="shared" ref="P4:P28" si="9">IF($F4="MW", $D4*$F$60, 0)</f>
        <v>0</v>
      </c>
      <c r="Q4" s="15">
        <f t="shared" ref="Q4:Q28" si="10">IF($F4="MW", $D4*$F$61, 0)</f>
        <v>0</v>
      </c>
      <c r="R4" s="15">
        <f t="shared" ref="R4:R28" si="11">IF($F4="MW", $D4*$F$62, 0)</f>
        <v>0</v>
      </c>
    </row>
    <row r="5" spans="1:18" ht="12.75" x14ac:dyDescent="0.2">
      <c r="A5" t="s">
        <v>88</v>
      </c>
      <c r="B5" s="3" t="s">
        <v>8</v>
      </c>
      <c r="C5" s="3">
        <v>76</v>
      </c>
      <c r="D5" s="3">
        <v>11798</v>
      </c>
      <c r="E5" s="3" t="s">
        <v>9</v>
      </c>
      <c r="F5" s="3" t="s">
        <v>54</v>
      </c>
      <c r="G5" t="s">
        <v>8</v>
      </c>
      <c r="H5" s="15">
        <f t="shared" si="1"/>
        <v>0</v>
      </c>
      <c r="I5" s="15">
        <f t="shared" si="2"/>
        <v>0</v>
      </c>
      <c r="J5" s="15">
        <f t="shared" si="3"/>
        <v>0</v>
      </c>
      <c r="K5" s="15">
        <f t="shared" si="4"/>
        <v>0</v>
      </c>
      <c r="L5" s="15">
        <f t="shared" si="5"/>
        <v>0</v>
      </c>
      <c r="M5" s="15">
        <f t="shared" si="6"/>
        <v>0</v>
      </c>
      <c r="N5" s="15">
        <f t="shared" si="7"/>
        <v>0</v>
      </c>
      <c r="O5" s="15">
        <f t="shared" si="8"/>
        <v>0</v>
      </c>
      <c r="P5" s="15">
        <f t="shared" si="9"/>
        <v>0</v>
      </c>
      <c r="Q5" s="15">
        <f t="shared" si="10"/>
        <v>0</v>
      </c>
      <c r="R5" s="15">
        <f t="shared" si="11"/>
        <v>0</v>
      </c>
    </row>
    <row r="6" spans="1:18" ht="12.75" x14ac:dyDescent="0.2">
      <c r="A6" t="s">
        <v>88</v>
      </c>
      <c r="B6" s="3" t="s">
        <v>10</v>
      </c>
      <c r="C6" s="3">
        <v>62</v>
      </c>
      <c r="D6" s="3">
        <v>8799</v>
      </c>
      <c r="E6" s="3" t="s">
        <v>9</v>
      </c>
      <c r="F6" s="3" t="s">
        <v>54</v>
      </c>
      <c r="G6" t="s">
        <v>10</v>
      </c>
      <c r="H6" s="15">
        <f t="shared" si="1"/>
        <v>0</v>
      </c>
      <c r="I6" s="15">
        <f t="shared" si="2"/>
        <v>0</v>
      </c>
      <c r="J6" s="15">
        <f t="shared" si="3"/>
        <v>0</v>
      </c>
      <c r="K6" s="15">
        <f t="shared" si="4"/>
        <v>0</v>
      </c>
      <c r="L6" s="15">
        <f t="shared" si="5"/>
        <v>0</v>
      </c>
      <c r="M6" s="15">
        <f t="shared" si="6"/>
        <v>0</v>
      </c>
      <c r="N6" s="15">
        <f t="shared" si="7"/>
        <v>0</v>
      </c>
      <c r="O6" s="15">
        <f t="shared" si="8"/>
        <v>0</v>
      </c>
      <c r="P6" s="15">
        <f t="shared" si="9"/>
        <v>0</v>
      </c>
      <c r="Q6" s="15">
        <f t="shared" si="10"/>
        <v>0</v>
      </c>
      <c r="R6" s="15">
        <f t="shared" si="11"/>
        <v>0</v>
      </c>
    </row>
    <row r="7" spans="1:18" ht="12.75" x14ac:dyDescent="0.2">
      <c r="A7" t="s">
        <v>88</v>
      </c>
      <c r="B7" s="3" t="s">
        <v>12</v>
      </c>
      <c r="C7" s="3">
        <v>61</v>
      </c>
      <c r="D7" s="3">
        <v>9111</v>
      </c>
      <c r="E7" s="3" t="s">
        <v>13</v>
      </c>
      <c r="F7" s="3" t="s">
        <v>54</v>
      </c>
      <c r="G7" t="s">
        <v>12</v>
      </c>
      <c r="H7" s="15">
        <f t="shared" si="1"/>
        <v>0</v>
      </c>
      <c r="I7" s="15">
        <f t="shared" si="2"/>
        <v>0</v>
      </c>
      <c r="J7" s="15">
        <f t="shared" si="3"/>
        <v>0</v>
      </c>
      <c r="K7" s="15">
        <f t="shared" si="4"/>
        <v>0</v>
      </c>
      <c r="L7" s="15">
        <f t="shared" si="5"/>
        <v>0</v>
      </c>
      <c r="M7" s="15">
        <f t="shared" si="6"/>
        <v>0</v>
      </c>
      <c r="N7" s="15">
        <f t="shared" si="7"/>
        <v>0</v>
      </c>
      <c r="O7" s="15">
        <f t="shared" si="8"/>
        <v>0</v>
      </c>
      <c r="P7" s="15">
        <f t="shared" si="9"/>
        <v>0</v>
      </c>
      <c r="Q7" s="15">
        <f t="shared" si="10"/>
        <v>0</v>
      </c>
      <c r="R7" s="15">
        <f t="shared" si="11"/>
        <v>0</v>
      </c>
    </row>
    <row r="8" spans="1:18" ht="12.75" x14ac:dyDescent="0.2">
      <c r="A8" t="s">
        <v>89</v>
      </c>
      <c r="B8" s="3" t="s">
        <v>15</v>
      </c>
      <c r="C8" s="3">
        <v>116</v>
      </c>
      <c r="D8" s="3">
        <v>12907</v>
      </c>
      <c r="E8" s="3" t="s">
        <v>16</v>
      </c>
      <c r="F8" s="3" t="s">
        <v>54</v>
      </c>
      <c r="G8" t="s">
        <v>15</v>
      </c>
      <c r="H8" s="15">
        <f t="shared" si="1"/>
        <v>0</v>
      </c>
      <c r="I8" s="15">
        <f t="shared" si="2"/>
        <v>0</v>
      </c>
      <c r="J8" s="15">
        <f t="shared" si="3"/>
        <v>0</v>
      </c>
      <c r="K8" s="15">
        <f t="shared" si="4"/>
        <v>0</v>
      </c>
      <c r="L8" s="15">
        <f t="shared" si="5"/>
        <v>0</v>
      </c>
      <c r="M8" s="15">
        <f t="shared" si="6"/>
        <v>0</v>
      </c>
      <c r="N8" s="15">
        <f t="shared" si="7"/>
        <v>0</v>
      </c>
      <c r="O8" s="15">
        <f t="shared" si="8"/>
        <v>0</v>
      </c>
      <c r="P8" s="15">
        <f t="shared" si="9"/>
        <v>0</v>
      </c>
      <c r="Q8" s="15">
        <f t="shared" si="10"/>
        <v>0</v>
      </c>
      <c r="R8" s="15">
        <f t="shared" si="11"/>
        <v>0</v>
      </c>
    </row>
    <row r="9" spans="1:18" ht="12.75" x14ac:dyDescent="0.2">
      <c r="A9" t="s">
        <v>90</v>
      </c>
      <c r="B9" s="3" t="s">
        <v>18</v>
      </c>
      <c r="C9" s="3">
        <v>57</v>
      </c>
      <c r="D9" s="3">
        <v>5936</v>
      </c>
      <c r="E9" s="3" t="s">
        <v>16</v>
      </c>
      <c r="F9" s="3" t="s">
        <v>54</v>
      </c>
      <c r="G9" t="s">
        <v>18</v>
      </c>
      <c r="H9" s="15">
        <f t="shared" si="1"/>
        <v>0</v>
      </c>
      <c r="I9" s="15">
        <f t="shared" si="2"/>
        <v>0</v>
      </c>
      <c r="J9" s="15">
        <f t="shared" si="3"/>
        <v>0</v>
      </c>
      <c r="K9" s="15">
        <f t="shared" si="4"/>
        <v>0</v>
      </c>
      <c r="L9" s="15">
        <f t="shared" si="5"/>
        <v>0</v>
      </c>
      <c r="M9" s="15">
        <f t="shared" si="6"/>
        <v>0</v>
      </c>
      <c r="N9" s="15">
        <f t="shared" si="7"/>
        <v>0</v>
      </c>
      <c r="O9" s="15">
        <f t="shared" si="8"/>
        <v>0</v>
      </c>
      <c r="P9" s="15">
        <f t="shared" si="9"/>
        <v>0</v>
      </c>
      <c r="Q9" s="15">
        <f t="shared" si="10"/>
        <v>0</v>
      </c>
      <c r="R9" s="15">
        <f t="shared" si="11"/>
        <v>0</v>
      </c>
    </row>
    <row r="10" spans="1:18" ht="12.75" x14ac:dyDescent="0.2">
      <c r="A10" t="s">
        <v>90</v>
      </c>
      <c r="B10" s="3" t="s">
        <v>19</v>
      </c>
      <c r="C10" s="3">
        <v>49</v>
      </c>
      <c r="D10" s="3">
        <v>3094</v>
      </c>
      <c r="E10" s="3" t="s">
        <v>16</v>
      </c>
      <c r="F10" s="3" t="s">
        <v>54</v>
      </c>
      <c r="G10" t="s">
        <v>19</v>
      </c>
      <c r="H10" s="15">
        <f t="shared" si="1"/>
        <v>0</v>
      </c>
      <c r="I10" s="15">
        <f t="shared" si="2"/>
        <v>0</v>
      </c>
      <c r="J10" s="15">
        <f t="shared" si="3"/>
        <v>0</v>
      </c>
      <c r="K10" s="15">
        <f t="shared" si="4"/>
        <v>0</v>
      </c>
      <c r="L10" s="15">
        <f t="shared" si="5"/>
        <v>0</v>
      </c>
      <c r="M10" s="15">
        <f t="shared" si="6"/>
        <v>0</v>
      </c>
      <c r="N10" s="15">
        <f t="shared" si="7"/>
        <v>0</v>
      </c>
      <c r="O10" s="15">
        <f t="shared" si="8"/>
        <v>0</v>
      </c>
      <c r="P10" s="15">
        <f t="shared" si="9"/>
        <v>0</v>
      </c>
      <c r="Q10" s="15">
        <f t="shared" si="10"/>
        <v>0</v>
      </c>
      <c r="R10" s="15">
        <f t="shared" si="11"/>
        <v>0</v>
      </c>
    </row>
    <row r="11" spans="1:18" ht="12.75" x14ac:dyDescent="0.2">
      <c r="A11" t="s">
        <v>90</v>
      </c>
      <c r="B11" s="3" t="s">
        <v>20</v>
      </c>
      <c r="C11" s="3">
        <v>41</v>
      </c>
      <c r="D11" s="3">
        <v>1165</v>
      </c>
      <c r="E11" s="3" t="s">
        <v>13</v>
      </c>
      <c r="F11" s="3" t="s">
        <v>54</v>
      </c>
      <c r="G11" t="s">
        <v>20</v>
      </c>
      <c r="H11" s="15">
        <f t="shared" si="1"/>
        <v>0</v>
      </c>
      <c r="I11" s="15">
        <f t="shared" si="2"/>
        <v>0</v>
      </c>
      <c r="J11" s="15">
        <f t="shared" si="3"/>
        <v>0</v>
      </c>
      <c r="K11" s="15">
        <f t="shared" si="4"/>
        <v>0</v>
      </c>
      <c r="L11" s="15">
        <f t="shared" si="5"/>
        <v>0</v>
      </c>
      <c r="M11" s="15">
        <f t="shared" si="6"/>
        <v>0</v>
      </c>
      <c r="N11" s="15">
        <f t="shared" si="7"/>
        <v>0</v>
      </c>
      <c r="O11" s="15">
        <f t="shared" si="8"/>
        <v>0</v>
      </c>
      <c r="P11" s="15">
        <f t="shared" si="9"/>
        <v>0</v>
      </c>
      <c r="Q11" s="15">
        <f t="shared" si="10"/>
        <v>0</v>
      </c>
      <c r="R11" s="15">
        <f t="shared" si="11"/>
        <v>0</v>
      </c>
    </row>
    <row r="12" spans="1:18" ht="12.75" x14ac:dyDescent="0.2">
      <c r="A12" t="s">
        <v>90</v>
      </c>
      <c r="B12" s="3" t="s">
        <v>21</v>
      </c>
      <c r="C12" s="3">
        <v>50</v>
      </c>
      <c r="D12" s="3">
        <v>3625</v>
      </c>
      <c r="E12" s="3" t="s">
        <v>13</v>
      </c>
      <c r="F12" s="3" t="s">
        <v>54</v>
      </c>
      <c r="G12" t="s">
        <v>21</v>
      </c>
      <c r="H12" s="15">
        <f t="shared" si="1"/>
        <v>0</v>
      </c>
      <c r="I12" s="15">
        <f t="shared" si="2"/>
        <v>0</v>
      </c>
      <c r="J12" s="15">
        <f t="shared" si="3"/>
        <v>0</v>
      </c>
      <c r="K12" s="15">
        <f t="shared" si="4"/>
        <v>0</v>
      </c>
      <c r="L12" s="15">
        <f t="shared" si="5"/>
        <v>0</v>
      </c>
      <c r="M12" s="15">
        <f t="shared" si="6"/>
        <v>0</v>
      </c>
      <c r="N12" s="15">
        <f t="shared" si="7"/>
        <v>0</v>
      </c>
      <c r="O12" s="15">
        <f t="shared" si="8"/>
        <v>0</v>
      </c>
      <c r="P12" s="15">
        <f t="shared" si="9"/>
        <v>0</v>
      </c>
      <c r="Q12" s="15">
        <f t="shared" si="10"/>
        <v>0</v>
      </c>
      <c r="R12" s="15">
        <f t="shared" si="11"/>
        <v>0</v>
      </c>
    </row>
    <row r="13" spans="1:18" ht="12.75" x14ac:dyDescent="0.2">
      <c r="A13" t="s">
        <v>90</v>
      </c>
      <c r="B13" s="3" t="s">
        <v>22</v>
      </c>
      <c r="C13" s="3">
        <v>46</v>
      </c>
      <c r="D13" s="3">
        <v>3216</v>
      </c>
      <c r="E13" s="3" t="s">
        <v>9</v>
      </c>
      <c r="F13" s="3" t="s">
        <v>54</v>
      </c>
      <c r="G13" t="s">
        <v>22</v>
      </c>
      <c r="H13" s="15">
        <f t="shared" si="1"/>
        <v>0</v>
      </c>
      <c r="I13" s="15">
        <f t="shared" si="2"/>
        <v>0</v>
      </c>
      <c r="J13" s="15">
        <f t="shared" si="3"/>
        <v>0</v>
      </c>
      <c r="K13" s="15">
        <f t="shared" si="4"/>
        <v>0</v>
      </c>
      <c r="L13" s="15">
        <f t="shared" si="5"/>
        <v>0</v>
      </c>
      <c r="M13" s="15">
        <f t="shared" si="6"/>
        <v>0</v>
      </c>
      <c r="N13" s="15">
        <f t="shared" si="7"/>
        <v>0</v>
      </c>
      <c r="O13" s="15">
        <f t="shared" si="8"/>
        <v>0</v>
      </c>
      <c r="P13" s="15">
        <f t="shared" si="9"/>
        <v>0</v>
      </c>
      <c r="Q13" s="15">
        <f t="shared" si="10"/>
        <v>0</v>
      </c>
      <c r="R13" s="15">
        <f t="shared" si="11"/>
        <v>0</v>
      </c>
    </row>
    <row r="14" spans="1:18" ht="12.75" x14ac:dyDescent="0.2">
      <c r="A14" t="s">
        <v>91</v>
      </c>
      <c r="B14" s="3" t="s">
        <v>23</v>
      </c>
      <c r="C14" s="3">
        <v>58</v>
      </c>
      <c r="D14" s="3">
        <v>10358</v>
      </c>
      <c r="E14" s="3" t="s">
        <v>9</v>
      </c>
      <c r="F14" s="3" t="s">
        <v>54</v>
      </c>
      <c r="G14" t="s">
        <v>23</v>
      </c>
      <c r="H14" s="15">
        <f t="shared" si="1"/>
        <v>0</v>
      </c>
      <c r="I14" s="15">
        <f t="shared" si="2"/>
        <v>0</v>
      </c>
      <c r="J14" s="15">
        <f t="shared" si="3"/>
        <v>0</v>
      </c>
      <c r="K14" s="15">
        <f t="shared" si="4"/>
        <v>0</v>
      </c>
      <c r="L14" s="15">
        <f t="shared" si="5"/>
        <v>0</v>
      </c>
      <c r="M14" s="15">
        <f t="shared" si="6"/>
        <v>0</v>
      </c>
      <c r="N14" s="15">
        <f t="shared" si="7"/>
        <v>0</v>
      </c>
      <c r="O14" s="15">
        <f t="shared" si="8"/>
        <v>0</v>
      </c>
      <c r="P14" s="15">
        <f t="shared" si="9"/>
        <v>0</v>
      </c>
      <c r="Q14" s="15">
        <f t="shared" si="10"/>
        <v>0</v>
      </c>
      <c r="R14" s="15">
        <f t="shared" si="11"/>
        <v>0</v>
      </c>
    </row>
    <row r="15" spans="1:18" ht="12.75" x14ac:dyDescent="0.2">
      <c r="A15" t="s">
        <v>90</v>
      </c>
      <c r="B15" s="2" t="s">
        <v>24</v>
      </c>
      <c r="C15" s="2">
        <v>40</v>
      </c>
      <c r="D15" s="2">
        <v>6743</v>
      </c>
      <c r="E15" s="2" t="s">
        <v>13</v>
      </c>
      <c r="F15" s="2" t="s">
        <v>7</v>
      </c>
      <c r="G15" t="s">
        <v>24</v>
      </c>
      <c r="H15" s="15">
        <f t="shared" si="1"/>
        <v>2368748.4700000002</v>
      </c>
      <c r="I15" s="15">
        <f t="shared" si="2"/>
        <v>1909280.45</v>
      </c>
      <c r="J15" s="15">
        <f t="shared" si="3"/>
        <v>2511700.0699999998</v>
      </c>
      <c r="K15" s="15">
        <f t="shared" si="4"/>
        <v>1470243.72</v>
      </c>
      <c r="L15" s="15">
        <f t="shared" si="5"/>
        <v>1092500.8600000001</v>
      </c>
      <c r="M15" s="15">
        <f t="shared" si="6"/>
        <v>1026082.3099999999</v>
      </c>
      <c r="N15" s="15">
        <f t="shared" si="7"/>
        <v>627908.16</v>
      </c>
      <c r="O15" s="15">
        <f t="shared" si="8"/>
        <v>229734.01</v>
      </c>
      <c r="P15" s="15">
        <f t="shared" si="9"/>
        <v>229734.01</v>
      </c>
      <c r="Q15" s="15">
        <f t="shared" si="10"/>
        <v>71475.8</v>
      </c>
      <c r="R15" s="15">
        <f t="shared" si="11"/>
        <v>11537407.859999999</v>
      </c>
    </row>
    <row r="16" spans="1:18" ht="12.75" x14ac:dyDescent="0.2">
      <c r="A16" t="s">
        <v>90</v>
      </c>
      <c r="B16" s="3" t="s">
        <v>26</v>
      </c>
      <c r="C16" s="3">
        <v>34</v>
      </c>
      <c r="D16" s="3">
        <v>6060</v>
      </c>
      <c r="E16" s="3" t="s">
        <v>16</v>
      </c>
      <c r="F16" s="3" t="s">
        <v>54</v>
      </c>
      <c r="G16" t="s">
        <v>26</v>
      </c>
      <c r="H16" s="15">
        <f t="shared" si="1"/>
        <v>0</v>
      </c>
      <c r="I16" s="15">
        <f t="shared" si="2"/>
        <v>0</v>
      </c>
      <c r="J16" s="15">
        <f t="shared" si="3"/>
        <v>0</v>
      </c>
      <c r="K16" s="15">
        <f t="shared" si="4"/>
        <v>0</v>
      </c>
      <c r="L16" s="15">
        <f t="shared" si="5"/>
        <v>0</v>
      </c>
      <c r="M16" s="15">
        <f t="shared" si="6"/>
        <v>0</v>
      </c>
      <c r="N16" s="15">
        <f t="shared" si="7"/>
        <v>0</v>
      </c>
      <c r="O16" s="15">
        <f t="shared" si="8"/>
        <v>0</v>
      </c>
      <c r="P16" s="15">
        <f t="shared" si="9"/>
        <v>0</v>
      </c>
      <c r="Q16" s="15">
        <f t="shared" si="10"/>
        <v>0</v>
      </c>
      <c r="R16" s="15">
        <f t="shared" si="11"/>
        <v>0</v>
      </c>
    </row>
    <row r="17" spans="1:18" ht="12.75" x14ac:dyDescent="0.2">
      <c r="A17" t="s">
        <v>90</v>
      </c>
      <c r="B17" s="3" t="s">
        <v>27</v>
      </c>
      <c r="C17" s="3">
        <v>26</v>
      </c>
      <c r="D17" s="3">
        <v>12127</v>
      </c>
      <c r="E17" s="3" t="s">
        <v>9</v>
      </c>
      <c r="F17" s="3" t="s">
        <v>54</v>
      </c>
      <c r="G17" t="s">
        <v>27</v>
      </c>
      <c r="H17" s="15">
        <f t="shared" si="1"/>
        <v>0</v>
      </c>
      <c r="I17" s="15">
        <f t="shared" si="2"/>
        <v>0</v>
      </c>
      <c r="J17" s="15">
        <f t="shared" si="3"/>
        <v>0</v>
      </c>
      <c r="K17" s="15">
        <f t="shared" si="4"/>
        <v>0</v>
      </c>
      <c r="L17" s="15">
        <f t="shared" si="5"/>
        <v>0</v>
      </c>
      <c r="M17" s="15">
        <f t="shared" si="6"/>
        <v>0</v>
      </c>
      <c r="N17" s="15">
        <f t="shared" si="7"/>
        <v>0</v>
      </c>
      <c r="O17" s="15">
        <f t="shared" si="8"/>
        <v>0</v>
      </c>
      <c r="P17" s="15">
        <f t="shared" si="9"/>
        <v>0</v>
      </c>
      <c r="Q17" s="15">
        <f t="shared" si="10"/>
        <v>0</v>
      </c>
      <c r="R17" s="15">
        <f t="shared" si="11"/>
        <v>0</v>
      </c>
    </row>
    <row r="18" spans="1:18" ht="12.75" x14ac:dyDescent="0.2">
      <c r="A18" t="s">
        <v>90</v>
      </c>
      <c r="B18" s="3" t="s">
        <v>29</v>
      </c>
      <c r="C18" s="3" t="s">
        <v>30</v>
      </c>
      <c r="D18" s="3">
        <v>35663</v>
      </c>
      <c r="E18" s="3" t="s">
        <v>9</v>
      </c>
      <c r="F18" s="3" t="s">
        <v>54</v>
      </c>
      <c r="G18" t="s">
        <v>29</v>
      </c>
      <c r="H18" s="15">
        <f t="shared" si="1"/>
        <v>0</v>
      </c>
      <c r="I18" s="15">
        <f t="shared" si="2"/>
        <v>0</v>
      </c>
      <c r="J18" s="15">
        <f t="shared" si="3"/>
        <v>0</v>
      </c>
      <c r="K18" s="15">
        <f t="shared" si="4"/>
        <v>0</v>
      </c>
      <c r="L18" s="15">
        <f t="shared" si="5"/>
        <v>0</v>
      </c>
      <c r="M18" s="15">
        <f t="shared" si="6"/>
        <v>0</v>
      </c>
      <c r="N18" s="15">
        <f t="shared" si="7"/>
        <v>0</v>
      </c>
      <c r="O18" s="15">
        <f t="shared" si="8"/>
        <v>0</v>
      </c>
      <c r="P18" s="15">
        <f t="shared" si="9"/>
        <v>0</v>
      </c>
      <c r="Q18" s="15">
        <f t="shared" si="10"/>
        <v>0</v>
      </c>
      <c r="R18" s="15">
        <f t="shared" si="11"/>
        <v>0</v>
      </c>
    </row>
    <row r="19" spans="1:18" ht="12.75" x14ac:dyDescent="0.2">
      <c r="A19" t="s">
        <v>90</v>
      </c>
      <c r="B19" s="3" t="s">
        <v>31</v>
      </c>
      <c r="C19" s="3">
        <v>9</v>
      </c>
      <c r="D19" s="3">
        <v>24750</v>
      </c>
      <c r="E19" s="3" t="s">
        <v>9</v>
      </c>
      <c r="F19" s="3" t="s">
        <v>54</v>
      </c>
      <c r="G19" t="s">
        <v>31</v>
      </c>
      <c r="H19" s="15">
        <f t="shared" si="1"/>
        <v>0</v>
      </c>
      <c r="I19" s="15">
        <f t="shared" si="2"/>
        <v>0</v>
      </c>
      <c r="J19" s="15">
        <f t="shared" si="3"/>
        <v>0</v>
      </c>
      <c r="K19" s="15">
        <f t="shared" si="4"/>
        <v>0</v>
      </c>
      <c r="L19" s="15">
        <f t="shared" si="5"/>
        <v>0</v>
      </c>
      <c r="M19" s="15">
        <f t="shared" si="6"/>
        <v>0</v>
      </c>
      <c r="N19" s="15">
        <f t="shared" si="7"/>
        <v>0</v>
      </c>
      <c r="O19" s="15">
        <f t="shared" si="8"/>
        <v>0</v>
      </c>
      <c r="P19" s="15">
        <f t="shared" si="9"/>
        <v>0</v>
      </c>
      <c r="Q19" s="15">
        <f t="shared" si="10"/>
        <v>0</v>
      </c>
      <c r="R19" s="15">
        <f t="shared" si="11"/>
        <v>0</v>
      </c>
    </row>
    <row r="20" spans="1:18" ht="12.75" x14ac:dyDescent="0.2">
      <c r="A20" t="s">
        <v>90</v>
      </c>
      <c r="B20" s="3" t="s">
        <v>32</v>
      </c>
      <c r="C20" s="3">
        <v>10</v>
      </c>
      <c r="D20" s="3">
        <v>7193</v>
      </c>
      <c r="E20" s="3" t="s">
        <v>9</v>
      </c>
      <c r="F20" s="3" t="s">
        <v>54</v>
      </c>
      <c r="G20" t="s">
        <v>32</v>
      </c>
      <c r="H20" s="15">
        <f t="shared" si="1"/>
        <v>0</v>
      </c>
      <c r="I20" s="15">
        <f t="shared" si="2"/>
        <v>0</v>
      </c>
      <c r="J20" s="15">
        <f t="shared" si="3"/>
        <v>0</v>
      </c>
      <c r="K20" s="15">
        <f t="shared" si="4"/>
        <v>0</v>
      </c>
      <c r="L20" s="15">
        <f t="shared" si="5"/>
        <v>0</v>
      </c>
      <c r="M20" s="15">
        <f t="shared" si="6"/>
        <v>0</v>
      </c>
      <c r="N20" s="15">
        <f t="shared" si="7"/>
        <v>0</v>
      </c>
      <c r="O20" s="15">
        <f t="shared" si="8"/>
        <v>0</v>
      </c>
      <c r="P20" s="15">
        <f t="shared" si="9"/>
        <v>0</v>
      </c>
      <c r="Q20" s="15">
        <f t="shared" si="10"/>
        <v>0</v>
      </c>
      <c r="R20" s="15">
        <f t="shared" si="11"/>
        <v>0</v>
      </c>
    </row>
    <row r="21" spans="1:18" ht="12.75" x14ac:dyDescent="0.2">
      <c r="A21" t="s">
        <v>90</v>
      </c>
      <c r="B21" s="3" t="s">
        <v>33</v>
      </c>
      <c r="C21" s="3">
        <v>18</v>
      </c>
      <c r="D21" s="3">
        <v>1809</v>
      </c>
      <c r="E21" s="3" t="s">
        <v>9</v>
      </c>
      <c r="F21" s="3" t="s">
        <v>54</v>
      </c>
      <c r="G21" t="s">
        <v>33</v>
      </c>
      <c r="H21" s="15">
        <f t="shared" si="1"/>
        <v>0</v>
      </c>
      <c r="I21" s="15">
        <f t="shared" si="2"/>
        <v>0</v>
      </c>
      <c r="J21" s="15">
        <f t="shared" si="3"/>
        <v>0</v>
      </c>
      <c r="K21" s="15">
        <f t="shared" si="4"/>
        <v>0</v>
      </c>
      <c r="L21" s="15">
        <f t="shared" si="5"/>
        <v>0</v>
      </c>
      <c r="M21" s="15">
        <f t="shared" si="6"/>
        <v>0</v>
      </c>
      <c r="N21" s="15">
        <f t="shared" si="7"/>
        <v>0</v>
      </c>
      <c r="O21" s="15">
        <f t="shared" si="8"/>
        <v>0</v>
      </c>
      <c r="P21" s="15">
        <f t="shared" si="9"/>
        <v>0</v>
      </c>
      <c r="Q21" s="15">
        <f t="shared" si="10"/>
        <v>0</v>
      </c>
      <c r="R21" s="15">
        <f t="shared" si="11"/>
        <v>0</v>
      </c>
    </row>
    <row r="22" spans="1:18" ht="12.75" x14ac:dyDescent="0.2">
      <c r="A22" t="s">
        <v>90</v>
      </c>
      <c r="B22" s="2" t="s">
        <v>34</v>
      </c>
      <c r="C22" s="2">
        <v>6</v>
      </c>
      <c r="D22" s="2">
        <v>965</v>
      </c>
      <c r="E22" s="2" t="s">
        <v>9</v>
      </c>
      <c r="F22" s="2" t="s">
        <v>7</v>
      </c>
      <c r="G22" t="s">
        <v>34</v>
      </c>
      <c r="H22" s="15">
        <f t="shared" si="1"/>
        <v>338994.85000000003</v>
      </c>
      <c r="I22" s="15">
        <f t="shared" si="2"/>
        <v>273239.75</v>
      </c>
      <c r="J22" s="15">
        <f t="shared" si="3"/>
        <v>359452.85000000003</v>
      </c>
      <c r="K22" s="15">
        <f t="shared" si="4"/>
        <v>210408.6</v>
      </c>
      <c r="L22" s="15">
        <f t="shared" si="5"/>
        <v>156349.30000000002</v>
      </c>
      <c r="M22" s="15">
        <f t="shared" si="6"/>
        <v>146844.04999999999</v>
      </c>
      <c r="N22" s="15">
        <f t="shared" si="7"/>
        <v>89860.800000000003</v>
      </c>
      <c r="O22" s="15">
        <f t="shared" si="8"/>
        <v>32877.550000000003</v>
      </c>
      <c r="P22" s="15">
        <f t="shared" si="9"/>
        <v>32877.550000000003</v>
      </c>
      <c r="Q22" s="15">
        <f t="shared" si="10"/>
        <v>10229</v>
      </c>
      <c r="R22" s="15">
        <f t="shared" si="11"/>
        <v>1651134.3</v>
      </c>
    </row>
    <row r="23" spans="1:18" ht="12.75" x14ac:dyDescent="0.2">
      <c r="A23" t="s">
        <v>90</v>
      </c>
      <c r="B23" s="2" t="s">
        <v>35</v>
      </c>
      <c r="C23" s="2">
        <v>20</v>
      </c>
      <c r="D23" s="2">
        <v>2383</v>
      </c>
      <c r="E23" s="2" t="s">
        <v>9</v>
      </c>
      <c r="F23" s="2" t="s">
        <v>7</v>
      </c>
      <c r="G23" t="s">
        <v>35</v>
      </c>
      <c r="H23" s="15">
        <f t="shared" si="1"/>
        <v>837124.07000000007</v>
      </c>
      <c r="I23" s="15">
        <f t="shared" si="2"/>
        <v>674746.45</v>
      </c>
      <c r="J23" s="15">
        <f t="shared" si="3"/>
        <v>887643.67</v>
      </c>
      <c r="K23" s="15">
        <f t="shared" si="4"/>
        <v>519589.32</v>
      </c>
      <c r="L23" s="15">
        <f t="shared" si="5"/>
        <v>386093.66000000003</v>
      </c>
      <c r="M23" s="15">
        <f t="shared" si="6"/>
        <v>362621.11</v>
      </c>
      <c r="N23" s="15">
        <f t="shared" si="7"/>
        <v>221904.96000000002</v>
      </c>
      <c r="O23" s="15">
        <f t="shared" si="8"/>
        <v>81188.81</v>
      </c>
      <c r="P23" s="15">
        <f t="shared" si="9"/>
        <v>81188.81</v>
      </c>
      <c r="Q23" s="15">
        <f t="shared" si="10"/>
        <v>25259.8</v>
      </c>
      <c r="R23" s="15">
        <f t="shared" si="11"/>
        <v>4077360.66</v>
      </c>
    </row>
    <row r="24" spans="1:18" ht="12.75" x14ac:dyDescent="0.2">
      <c r="A24" t="s">
        <v>90</v>
      </c>
      <c r="B24" s="2" t="s">
        <v>36</v>
      </c>
      <c r="C24" s="2">
        <v>27</v>
      </c>
      <c r="D24" s="2">
        <v>2470</v>
      </c>
      <c r="E24" s="2" t="s">
        <v>9</v>
      </c>
      <c r="F24" s="2" t="s">
        <v>7</v>
      </c>
      <c r="G24" t="s">
        <v>36</v>
      </c>
      <c r="H24" s="15">
        <f t="shared" si="1"/>
        <v>867686.3</v>
      </c>
      <c r="I24" s="15">
        <f t="shared" si="2"/>
        <v>699380.5</v>
      </c>
      <c r="J24" s="15">
        <f t="shared" si="3"/>
        <v>920050.3</v>
      </c>
      <c r="K24" s="15">
        <f t="shared" si="4"/>
        <v>538558.79999999993</v>
      </c>
      <c r="L24" s="15">
        <f t="shared" si="5"/>
        <v>400189.4</v>
      </c>
      <c r="M24" s="15">
        <f t="shared" si="6"/>
        <v>375859.89999999997</v>
      </c>
      <c r="N24" s="15">
        <f t="shared" si="7"/>
        <v>230006.40000000002</v>
      </c>
      <c r="O24" s="15">
        <f t="shared" si="8"/>
        <v>84152.9</v>
      </c>
      <c r="P24" s="15">
        <f t="shared" si="9"/>
        <v>84152.9</v>
      </c>
      <c r="Q24" s="15">
        <f t="shared" si="10"/>
        <v>26182</v>
      </c>
      <c r="R24" s="15">
        <f t="shared" si="11"/>
        <v>4226219.4000000004</v>
      </c>
    </row>
    <row r="25" spans="1:18" ht="12.75" x14ac:dyDescent="0.2">
      <c r="A25" t="s">
        <v>90</v>
      </c>
      <c r="B25" s="2" t="s">
        <v>37</v>
      </c>
      <c r="C25" s="2">
        <v>32</v>
      </c>
      <c r="D25" s="2">
        <v>5533</v>
      </c>
      <c r="E25" s="2" t="s">
        <v>16</v>
      </c>
      <c r="F25" s="2" t="s">
        <v>7</v>
      </c>
      <c r="G25" t="s">
        <v>37</v>
      </c>
      <c r="H25" s="15">
        <f t="shared" si="1"/>
        <v>1943687.57</v>
      </c>
      <c r="I25" s="15">
        <f t="shared" si="2"/>
        <v>1566668.95</v>
      </c>
      <c r="J25" s="15">
        <f t="shared" si="3"/>
        <v>2060987.1700000002</v>
      </c>
      <c r="K25" s="15">
        <f t="shared" si="4"/>
        <v>1206415.32</v>
      </c>
      <c r="L25" s="15">
        <f t="shared" si="5"/>
        <v>896456.66</v>
      </c>
      <c r="M25" s="15">
        <f t="shared" si="6"/>
        <v>841956.61</v>
      </c>
      <c r="N25" s="15">
        <f t="shared" si="7"/>
        <v>515232.96</v>
      </c>
      <c r="O25" s="15">
        <f t="shared" si="8"/>
        <v>188509.31</v>
      </c>
      <c r="P25" s="15">
        <f t="shared" si="9"/>
        <v>188509.31</v>
      </c>
      <c r="Q25" s="15">
        <f t="shared" si="10"/>
        <v>58649.799999999996</v>
      </c>
      <c r="R25" s="15">
        <f t="shared" si="11"/>
        <v>9467073.6600000001</v>
      </c>
    </row>
    <row r="26" spans="1:18" ht="12.75" x14ac:dyDescent="0.2">
      <c r="A26" t="s">
        <v>90</v>
      </c>
      <c r="B26" s="2" t="s">
        <v>38</v>
      </c>
      <c r="C26" s="2">
        <v>35</v>
      </c>
      <c r="D26" s="2">
        <v>4214</v>
      </c>
      <c r="E26" s="2" t="s">
        <v>9</v>
      </c>
      <c r="F26" s="2" t="s">
        <v>7</v>
      </c>
      <c r="G26" t="s">
        <v>38</v>
      </c>
      <c r="H26" s="15">
        <f t="shared" si="1"/>
        <v>1480336.06</v>
      </c>
      <c r="I26" s="15">
        <f t="shared" si="2"/>
        <v>1193194.0999999999</v>
      </c>
      <c r="J26" s="15">
        <f t="shared" si="3"/>
        <v>1569672.86</v>
      </c>
      <c r="K26" s="15">
        <f t="shared" si="4"/>
        <v>918820.55999999994</v>
      </c>
      <c r="L26" s="15">
        <f t="shared" si="5"/>
        <v>682752.28</v>
      </c>
      <c r="M26" s="15">
        <f t="shared" si="6"/>
        <v>641244.38</v>
      </c>
      <c r="N26" s="15">
        <f t="shared" si="7"/>
        <v>392407.68</v>
      </c>
      <c r="O26" s="15">
        <f t="shared" si="8"/>
        <v>143570.98000000001</v>
      </c>
      <c r="P26" s="15">
        <f t="shared" si="9"/>
        <v>143570.98000000001</v>
      </c>
      <c r="Q26" s="15">
        <f t="shared" si="10"/>
        <v>44668.4</v>
      </c>
      <c r="R26" s="15">
        <f t="shared" si="11"/>
        <v>7210238.2800000003</v>
      </c>
    </row>
    <row r="27" spans="1:18" ht="12.75" x14ac:dyDescent="0.2">
      <c r="A27" t="s">
        <v>90</v>
      </c>
      <c r="B27" s="2" t="s">
        <v>39</v>
      </c>
      <c r="C27" s="2">
        <v>36</v>
      </c>
      <c r="D27" s="2">
        <v>774</v>
      </c>
      <c r="E27" s="2" t="s">
        <v>13</v>
      </c>
      <c r="F27" s="2" t="s">
        <v>7</v>
      </c>
      <c r="G27" t="s">
        <v>39</v>
      </c>
      <c r="H27" s="15">
        <f t="shared" si="1"/>
        <v>271898.46000000002</v>
      </c>
      <c r="I27" s="15">
        <f t="shared" si="2"/>
        <v>219158.09999999998</v>
      </c>
      <c r="J27" s="15">
        <f t="shared" si="3"/>
        <v>288307.26</v>
      </c>
      <c r="K27" s="15">
        <f t="shared" si="4"/>
        <v>168762.96</v>
      </c>
      <c r="L27" s="15">
        <f t="shared" si="5"/>
        <v>125403.48000000001</v>
      </c>
      <c r="M27" s="15">
        <f t="shared" si="6"/>
        <v>117779.57999999999</v>
      </c>
      <c r="N27" s="15">
        <f t="shared" si="7"/>
        <v>72074.880000000005</v>
      </c>
      <c r="O27" s="15">
        <f t="shared" si="8"/>
        <v>26370.18</v>
      </c>
      <c r="P27" s="15">
        <f t="shared" si="9"/>
        <v>26370.18</v>
      </c>
      <c r="Q27" s="15">
        <f t="shared" si="10"/>
        <v>8204.4</v>
      </c>
      <c r="R27" s="15">
        <f t="shared" si="11"/>
        <v>1324329.48</v>
      </c>
    </row>
    <row r="28" spans="1:18" ht="12.75" x14ac:dyDescent="0.2">
      <c r="A28" t="s">
        <v>90</v>
      </c>
      <c r="B28" s="2" t="s">
        <v>40</v>
      </c>
      <c r="C28" s="2">
        <v>44</v>
      </c>
      <c r="D28" s="2">
        <v>5217</v>
      </c>
      <c r="E28" s="2" t="s">
        <v>16</v>
      </c>
      <c r="F28" s="2" t="s">
        <v>7</v>
      </c>
      <c r="G28" t="s">
        <v>40</v>
      </c>
      <c r="H28" s="15">
        <f t="shared" si="1"/>
        <v>1832679.9300000002</v>
      </c>
      <c r="I28" s="15">
        <f t="shared" si="2"/>
        <v>1477193.5499999998</v>
      </c>
      <c r="J28" s="15">
        <f t="shared" si="3"/>
        <v>1943280.33</v>
      </c>
      <c r="K28" s="15">
        <f t="shared" si="4"/>
        <v>1137514.68</v>
      </c>
      <c r="L28" s="15">
        <f t="shared" si="5"/>
        <v>845258.34000000008</v>
      </c>
      <c r="M28" s="15">
        <f t="shared" si="6"/>
        <v>793870.8899999999</v>
      </c>
      <c r="N28" s="15">
        <f t="shared" si="7"/>
        <v>485807.04000000004</v>
      </c>
      <c r="O28" s="15">
        <f t="shared" si="8"/>
        <v>177743.19</v>
      </c>
      <c r="P28" s="15">
        <f t="shared" si="9"/>
        <v>177743.19</v>
      </c>
      <c r="Q28" s="15">
        <f t="shared" si="10"/>
        <v>55300.2</v>
      </c>
      <c r="R28" s="15">
        <f t="shared" si="11"/>
        <v>8926391.3399999999</v>
      </c>
    </row>
    <row r="29" spans="1:18" ht="12.75" x14ac:dyDescent="0.2">
      <c r="A29" t="s">
        <v>92</v>
      </c>
      <c r="B29" s="2" t="s">
        <v>100</v>
      </c>
      <c r="C29" s="2"/>
      <c r="D29" s="2">
        <v>1380</v>
      </c>
      <c r="E29" s="2" t="s">
        <v>101</v>
      </c>
      <c r="F29" s="2" t="s">
        <v>7</v>
      </c>
      <c r="G29" t="s">
        <v>100</v>
      </c>
      <c r="H29" s="15">
        <v>484780.2</v>
      </c>
      <c r="I29" s="15">
        <v>390746.99999999994</v>
      </c>
      <c r="J29" s="15">
        <v>514036.2</v>
      </c>
      <c r="K29" s="15">
        <v>300895.2</v>
      </c>
      <c r="L29" s="15">
        <v>223587.6</v>
      </c>
      <c r="M29" s="15">
        <v>209994.59999999998</v>
      </c>
      <c r="N29" s="15">
        <v>128505.60000000001</v>
      </c>
      <c r="O29" s="15">
        <v>47016.6</v>
      </c>
      <c r="P29" s="15">
        <v>47016.6</v>
      </c>
      <c r="Q29" s="15">
        <v>14628</v>
      </c>
      <c r="R29" s="15">
        <v>2361207.6</v>
      </c>
    </row>
    <row r="30" spans="1:18" ht="12.75" x14ac:dyDescent="0.2">
      <c r="A30" t="s">
        <v>92</v>
      </c>
      <c r="B30" s="2" t="s">
        <v>41</v>
      </c>
      <c r="C30" s="2">
        <v>39</v>
      </c>
      <c r="D30" s="2">
        <v>3220</v>
      </c>
      <c r="E30" s="2" t="s">
        <v>9</v>
      </c>
      <c r="F30" s="2" t="s">
        <v>7</v>
      </c>
      <c r="G30" t="s">
        <v>41</v>
      </c>
      <c r="H30" s="15">
        <f t="shared" ref="H30:H39" si="12">IF($F30="MW", $D30*$F$52, 0)</f>
        <v>1131153.8</v>
      </c>
      <c r="I30" s="15">
        <f t="shared" ref="I30:I39" si="13">IF($F30="MW", $D30*$F$53, 0)</f>
        <v>911742.99999999988</v>
      </c>
      <c r="J30" s="15">
        <f t="shared" ref="J30:J39" si="14">IF($F30="MW", $D30*$F$54, 0)</f>
        <v>1199417.8</v>
      </c>
      <c r="K30" s="15">
        <f t="shared" ref="K30:K39" si="15">IF($F30="MW", $D30*$F$55, 0)</f>
        <v>702088.79999999993</v>
      </c>
      <c r="L30" s="15">
        <f t="shared" ref="L30:L39" si="16">IF($F30="MW", $D30*$F$56, 0)</f>
        <v>521704.4</v>
      </c>
      <c r="M30" s="15">
        <f t="shared" ref="M30:M39" si="17">IF($F30="MW", $D30*$F$57, 0)</f>
        <v>489987.39999999997</v>
      </c>
      <c r="N30" s="15">
        <f t="shared" ref="N30:N39" si="18">IF($F30="MW", $D30*$F$58, 0)</f>
        <v>299846.40000000002</v>
      </c>
      <c r="O30" s="15">
        <f t="shared" ref="O30:O39" si="19">IF($F30="MW", $D30*$F$59, 0)</f>
        <v>109705.4</v>
      </c>
      <c r="P30" s="15">
        <f t="shared" ref="P30:P39" si="20">IF($F30="MW", $D30*$F$60, 0)</f>
        <v>109705.4</v>
      </c>
      <c r="Q30" s="15">
        <f t="shared" ref="Q30:Q39" si="21">IF($F30="MW", $D30*$F$61, 0)</f>
        <v>34132</v>
      </c>
      <c r="R30" s="15">
        <f t="shared" ref="R30:R39" si="22">IF($F30="MW", $D30*$F$62, 0)</f>
        <v>5509484.4000000004</v>
      </c>
    </row>
    <row r="31" spans="1:18" ht="12.75" x14ac:dyDescent="0.2">
      <c r="A31" t="s">
        <v>92</v>
      </c>
      <c r="B31" s="2" t="s">
        <v>42</v>
      </c>
      <c r="C31" s="2">
        <v>43</v>
      </c>
      <c r="D31" s="2">
        <v>3459</v>
      </c>
      <c r="E31" s="2" t="s">
        <v>13</v>
      </c>
      <c r="F31" s="2" t="s">
        <v>7</v>
      </c>
      <c r="G31" t="s">
        <v>42</v>
      </c>
      <c r="H31" s="15">
        <f t="shared" si="12"/>
        <v>1215112.1100000001</v>
      </c>
      <c r="I31" s="15">
        <f t="shared" si="13"/>
        <v>979415.85</v>
      </c>
      <c r="J31" s="15">
        <f t="shared" si="14"/>
        <v>1288442.9099999999</v>
      </c>
      <c r="K31" s="15">
        <f t="shared" si="15"/>
        <v>754200.36</v>
      </c>
      <c r="L31" s="15">
        <f t="shared" si="16"/>
        <v>560427.18000000005</v>
      </c>
      <c r="M31" s="15">
        <f t="shared" si="17"/>
        <v>526356.02999999991</v>
      </c>
      <c r="N31" s="15">
        <f t="shared" si="18"/>
        <v>322102.08</v>
      </c>
      <c r="O31" s="15">
        <f t="shared" si="19"/>
        <v>117848.13</v>
      </c>
      <c r="P31" s="15">
        <f t="shared" si="20"/>
        <v>117848.13</v>
      </c>
      <c r="Q31" s="15">
        <f t="shared" si="21"/>
        <v>36665.4</v>
      </c>
      <c r="R31" s="15">
        <f t="shared" si="22"/>
        <v>5918418.1799999997</v>
      </c>
    </row>
    <row r="32" spans="1:18" ht="12.75" x14ac:dyDescent="0.2">
      <c r="A32" t="s">
        <v>92</v>
      </c>
      <c r="B32" s="2" t="s">
        <v>43</v>
      </c>
      <c r="C32" s="2">
        <v>53</v>
      </c>
      <c r="D32" s="2">
        <v>5436</v>
      </c>
      <c r="E32" s="2" t="s">
        <v>16</v>
      </c>
      <c r="F32" s="2" t="s">
        <v>7</v>
      </c>
      <c r="G32" t="s">
        <v>43</v>
      </c>
      <c r="H32" s="15">
        <f t="shared" si="12"/>
        <v>1909612.4400000002</v>
      </c>
      <c r="I32" s="15">
        <f t="shared" si="13"/>
        <v>1539203.4</v>
      </c>
      <c r="J32" s="15">
        <f t="shared" si="14"/>
        <v>2024855.6400000001</v>
      </c>
      <c r="K32" s="15">
        <f t="shared" si="15"/>
        <v>1185265.44</v>
      </c>
      <c r="L32" s="15">
        <f t="shared" si="16"/>
        <v>880740.72000000009</v>
      </c>
      <c r="M32" s="15">
        <f t="shared" si="17"/>
        <v>827196.11999999988</v>
      </c>
      <c r="N32" s="15">
        <f t="shared" si="18"/>
        <v>506200.32000000001</v>
      </c>
      <c r="O32" s="15">
        <f t="shared" si="19"/>
        <v>185204.52</v>
      </c>
      <c r="P32" s="15">
        <f t="shared" si="20"/>
        <v>185204.52</v>
      </c>
      <c r="Q32" s="15">
        <f t="shared" si="21"/>
        <v>57621.599999999999</v>
      </c>
      <c r="R32" s="15">
        <f t="shared" si="22"/>
        <v>9301104.7200000007</v>
      </c>
    </row>
    <row r="33" spans="1:18" ht="12.75" x14ac:dyDescent="0.2">
      <c r="A33" t="s">
        <v>92</v>
      </c>
      <c r="B33" s="2" t="s">
        <v>44</v>
      </c>
      <c r="C33" s="2">
        <v>52</v>
      </c>
      <c r="D33" s="2">
        <v>2135</v>
      </c>
      <c r="E33" s="2" t="s">
        <v>16</v>
      </c>
      <c r="F33" s="2" t="s">
        <v>7</v>
      </c>
      <c r="G33" t="s">
        <v>44</v>
      </c>
      <c r="H33" s="15">
        <f t="shared" si="12"/>
        <v>750004.15</v>
      </c>
      <c r="I33" s="15">
        <f t="shared" si="13"/>
        <v>604525.25</v>
      </c>
      <c r="J33" s="15">
        <f t="shared" si="14"/>
        <v>795266.15</v>
      </c>
      <c r="K33" s="15">
        <f t="shared" si="15"/>
        <v>465515.39999999997</v>
      </c>
      <c r="L33" s="15">
        <f t="shared" si="16"/>
        <v>345912.7</v>
      </c>
      <c r="M33" s="15">
        <f t="shared" si="17"/>
        <v>324882.94999999995</v>
      </c>
      <c r="N33" s="15">
        <f t="shared" si="18"/>
        <v>198811.2</v>
      </c>
      <c r="O33" s="15">
        <f t="shared" si="19"/>
        <v>72739.45</v>
      </c>
      <c r="P33" s="15">
        <f t="shared" si="20"/>
        <v>72739.45</v>
      </c>
      <c r="Q33" s="15">
        <f t="shared" si="21"/>
        <v>22631</v>
      </c>
      <c r="R33" s="15">
        <f t="shared" si="22"/>
        <v>3653027.7</v>
      </c>
    </row>
    <row r="34" spans="1:18" ht="12.75" x14ac:dyDescent="0.2">
      <c r="A34" t="s">
        <v>92</v>
      </c>
      <c r="B34" s="2" t="s">
        <v>45</v>
      </c>
      <c r="C34" s="2">
        <v>54</v>
      </c>
      <c r="D34" s="2">
        <v>10178</v>
      </c>
      <c r="E34" s="2" t="s">
        <v>16</v>
      </c>
      <c r="F34" s="2" t="s">
        <v>7</v>
      </c>
      <c r="G34" t="s">
        <v>45</v>
      </c>
      <c r="H34" s="15">
        <f t="shared" si="12"/>
        <v>3575429.62</v>
      </c>
      <c r="I34" s="15">
        <f t="shared" si="13"/>
        <v>2881900.6999999997</v>
      </c>
      <c r="J34" s="15">
        <f t="shared" si="14"/>
        <v>3791203.22</v>
      </c>
      <c r="K34" s="15">
        <f t="shared" si="15"/>
        <v>2219211.12</v>
      </c>
      <c r="L34" s="15">
        <f t="shared" si="16"/>
        <v>1649039.56</v>
      </c>
      <c r="M34" s="15">
        <f t="shared" si="17"/>
        <v>1548786.2599999998</v>
      </c>
      <c r="N34" s="15">
        <f t="shared" si="18"/>
        <v>947775.3600000001</v>
      </c>
      <c r="O34" s="15">
        <f t="shared" si="19"/>
        <v>346764.46</v>
      </c>
      <c r="P34" s="15">
        <f t="shared" si="20"/>
        <v>346764.46</v>
      </c>
      <c r="Q34" s="15">
        <f t="shared" si="21"/>
        <v>107886.8</v>
      </c>
      <c r="R34" s="15">
        <f t="shared" si="22"/>
        <v>17414761.559999999</v>
      </c>
    </row>
    <row r="35" spans="1:18" ht="12.75" x14ac:dyDescent="0.2">
      <c r="A35" t="s">
        <v>92</v>
      </c>
      <c r="B35" s="2" t="s">
        <v>46</v>
      </c>
      <c r="C35" s="2">
        <v>55</v>
      </c>
      <c r="D35" s="2">
        <v>3559</v>
      </c>
      <c r="E35" s="2" t="s">
        <v>16</v>
      </c>
      <c r="F35" s="2" t="s">
        <v>7</v>
      </c>
      <c r="G35" t="s">
        <v>46</v>
      </c>
      <c r="H35" s="15">
        <f t="shared" si="12"/>
        <v>1250241.1100000001</v>
      </c>
      <c r="I35" s="15">
        <f t="shared" si="13"/>
        <v>1007730.85</v>
      </c>
      <c r="J35" s="15">
        <f t="shared" si="14"/>
        <v>1325691.9099999999</v>
      </c>
      <c r="K35" s="15">
        <f t="shared" si="15"/>
        <v>776004.36</v>
      </c>
      <c r="L35" s="15">
        <f t="shared" si="16"/>
        <v>576629.18000000005</v>
      </c>
      <c r="M35" s="15">
        <f t="shared" si="17"/>
        <v>541573.02999999991</v>
      </c>
      <c r="N35" s="15">
        <f t="shared" si="18"/>
        <v>331414.08</v>
      </c>
      <c r="O35" s="15">
        <f t="shared" si="19"/>
        <v>121255.13</v>
      </c>
      <c r="P35" s="15">
        <f t="shared" si="20"/>
        <v>121255.13</v>
      </c>
      <c r="Q35" s="15">
        <f t="shared" si="21"/>
        <v>37725.4</v>
      </c>
      <c r="R35" s="15">
        <f t="shared" si="22"/>
        <v>6089520.1799999997</v>
      </c>
    </row>
    <row r="36" spans="1:18" ht="12.75" x14ac:dyDescent="0.2">
      <c r="A36" t="s">
        <v>88</v>
      </c>
      <c r="B36" s="3" t="s">
        <v>47</v>
      </c>
      <c r="C36" s="3">
        <v>63</v>
      </c>
      <c r="D36" s="3">
        <v>208</v>
      </c>
      <c r="E36" s="3" t="s">
        <v>9</v>
      </c>
      <c r="F36" s="3" t="s">
        <v>54</v>
      </c>
      <c r="G36" t="s">
        <v>47</v>
      </c>
      <c r="H36" s="15">
        <f t="shared" si="12"/>
        <v>0</v>
      </c>
      <c r="I36" s="15">
        <f t="shared" si="13"/>
        <v>0</v>
      </c>
      <c r="J36" s="15">
        <f t="shared" si="14"/>
        <v>0</v>
      </c>
      <c r="K36" s="15">
        <f t="shared" si="15"/>
        <v>0</v>
      </c>
      <c r="L36" s="15">
        <f t="shared" si="16"/>
        <v>0</v>
      </c>
      <c r="M36" s="15">
        <f t="shared" si="17"/>
        <v>0</v>
      </c>
      <c r="N36" s="15">
        <f t="shared" si="18"/>
        <v>0</v>
      </c>
      <c r="O36" s="15">
        <f t="shared" si="19"/>
        <v>0</v>
      </c>
      <c r="P36" s="15">
        <f t="shared" si="20"/>
        <v>0</v>
      </c>
      <c r="Q36" s="15">
        <f t="shared" si="21"/>
        <v>0</v>
      </c>
      <c r="R36" s="15">
        <f t="shared" si="22"/>
        <v>0</v>
      </c>
    </row>
    <row r="37" spans="1:18" ht="12.75" x14ac:dyDescent="0.2">
      <c r="A37" t="s">
        <v>88</v>
      </c>
      <c r="B37" s="3" t="s">
        <v>48</v>
      </c>
      <c r="C37" s="3">
        <v>87</v>
      </c>
      <c r="D37" s="3">
        <v>2514</v>
      </c>
      <c r="E37" s="3" t="s">
        <v>9</v>
      </c>
      <c r="F37" s="3" t="s">
        <v>54</v>
      </c>
      <c r="G37" t="s">
        <v>48</v>
      </c>
      <c r="H37" s="15">
        <f t="shared" si="12"/>
        <v>0</v>
      </c>
      <c r="I37" s="15">
        <f t="shared" si="13"/>
        <v>0</v>
      </c>
      <c r="J37" s="15">
        <f t="shared" si="14"/>
        <v>0</v>
      </c>
      <c r="K37" s="15">
        <f t="shared" si="15"/>
        <v>0</v>
      </c>
      <c r="L37" s="15">
        <f t="shared" si="16"/>
        <v>0</v>
      </c>
      <c r="M37" s="15">
        <f t="shared" si="17"/>
        <v>0</v>
      </c>
      <c r="N37" s="15">
        <f t="shared" si="18"/>
        <v>0</v>
      </c>
      <c r="O37" s="15">
        <f t="shared" si="19"/>
        <v>0</v>
      </c>
      <c r="P37" s="15">
        <f t="shared" si="20"/>
        <v>0</v>
      </c>
      <c r="Q37" s="15">
        <f t="shared" si="21"/>
        <v>0</v>
      </c>
      <c r="R37" s="15">
        <f t="shared" si="22"/>
        <v>0</v>
      </c>
    </row>
    <row r="38" spans="1:18" ht="12.75" x14ac:dyDescent="0.2">
      <c r="A38" t="s">
        <v>88</v>
      </c>
      <c r="B38" s="3" t="s">
        <v>49</v>
      </c>
      <c r="C38" s="3">
        <v>89</v>
      </c>
      <c r="D38" s="3">
        <v>9211</v>
      </c>
      <c r="E38" s="3" t="s">
        <v>9</v>
      </c>
      <c r="F38" s="3" t="s">
        <v>54</v>
      </c>
      <c r="G38" t="s">
        <v>49</v>
      </c>
      <c r="H38" s="15">
        <f t="shared" si="12"/>
        <v>0</v>
      </c>
      <c r="I38" s="15">
        <f t="shared" si="13"/>
        <v>0</v>
      </c>
      <c r="J38" s="15">
        <f t="shared" si="14"/>
        <v>0</v>
      </c>
      <c r="K38" s="15">
        <f t="shared" si="15"/>
        <v>0</v>
      </c>
      <c r="L38" s="15">
        <f t="shared" si="16"/>
        <v>0</v>
      </c>
      <c r="M38" s="15">
        <f t="shared" si="17"/>
        <v>0</v>
      </c>
      <c r="N38" s="15">
        <f t="shared" si="18"/>
        <v>0</v>
      </c>
      <c r="O38" s="15">
        <f t="shared" si="19"/>
        <v>0</v>
      </c>
      <c r="P38" s="15">
        <f t="shared" si="20"/>
        <v>0</v>
      </c>
      <c r="Q38" s="15">
        <f t="shared" si="21"/>
        <v>0</v>
      </c>
      <c r="R38" s="15">
        <f t="shared" si="22"/>
        <v>0</v>
      </c>
    </row>
    <row r="39" spans="1:18" ht="12.75" x14ac:dyDescent="0.2">
      <c r="A39" t="s">
        <v>88</v>
      </c>
      <c r="B39" s="3" t="s">
        <v>50</v>
      </c>
      <c r="C39" s="3">
        <v>60</v>
      </c>
      <c r="D39" s="3">
        <v>2936</v>
      </c>
      <c r="E39" s="3" t="s">
        <v>9</v>
      </c>
      <c r="F39" s="3" t="s">
        <v>54</v>
      </c>
      <c r="G39" t="s">
        <v>50</v>
      </c>
      <c r="H39" s="15">
        <f t="shared" si="12"/>
        <v>0</v>
      </c>
      <c r="I39" s="15">
        <f t="shared" si="13"/>
        <v>0</v>
      </c>
      <c r="J39" s="15">
        <f t="shared" si="14"/>
        <v>0</v>
      </c>
      <c r="K39" s="15">
        <f t="shared" si="15"/>
        <v>0</v>
      </c>
      <c r="L39" s="15">
        <f t="shared" si="16"/>
        <v>0</v>
      </c>
      <c r="M39" s="15">
        <f t="shared" si="17"/>
        <v>0</v>
      </c>
      <c r="N39" s="15">
        <f t="shared" si="18"/>
        <v>0</v>
      </c>
      <c r="O39" s="15">
        <f t="shared" si="19"/>
        <v>0</v>
      </c>
      <c r="P39" s="15">
        <f t="shared" si="20"/>
        <v>0</v>
      </c>
      <c r="Q39" s="15">
        <f t="shared" si="21"/>
        <v>0</v>
      </c>
      <c r="R39" s="15">
        <f t="shared" si="22"/>
        <v>0</v>
      </c>
    </row>
    <row r="40" spans="1:18" ht="12.75" x14ac:dyDescent="0.2">
      <c r="A40" s="19" t="s">
        <v>118</v>
      </c>
      <c r="B40" s="3" t="s">
        <v>125</v>
      </c>
      <c r="D40" s="26">
        <v>11586</v>
      </c>
      <c r="E40" s="3"/>
      <c r="F40" s="3" t="s">
        <v>119</v>
      </c>
      <c r="H40" s="15">
        <f>IF($F40="Meadows", $D40*$F$52, 0)</f>
        <v>4070045.9400000004</v>
      </c>
      <c r="I40" s="15">
        <f t="shared" ref="I40:R40" si="23">IF($F40="Meadows", $D40*$F$52, 0)</f>
        <v>4070045.9400000004</v>
      </c>
      <c r="J40" s="15">
        <f t="shared" si="23"/>
        <v>4070045.9400000004</v>
      </c>
      <c r="K40" s="15">
        <f t="shared" si="23"/>
        <v>4070045.9400000004</v>
      </c>
      <c r="L40" s="15">
        <f t="shared" si="23"/>
        <v>4070045.9400000004</v>
      </c>
      <c r="M40" s="15">
        <f t="shared" si="23"/>
        <v>4070045.9400000004</v>
      </c>
      <c r="N40" s="15">
        <f t="shared" si="23"/>
        <v>4070045.9400000004</v>
      </c>
      <c r="O40" s="15">
        <f t="shared" si="23"/>
        <v>4070045.9400000004</v>
      </c>
      <c r="P40" s="15">
        <f t="shared" si="23"/>
        <v>4070045.9400000004</v>
      </c>
      <c r="Q40" s="15">
        <f t="shared" si="23"/>
        <v>4070045.9400000004</v>
      </c>
      <c r="R40" s="15">
        <f t="shared" si="23"/>
        <v>4070045.9400000004</v>
      </c>
    </row>
    <row r="41" spans="1:18" ht="12.75" x14ac:dyDescent="0.2">
      <c r="A41" s="19" t="s">
        <v>118</v>
      </c>
      <c r="B41" s="3" t="s">
        <v>125</v>
      </c>
      <c r="D41" s="26">
        <v>6360</v>
      </c>
      <c r="E41" s="3"/>
      <c r="F41" s="3" t="s">
        <v>120</v>
      </c>
      <c r="H41" s="15">
        <f>IF($F41="Floodplain", $D41*$F$52, 0)</f>
        <v>2234204.4</v>
      </c>
      <c r="I41" s="15">
        <f t="shared" ref="I41:R41" si="24">IF($F41="Floodplain", $D41*$F$52, 0)</f>
        <v>2234204.4</v>
      </c>
      <c r="J41" s="15">
        <f t="shared" si="24"/>
        <v>2234204.4</v>
      </c>
      <c r="K41" s="15">
        <f t="shared" si="24"/>
        <v>2234204.4</v>
      </c>
      <c r="L41" s="15">
        <f t="shared" si="24"/>
        <v>2234204.4</v>
      </c>
      <c r="M41" s="15">
        <f t="shared" si="24"/>
        <v>2234204.4</v>
      </c>
      <c r="N41" s="15">
        <f t="shared" si="24"/>
        <v>2234204.4</v>
      </c>
      <c r="O41" s="15">
        <f t="shared" si="24"/>
        <v>2234204.4</v>
      </c>
      <c r="P41" s="15">
        <f t="shared" si="24"/>
        <v>2234204.4</v>
      </c>
      <c r="Q41" s="15">
        <f t="shared" si="24"/>
        <v>2234204.4</v>
      </c>
      <c r="R41" s="15">
        <f t="shared" si="24"/>
        <v>2234204.4</v>
      </c>
    </row>
    <row r="42" spans="1:18" ht="12.75" x14ac:dyDescent="0.2">
      <c r="A42" s="19" t="s">
        <v>118</v>
      </c>
      <c r="B42" s="3" t="s">
        <v>125</v>
      </c>
      <c r="D42" s="26">
        <v>48213</v>
      </c>
      <c r="E42" s="3"/>
      <c r="F42" s="3" t="s">
        <v>123</v>
      </c>
      <c r="H42" s="15">
        <f>IF($F42="Wetland", $D42*$F$52, 0)</f>
        <v>16936744.77</v>
      </c>
      <c r="I42" s="15">
        <f t="shared" ref="I42:R42" si="25">IF($F42="Wetland", $D42*$F$52, 0)</f>
        <v>16936744.77</v>
      </c>
      <c r="J42" s="15">
        <f t="shared" si="25"/>
        <v>16936744.77</v>
      </c>
      <c r="K42" s="15">
        <f t="shared" si="25"/>
        <v>16936744.77</v>
      </c>
      <c r="L42" s="15">
        <f t="shared" si="25"/>
        <v>16936744.77</v>
      </c>
      <c r="M42" s="15">
        <f t="shared" si="25"/>
        <v>16936744.77</v>
      </c>
      <c r="N42" s="15">
        <f t="shared" si="25"/>
        <v>16936744.77</v>
      </c>
      <c r="O42" s="15">
        <f t="shared" si="25"/>
        <v>16936744.77</v>
      </c>
      <c r="P42" s="15">
        <f t="shared" si="25"/>
        <v>16936744.77</v>
      </c>
      <c r="Q42" s="15">
        <f t="shared" si="25"/>
        <v>16936744.77</v>
      </c>
      <c r="R42" s="15">
        <f t="shared" si="25"/>
        <v>16936744.77</v>
      </c>
    </row>
    <row r="43" spans="1:18" ht="12.75" x14ac:dyDescent="0.2">
      <c r="B43" s="4" t="s">
        <v>55</v>
      </c>
      <c r="D43" s="4">
        <f>SUM(D15,D22:D35)</f>
        <v>57666</v>
      </c>
      <c r="G43" s="16" t="s">
        <v>86</v>
      </c>
      <c r="H43" s="15">
        <f>SUM(H4:H39)</f>
        <v>20257489.140000001</v>
      </c>
      <c r="I43" s="15">
        <f t="shared" ref="I43:R43" si="26">SUM(I4:I39)</f>
        <v>16328127.899999999</v>
      </c>
      <c r="J43" s="15">
        <f t="shared" si="26"/>
        <v>21480008.34</v>
      </c>
      <c r="K43" s="15">
        <f t="shared" si="26"/>
        <v>12573494.640000001</v>
      </c>
      <c r="L43" s="15">
        <f t="shared" si="26"/>
        <v>9343045.3200000003</v>
      </c>
      <c r="M43" s="15">
        <f t="shared" si="26"/>
        <v>8775035.2199999988</v>
      </c>
      <c r="N43" s="15">
        <f t="shared" si="26"/>
        <v>5369857.9200000009</v>
      </c>
      <c r="O43" s="15">
        <f t="shared" si="26"/>
        <v>1964680.62</v>
      </c>
      <c r="P43" s="15">
        <f t="shared" si="26"/>
        <v>1964680.62</v>
      </c>
      <c r="Q43" s="15">
        <f t="shared" si="26"/>
        <v>611259.6</v>
      </c>
      <c r="R43" s="15">
        <f t="shared" si="26"/>
        <v>98667679.319999993</v>
      </c>
    </row>
    <row r="45" spans="1:18" ht="12.75" x14ac:dyDescent="0.2">
      <c r="E45" s="4" t="s">
        <v>59</v>
      </c>
      <c r="F45" s="4">
        <v>187558</v>
      </c>
    </row>
    <row r="46" spans="1:18" ht="12.75" x14ac:dyDescent="0.2">
      <c r="E46" s="4" t="s">
        <v>60</v>
      </c>
      <c r="F46" s="4">
        <v>0.753</v>
      </c>
    </row>
    <row r="48" spans="1:18" ht="15.75" customHeight="1" x14ac:dyDescent="0.2">
      <c r="C48" s="1" t="s">
        <v>11</v>
      </c>
    </row>
    <row r="49" spans="3:6" ht="15.75" customHeight="1" x14ac:dyDescent="0.2">
      <c r="C49" s="2" t="s">
        <v>14</v>
      </c>
    </row>
    <row r="50" spans="3:6" ht="15.75" customHeight="1" x14ac:dyDescent="0.2">
      <c r="C50" s="3" t="s">
        <v>17</v>
      </c>
    </row>
    <row r="51" spans="3:6" ht="15.75" customHeight="1" x14ac:dyDescent="0.2">
      <c r="D51" s="9" t="s">
        <v>70</v>
      </c>
      <c r="E51" s="9" t="s">
        <v>71</v>
      </c>
      <c r="F51" s="9" t="s">
        <v>83</v>
      </c>
    </row>
    <row r="52" spans="3:6" ht="15.75" customHeight="1" x14ac:dyDescent="0.2">
      <c r="D52" s="10" t="s">
        <v>72</v>
      </c>
      <c r="E52" s="10">
        <v>187.77</v>
      </c>
      <c r="F52" s="10">
        <v>351.29</v>
      </c>
    </row>
    <row r="53" spans="3:6" ht="15.75" customHeight="1" x14ac:dyDescent="0.2">
      <c r="D53" s="10" t="s">
        <v>73</v>
      </c>
      <c r="E53" s="10">
        <v>151.35</v>
      </c>
      <c r="F53" s="10">
        <v>283.14999999999998</v>
      </c>
    </row>
    <row r="54" spans="3:6" ht="15.75" customHeight="1" x14ac:dyDescent="0.2">
      <c r="D54" s="10" t="s">
        <v>74</v>
      </c>
      <c r="E54" s="10">
        <v>199.11</v>
      </c>
      <c r="F54" s="10">
        <v>372.49</v>
      </c>
    </row>
    <row r="55" spans="3:6" ht="15.75" customHeight="1" x14ac:dyDescent="0.2">
      <c r="D55" s="10" t="s">
        <v>75</v>
      </c>
      <c r="E55" s="10">
        <v>116.55</v>
      </c>
      <c r="F55" s="10">
        <v>218.04</v>
      </c>
    </row>
    <row r="56" spans="3:6" ht="15.75" customHeight="1" x14ac:dyDescent="0.2">
      <c r="D56" s="10" t="s">
        <v>76</v>
      </c>
      <c r="E56" s="10">
        <v>86.6</v>
      </c>
      <c r="F56" s="10">
        <v>162.02000000000001</v>
      </c>
    </row>
    <row r="57" spans="3:6" ht="15.75" customHeight="1" x14ac:dyDescent="0.2">
      <c r="D57" s="10" t="s">
        <v>77</v>
      </c>
      <c r="E57" s="10">
        <v>81.34</v>
      </c>
      <c r="F57" s="10">
        <v>152.16999999999999</v>
      </c>
    </row>
    <row r="58" spans="3:6" ht="15.75" customHeight="1" x14ac:dyDescent="0.2">
      <c r="D58" s="10" t="s">
        <v>78</v>
      </c>
      <c r="E58" s="10">
        <v>49.78</v>
      </c>
      <c r="F58" s="10">
        <v>93.12</v>
      </c>
    </row>
    <row r="59" spans="3:6" ht="15.75" customHeight="1" x14ac:dyDescent="0.2">
      <c r="D59" s="10" t="s">
        <v>79</v>
      </c>
      <c r="E59" s="10">
        <v>18.21</v>
      </c>
      <c r="F59" s="10">
        <v>34.07</v>
      </c>
    </row>
    <row r="60" spans="3:6" ht="15.75" customHeight="1" x14ac:dyDescent="0.2">
      <c r="D60" s="10" t="s">
        <v>80</v>
      </c>
      <c r="E60" s="10">
        <v>18.21</v>
      </c>
      <c r="F60" s="10">
        <v>34.07</v>
      </c>
    </row>
    <row r="61" spans="3:6" ht="15.75" customHeight="1" x14ac:dyDescent="0.2">
      <c r="D61" s="10" t="s">
        <v>81</v>
      </c>
      <c r="E61" s="10">
        <v>5.67</v>
      </c>
      <c r="F61" s="10">
        <v>10.6</v>
      </c>
    </row>
    <row r="62" spans="3:6" ht="15.75" customHeight="1" x14ac:dyDescent="0.2">
      <c r="D62" s="11" t="s">
        <v>82</v>
      </c>
      <c r="E62" s="11">
        <v>914.59</v>
      </c>
      <c r="F62" s="12">
        <v>1711.02</v>
      </c>
    </row>
  </sheetData>
  <mergeCells count="1">
    <mergeCell ref="H1:R1"/>
  </mergeCells>
  <conditionalFormatting sqref="H3:R43">
    <cfRule type="top10" dxfId="0" priority="1" percent="1" rank="10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45"/>
  <sheetViews>
    <sheetView workbookViewId="0">
      <selection activeCell="A34" sqref="A34"/>
    </sheetView>
  </sheetViews>
  <sheetFormatPr defaultColWidth="12.5703125" defaultRowHeight="15.75" customHeight="1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61</v>
      </c>
      <c r="F1" s="1" t="s">
        <v>62</v>
      </c>
      <c r="G1" s="1"/>
      <c r="H1" s="1"/>
    </row>
    <row r="2" spans="1:8" x14ac:dyDescent="0.2">
      <c r="A2" s="4" t="s">
        <v>5</v>
      </c>
      <c r="B2" s="4">
        <v>80</v>
      </c>
      <c r="C2" s="4">
        <v>16543</v>
      </c>
      <c r="D2" s="4" t="s">
        <v>6</v>
      </c>
      <c r="E2" s="4" t="s">
        <v>54</v>
      </c>
      <c r="F2" s="4" t="s">
        <v>54</v>
      </c>
    </row>
    <row r="3" spans="1:8" x14ac:dyDescent="0.2">
      <c r="A3" s="4" t="s">
        <v>8</v>
      </c>
      <c r="B3" s="4">
        <v>76</v>
      </c>
      <c r="C3" s="4">
        <v>11798</v>
      </c>
      <c r="D3" s="4" t="s">
        <v>9</v>
      </c>
      <c r="E3" s="4" t="s">
        <v>54</v>
      </c>
      <c r="F3" s="4" t="s">
        <v>54</v>
      </c>
    </row>
    <row r="4" spans="1:8" x14ac:dyDescent="0.2">
      <c r="A4" s="4" t="s">
        <v>10</v>
      </c>
      <c r="B4" s="4">
        <v>62</v>
      </c>
      <c r="C4" s="4">
        <v>8799</v>
      </c>
      <c r="D4" s="4" t="s">
        <v>9</v>
      </c>
      <c r="E4" s="4" t="s">
        <v>54</v>
      </c>
      <c r="F4" s="4" t="s">
        <v>54</v>
      </c>
    </row>
    <row r="5" spans="1:8" x14ac:dyDescent="0.2">
      <c r="A5" s="4" t="s">
        <v>12</v>
      </c>
      <c r="B5" s="4">
        <v>61</v>
      </c>
      <c r="C5" s="4">
        <v>9111</v>
      </c>
      <c r="D5" s="4" t="s">
        <v>13</v>
      </c>
      <c r="E5" s="4" t="s">
        <v>54</v>
      </c>
      <c r="F5" s="4" t="s">
        <v>54</v>
      </c>
    </row>
    <row r="6" spans="1:8" x14ac:dyDescent="0.2">
      <c r="A6" s="4" t="s">
        <v>15</v>
      </c>
      <c r="B6" s="4">
        <v>116</v>
      </c>
      <c r="C6" s="4">
        <v>12907</v>
      </c>
      <c r="D6" s="4" t="s">
        <v>16</v>
      </c>
      <c r="F6" s="4" t="s">
        <v>54</v>
      </c>
    </row>
    <row r="7" spans="1:8" x14ac:dyDescent="0.2">
      <c r="A7" s="4" t="s">
        <v>18</v>
      </c>
      <c r="B7" s="4">
        <v>57</v>
      </c>
      <c r="C7" s="4">
        <v>5936</v>
      </c>
      <c r="D7" s="4" t="s">
        <v>16</v>
      </c>
      <c r="E7" s="4" t="s">
        <v>54</v>
      </c>
      <c r="F7" s="4" t="s">
        <v>54</v>
      </c>
    </row>
    <row r="8" spans="1:8" x14ac:dyDescent="0.2">
      <c r="A8" s="4" t="s">
        <v>19</v>
      </c>
      <c r="B8" s="4">
        <v>49</v>
      </c>
      <c r="C8" s="4">
        <v>3094</v>
      </c>
      <c r="D8" s="4" t="s">
        <v>16</v>
      </c>
      <c r="F8" s="4" t="s">
        <v>54</v>
      </c>
    </row>
    <row r="9" spans="1:8" x14ac:dyDescent="0.2">
      <c r="A9" s="4" t="s">
        <v>20</v>
      </c>
      <c r="B9" s="4">
        <v>41</v>
      </c>
      <c r="C9" s="4">
        <v>1165</v>
      </c>
      <c r="D9" s="4" t="s">
        <v>13</v>
      </c>
      <c r="E9" s="4" t="s">
        <v>54</v>
      </c>
      <c r="F9" s="4" t="s">
        <v>54</v>
      </c>
    </row>
    <row r="10" spans="1:8" x14ac:dyDescent="0.2">
      <c r="A10" s="4" t="s">
        <v>21</v>
      </c>
      <c r="B10" s="4">
        <v>50</v>
      </c>
      <c r="C10" s="4">
        <v>3625</v>
      </c>
      <c r="D10" s="4" t="s">
        <v>13</v>
      </c>
      <c r="E10" s="4" t="s">
        <v>54</v>
      </c>
      <c r="F10" s="4" t="s">
        <v>54</v>
      </c>
    </row>
    <row r="11" spans="1:8" x14ac:dyDescent="0.2">
      <c r="A11" s="4" t="s">
        <v>22</v>
      </c>
      <c r="B11" s="4">
        <v>46</v>
      </c>
      <c r="C11" s="4">
        <v>3216</v>
      </c>
      <c r="D11" s="4" t="s">
        <v>9</v>
      </c>
      <c r="E11" s="4" t="s">
        <v>54</v>
      </c>
      <c r="F11" s="4" t="s">
        <v>54</v>
      </c>
    </row>
    <row r="12" spans="1:8" x14ac:dyDescent="0.2">
      <c r="A12" s="4" t="s">
        <v>23</v>
      </c>
      <c r="B12" s="4">
        <v>58</v>
      </c>
      <c r="C12" s="4">
        <v>10358</v>
      </c>
      <c r="D12" s="4" t="s">
        <v>9</v>
      </c>
      <c r="E12" s="4" t="s">
        <v>54</v>
      </c>
      <c r="F12" s="4" t="s">
        <v>54</v>
      </c>
    </row>
    <row r="13" spans="1:8" x14ac:dyDescent="0.2">
      <c r="A13" s="4" t="s">
        <v>24</v>
      </c>
      <c r="B13" s="4">
        <v>40</v>
      </c>
      <c r="C13" s="4">
        <v>6743</v>
      </c>
      <c r="D13" s="4" t="s">
        <v>13</v>
      </c>
    </row>
    <row r="14" spans="1:8" x14ac:dyDescent="0.2">
      <c r="A14" s="5" t="s">
        <v>25</v>
      </c>
      <c r="B14" s="5">
        <v>33</v>
      </c>
      <c r="C14" s="5">
        <v>2105</v>
      </c>
      <c r="D14" s="5" t="s">
        <v>9</v>
      </c>
      <c r="E14" s="5"/>
      <c r="F14" s="5"/>
      <c r="G14" s="4" t="s">
        <v>63</v>
      </c>
    </row>
    <row r="15" spans="1:8" x14ac:dyDescent="0.2">
      <c r="A15" s="4" t="s">
        <v>26</v>
      </c>
      <c r="B15" s="4">
        <v>34</v>
      </c>
      <c r="C15" s="4">
        <v>6060</v>
      </c>
      <c r="D15" s="4" t="s">
        <v>16</v>
      </c>
      <c r="F15" s="4" t="s">
        <v>54</v>
      </c>
    </row>
    <row r="16" spans="1:8" x14ac:dyDescent="0.2">
      <c r="A16" s="4" t="s">
        <v>27</v>
      </c>
      <c r="B16" s="4">
        <v>26</v>
      </c>
      <c r="C16" s="4">
        <v>12127</v>
      </c>
      <c r="D16" s="4" t="s">
        <v>9</v>
      </c>
      <c r="F16" s="4" t="s">
        <v>54</v>
      </c>
    </row>
    <row r="17" spans="1:7" x14ac:dyDescent="0.2">
      <c r="A17" s="6" t="s">
        <v>28</v>
      </c>
      <c r="B17" s="6">
        <v>25</v>
      </c>
      <c r="C17" s="6">
        <v>1401</v>
      </c>
      <c r="D17" s="6" t="s">
        <v>9</v>
      </c>
      <c r="E17" s="6"/>
      <c r="F17" s="6"/>
      <c r="G17" s="4" t="s">
        <v>64</v>
      </c>
    </row>
    <row r="18" spans="1:7" x14ac:dyDescent="0.2">
      <c r="A18" s="4" t="s">
        <v>29</v>
      </c>
      <c r="B18" s="4" t="s">
        <v>30</v>
      </c>
      <c r="C18" s="4">
        <v>35663</v>
      </c>
      <c r="D18" s="4" t="s">
        <v>9</v>
      </c>
      <c r="E18" s="4" t="s">
        <v>54</v>
      </c>
      <c r="F18" s="4" t="s">
        <v>54</v>
      </c>
      <c r="G18" s="7"/>
    </row>
    <row r="19" spans="1:7" x14ac:dyDescent="0.2">
      <c r="A19" s="4" t="s">
        <v>31</v>
      </c>
      <c r="B19" s="4">
        <v>9</v>
      </c>
      <c r="C19" s="4">
        <v>24750</v>
      </c>
      <c r="D19" s="4" t="s">
        <v>9</v>
      </c>
      <c r="E19" s="4" t="s">
        <v>54</v>
      </c>
      <c r="F19" s="4" t="s">
        <v>54</v>
      </c>
    </row>
    <row r="20" spans="1:7" x14ac:dyDescent="0.2">
      <c r="A20" s="4" t="s">
        <v>32</v>
      </c>
      <c r="B20" s="4">
        <v>10</v>
      </c>
      <c r="C20" s="4">
        <v>7193</v>
      </c>
      <c r="D20" s="4" t="s">
        <v>9</v>
      </c>
      <c r="F20" s="4" t="s">
        <v>54</v>
      </c>
    </row>
    <row r="21" spans="1:7" x14ac:dyDescent="0.2">
      <c r="A21" s="4" t="s">
        <v>33</v>
      </c>
      <c r="B21" s="4">
        <v>18</v>
      </c>
      <c r="C21" s="4">
        <v>1809</v>
      </c>
      <c r="D21" s="4" t="s">
        <v>9</v>
      </c>
      <c r="F21" s="4" t="s">
        <v>54</v>
      </c>
    </row>
    <row r="22" spans="1:7" x14ac:dyDescent="0.2">
      <c r="A22" s="4" t="s">
        <v>34</v>
      </c>
      <c r="B22" s="4">
        <v>6</v>
      </c>
      <c r="C22" s="4">
        <v>965</v>
      </c>
      <c r="D22" s="4" t="s">
        <v>9</v>
      </c>
    </row>
    <row r="23" spans="1:7" x14ac:dyDescent="0.2">
      <c r="A23" s="4" t="s">
        <v>35</v>
      </c>
      <c r="B23" s="4">
        <v>20</v>
      </c>
      <c r="C23" s="4">
        <v>2383</v>
      </c>
      <c r="D23" s="4" t="s">
        <v>9</v>
      </c>
    </row>
    <row r="24" spans="1:7" x14ac:dyDescent="0.2">
      <c r="A24" s="4" t="s">
        <v>36</v>
      </c>
      <c r="B24" s="4">
        <v>27</v>
      </c>
      <c r="C24" s="4">
        <v>2470</v>
      </c>
      <c r="D24" s="4" t="s">
        <v>9</v>
      </c>
    </row>
    <row r="25" spans="1:7" x14ac:dyDescent="0.2">
      <c r="A25" s="4" t="s">
        <v>37</v>
      </c>
      <c r="B25" s="4">
        <v>32</v>
      </c>
      <c r="C25" s="4">
        <v>5533</v>
      </c>
      <c r="D25" s="4" t="s">
        <v>16</v>
      </c>
    </row>
    <row r="26" spans="1:7" x14ac:dyDescent="0.2">
      <c r="A26" s="4" t="s">
        <v>38</v>
      </c>
      <c r="B26" s="4">
        <v>35</v>
      </c>
      <c r="C26" s="4">
        <v>4214</v>
      </c>
      <c r="D26" s="4" t="s">
        <v>9</v>
      </c>
    </row>
    <row r="27" spans="1:7" x14ac:dyDescent="0.2">
      <c r="A27" s="4" t="s">
        <v>39</v>
      </c>
      <c r="B27" s="4">
        <v>36</v>
      </c>
      <c r="C27" s="4">
        <v>774</v>
      </c>
      <c r="D27" s="4" t="s">
        <v>13</v>
      </c>
    </row>
    <row r="28" spans="1:7" x14ac:dyDescent="0.2">
      <c r="A28" s="4" t="s">
        <v>40</v>
      </c>
      <c r="B28" s="4">
        <v>44</v>
      </c>
      <c r="C28" s="4">
        <v>5217</v>
      </c>
      <c r="D28" s="4" t="s">
        <v>16</v>
      </c>
    </row>
    <row r="29" spans="1:7" x14ac:dyDescent="0.2">
      <c r="A29" s="4" t="s">
        <v>41</v>
      </c>
      <c r="B29" s="4">
        <v>39</v>
      </c>
      <c r="C29" s="4">
        <v>3220</v>
      </c>
      <c r="D29" s="4" t="s">
        <v>9</v>
      </c>
    </row>
    <row r="30" spans="1:7" x14ac:dyDescent="0.2">
      <c r="A30" s="4" t="s">
        <v>42</v>
      </c>
      <c r="B30" s="4">
        <v>43</v>
      </c>
      <c r="C30" s="4">
        <v>3459</v>
      </c>
      <c r="D30" s="4" t="s">
        <v>13</v>
      </c>
    </row>
    <row r="31" spans="1:7" x14ac:dyDescent="0.2">
      <c r="A31" s="4" t="s">
        <v>43</v>
      </c>
      <c r="B31" s="4">
        <v>53</v>
      </c>
      <c r="C31" s="4">
        <v>5436</v>
      </c>
      <c r="D31" s="4" t="s">
        <v>16</v>
      </c>
    </row>
    <row r="32" spans="1:7" x14ac:dyDescent="0.2">
      <c r="A32" s="4" t="s">
        <v>44</v>
      </c>
      <c r="B32" s="4">
        <v>52</v>
      </c>
      <c r="C32" s="4">
        <v>2135</v>
      </c>
      <c r="D32" s="4" t="s">
        <v>16</v>
      </c>
    </row>
    <row r="33" spans="1:8" x14ac:dyDescent="0.2">
      <c r="A33" s="4" t="s">
        <v>45</v>
      </c>
      <c r="B33" s="4">
        <v>54</v>
      </c>
      <c r="C33" s="4">
        <v>10178</v>
      </c>
      <c r="D33" s="4" t="s">
        <v>16</v>
      </c>
    </row>
    <row r="34" spans="1:8" x14ac:dyDescent="0.2">
      <c r="A34" s="4" t="s">
        <v>46</v>
      </c>
      <c r="B34" s="4">
        <v>55</v>
      </c>
      <c r="C34" s="4">
        <v>3559</v>
      </c>
      <c r="D34" s="4" t="s">
        <v>16</v>
      </c>
    </row>
    <row r="35" spans="1:8" x14ac:dyDescent="0.2">
      <c r="A35" s="4" t="s">
        <v>47</v>
      </c>
      <c r="B35" s="4">
        <v>63</v>
      </c>
      <c r="C35" s="4">
        <v>208</v>
      </c>
      <c r="D35" s="4" t="s">
        <v>9</v>
      </c>
      <c r="E35" s="4" t="s">
        <v>54</v>
      </c>
      <c r="F35" s="4" t="s">
        <v>54</v>
      </c>
    </row>
    <row r="36" spans="1:8" x14ac:dyDescent="0.2">
      <c r="A36" s="4" t="s">
        <v>48</v>
      </c>
      <c r="B36" s="4">
        <v>87</v>
      </c>
      <c r="C36" s="4">
        <v>2514</v>
      </c>
      <c r="D36" s="4" t="s">
        <v>9</v>
      </c>
      <c r="E36" s="4" t="s">
        <v>54</v>
      </c>
      <c r="F36" s="4" t="s">
        <v>54</v>
      </c>
    </row>
    <row r="37" spans="1:8" x14ac:dyDescent="0.2">
      <c r="A37" s="4" t="s">
        <v>49</v>
      </c>
      <c r="B37" s="4">
        <v>89</v>
      </c>
      <c r="C37" s="4">
        <v>9211</v>
      </c>
      <c r="D37" s="4" t="s">
        <v>9</v>
      </c>
      <c r="E37" s="4" t="s">
        <v>54</v>
      </c>
      <c r="F37" s="4" t="s">
        <v>54</v>
      </c>
      <c r="H37" s="4" t="s">
        <v>65</v>
      </c>
    </row>
    <row r="38" spans="1:8" x14ac:dyDescent="0.2">
      <c r="A38" s="4" t="s">
        <v>50</v>
      </c>
      <c r="B38" s="4">
        <v>60</v>
      </c>
      <c r="C38" s="4">
        <v>2936</v>
      </c>
      <c r="D38" s="4" t="s">
        <v>9</v>
      </c>
      <c r="E38" s="4" t="s">
        <v>54</v>
      </c>
      <c r="F38" s="4" t="s">
        <v>54</v>
      </c>
    </row>
    <row r="39" spans="1:8" x14ac:dyDescent="0.2">
      <c r="C39" s="4">
        <f>SUM(C2:C38)</f>
        <v>248815</v>
      </c>
    </row>
    <row r="40" spans="1:8" x14ac:dyDescent="0.2">
      <c r="A40" s="4" t="s">
        <v>66</v>
      </c>
    </row>
    <row r="41" spans="1:8" x14ac:dyDescent="0.2">
      <c r="A41" s="4" t="s">
        <v>67</v>
      </c>
    </row>
    <row r="42" spans="1:8" x14ac:dyDescent="0.2">
      <c r="E42" s="4">
        <f>SUM(C2:C5, C7, C9:C12, C19, C35, C36:C38)</f>
        <v>110170</v>
      </c>
    </row>
    <row r="43" spans="1:8" x14ac:dyDescent="0.2">
      <c r="E43" s="4">
        <f>C18/2</f>
        <v>17831.5</v>
      </c>
    </row>
    <row r="44" spans="1:8" x14ac:dyDescent="0.2">
      <c r="D44" s="4" t="s">
        <v>68</v>
      </c>
      <c r="E44" s="1">
        <f>SUM(E42:E43)</f>
        <v>128001.5</v>
      </c>
      <c r="F44" s="8">
        <v>187558</v>
      </c>
    </row>
    <row r="45" spans="1:8" x14ac:dyDescent="0.2">
      <c r="D45" s="4" t="s">
        <v>69</v>
      </c>
      <c r="E45" s="1">
        <f>E44/C39</f>
        <v>0.51444446677250166</v>
      </c>
      <c r="F45" s="1">
        <v>0.753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</vt:lpstr>
      <vt:lpstr>Regional Habitat Acres</vt:lpstr>
      <vt:lpstr>Sub Scenario 1 100 restoration</vt:lpstr>
      <vt:lpstr>Sub Scenario 2 (primary scenari</vt:lpstr>
      <vt:lpstr>Sub sceneario 32575</vt:lpstr>
      <vt:lpstr>Reference all tracts and acreag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COSMOCRATOR</dc:creator>
  <cp:lastModifiedBy>Isaac Sanchez Terrazas</cp:lastModifiedBy>
  <dcterms:created xsi:type="dcterms:W3CDTF">2026-10-12T05:16:02Z</dcterms:created>
  <dcterms:modified xsi:type="dcterms:W3CDTF">2026-10-17T04:47:58Z</dcterms:modified>
</cp:coreProperties>
</file>